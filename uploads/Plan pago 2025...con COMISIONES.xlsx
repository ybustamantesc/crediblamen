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" sheetId="1" r:id="rId4"/>
    <sheet state="hidden" name="Otros cargos" sheetId="2" r:id="rId5"/>
    <sheet state="hidden" name="rptPlanDePagos" sheetId="3" r:id="rId6"/>
    <sheet state="visible" name="Plan de pagos" sheetId="4" r:id="rId7"/>
    <sheet state="hidden" name="Hoja3" sheetId="5" r:id="rId8"/>
    <sheet state="hidden" name="Hoja2" sheetId="6" r:id="rId9"/>
    <sheet state="hidden" name="Calendario" sheetId="7" r:id="rId10"/>
    <sheet state="hidden" name="Hoja1" sheetId="8" r:id="rId11"/>
  </sheets>
  <definedNames>
    <definedName hidden="1" localSheetId="3" name="_xlnm._FilterDatabase">'Plan de pagos'!$A$19:$O$66</definedName>
  </definedNames>
  <calcPr/>
</workbook>
</file>

<file path=xl/sharedStrings.xml><?xml version="1.0" encoding="utf-8"?>
<sst xmlns="http://schemas.openxmlformats.org/spreadsheetml/2006/main" count="1022" uniqueCount="999">
  <si>
    <t>Calculo de cuotas</t>
  </si>
  <si>
    <t>Monto solicitado</t>
  </si>
  <si>
    <t>Interes Mensual</t>
  </si>
  <si>
    <t>Plazo en meses</t>
  </si>
  <si>
    <t>Cuota Mensual</t>
  </si>
  <si>
    <t>Cuota catorcenal o quincenal</t>
  </si>
  <si>
    <t>Total a pagar</t>
  </si>
  <si>
    <t>1. Contexto</t>
  </si>
  <si>
    <t>Actualmente, los costos operativos (visitas de campo y papelería) son absorbidos por la institución. Para mejorar márgenes de utilidad, proponemos trasladarlos parcialmente al cliente de manera transparente y justa.</t>
  </si>
  <si>
    <t>2. Costos a trasladar</t>
  </si>
  <si>
    <t>a) Combustible (Moto 125 cc)</t>
  </si>
  <si>
    <r>
      <rPr>
        <rFont val="Courier New"/>
        <color theme="1"/>
        <sz val="14.0"/>
      </rPr>
      <t xml:space="preserve">Consumo estimado: </t>
    </r>
    <r>
      <rPr>
        <rFont val="Courier New"/>
        <b/>
        <color theme="1"/>
        <sz val="14.0"/>
      </rPr>
      <t>35 km/l</t>
    </r>
  </si>
  <si>
    <t>Distancia  promedio por cliente  (50 km radio):</t>
  </si>
  <si>
    <r>
      <rPr>
        <rFont val="Courier New"/>
        <color theme="1"/>
        <sz val="14.0"/>
      </rPr>
      <t xml:space="preserve">Litros estimados por viaje: </t>
    </r>
    <r>
      <rPr>
        <rFont val="Courier New"/>
        <b/>
        <color theme="1"/>
        <sz val="14.0"/>
      </rPr>
      <t>1.4 L</t>
    </r>
  </si>
  <si>
    <t>Precio diésel: C$ 49/L</t>
  </si>
  <si>
    <r>
      <rPr>
        <rFont val="Courier New"/>
        <b/>
        <color theme="1"/>
        <sz val="14.0"/>
      </rPr>
      <t>Costo por visita</t>
    </r>
    <r>
      <rPr>
        <rFont val="Courier New"/>
        <b val="0"/>
        <color theme="1"/>
        <sz val="14.0"/>
      </rPr>
      <t xml:space="preserve">: 1.4L × 49 = </t>
    </r>
    <r>
      <rPr>
        <rFont val="Courier New"/>
        <b/>
        <color theme="1"/>
        <sz val="14.0"/>
      </rPr>
      <t>C$ 68.60</t>
    </r>
  </si>
  <si>
    <t>b) Papelería y expediente</t>
  </si>
  <si>
    <r>
      <rPr>
        <rFont val="Courier New"/>
        <color theme="1"/>
        <sz val="14.0"/>
      </rPr>
      <t>Rema de papel:</t>
    </r>
    <r>
      <rPr>
        <rFont val="Courier New"/>
        <b/>
        <color theme="1"/>
        <sz val="14.0"/>
      </rPr>
      <t xml:space="preserve"> C$ 135.00</t>
    </r>
  </si>
  <si>
    <r>
      <rPr>
        <rFont val="Courier New"/>
        <color theme="1"/>
        <sz val="14.0"/>
      </rPr>
      <t xml:space="preserve">Promedio de hojas por expediente 50 hojas: </t>
    </r>
    <r>
      <rPr>
        <rFont val="Courier New"/>
        <b/>
        <color theme="1"/>
        <sz val="14.0"/>
      </rPr>
      <t>C$ 67.50</t>
    </r>
  </si>
  <si>
    <r>
      <rPr>
        <rFont val="Courier New"/>
        <color theme="1"/>
        <sz val="14.0"/>
      </rPr>
      <t xml:space="preserve">Folder tamaño carta: </t>
    </r>
    <r>
      <rPr>
        <rFont val="Courier New"/>
        <b/>
        <color theme="1"/>
        <sz val="14.0"/>
      </rPr>
      <t>C$ 5.00</t>
    </r>
  </si>
  <si>
    <r>
      <rPr>
        <rFont val="Courier New"/>
        <b/>
        <color theme="1"/>
        <sz val="14.0"/>
      </rPr>
      <t>Total</t>
    </r>
    <r>
      <rPr>
        <rFont val="Courier New"/>
        <b val="0"/>
        <color theme="1"/>
        <sz val="14.0"/>
      </rPr>
      <t xml:space="preserve">: </t>
    </r>
    <r>
      <rPr>
        <rFont val="Courier New"/>
        <b/>
        <color theme="1"/>
        <sz val="14.0"/>
      </rPr>
      <t>C$ 72.50</t>
    </r>
  </si>
  <si>
    <t>3. Resumen de cargos</t>
  </si>
  <si>
    <t>Concepto</t>
  </si>
  <si>
    <t>Monto por cliente (C$)</t>
  </si>
  <si>
    <t xml:space="preserve">Combustible </t>
  </si>
  <si>
    <t>Verificacion de garantia mobiliaria</t>
  </si>
  <si>
    <t>Papelería + Folder</t>
  </si>
  <si>
    <t>Total recargo inicial</t>
  </si>
  <si>
    <t>Combustible por la cantidade de visitas por cobro de acuerdo al numero de cuotas del plan de pago</t>
  </si>
  <si>
    <t>combustible x cantidad de cuotas</t>
  </si>
  <si>
    <t>Aplicación</t>
  </si>
  <si>
    <t>Creditos de 300 a 1000</t>
  </si>
  <si>
    <t>Cargo</t>
  </si>
  <si>
    <t>Cargo por filtro en centrales de riesgo</t>
  </si>
  <si>
    <t>Cargo por verificación</t>
  </si>
  <si>
    <t>Cargo por papeleria</t>
  </si>
  <si>
    <t>Total de cargos:</t>
  </si>
  <si>
    <t>Equivalente en $</t>
  </si>
  <si>
    <t>Creditos mayores a 1000</t>
  </si>
  <si>
    <t>Cargo por combustible</t>
  </si>
  <si>
    <t>Cantidad de visitas según plan de pago/ Nº de cuotas</t>
  </si>
  <si>
    <t>Combustible – primera visita</t>
  </si>
  <si>
    <t xml:space="preserve">CREDIBLAMEN S.A. </t>
  </si>
  <si>
    <t>CALENDARIO DE PAGO</t>
  </si>
  <si>
    <t>Fecha y Hora de Impresión:</t>
  </si>
  <si>
    <t>Código cliente:</t>
  </si>
  <si>
    <t>Nombre del Cliente:</t>
  </si>
  <si>
    <t>0010410750006Q</t>
  </si>
  <si>
    <t xml:space="preserve">Wlmer Antonio Yescas Mora </t>
  </si>
  <si>
    <t>Metodología:</t>
  </si>
  <si>
    <t>Individual</t>
  </si>
  <si>
    <t>Código Crédito:</t>
  </si>
  <si>
    <t>Ciclo:</t>
  </si>
  <si>
    <t>Producto:</t>
  </si>
  <si>
    <t>PYME COMERCIO</t>
  </si>
  <si>
    <t/>
  </si>
  <si>
    <t>Fecha de Desembolso:</t>
  </si>
  <si>
    <t>Tasa de Interés:</t>
  </si>
  <si>
    <t>72.00 %</t>
  </si>
  <si>
    <t>Monto Aprobado:</t>
  </si>
  <si>
    <t>Plazo en Meses:</t>
  </si>
  <si>
    <t>Fecha de Vencimiento:</t>
  </si>
  <si>
    <t>Tasa de Mora:</t>
  </si>
  <si>
    <t>18.00 %</t>
  </si>
  <si>
    <t>Monto Entregado:</t>
  </si>
  <si>
    <t>N. de Cuotas:</t>
  </si>
  <si>
    <t>TCEA:</t>
  </si>
  <si>
    <t>Comisión:</t>
  </si>
  <si>
    <t>0.00 %</t>
  </si>
  <si>
    <t>Tipo Cuota:</t>
  </si>
  <si>
    <t xml:space="preserve">Quincenal </t>
  </si>
  <si>
    <t>T/C Desembolso:</t>
  </si>
  <si>
    <t>36.6243</t>
  </si>
  <si>
    <t>Analista:</t>
  </si>
  <si>
    <t>Angelica Orozco.</t>
  </si>
  <si>
    <t>CASA MATRIZ</t>
  </si>
  <si>
    <t>Moneda:</t>
  </si>
  <si>
    <t>Dólar</t>
  </si>
  <si>
    <t>Sucursal:</t>
  </si>
  <si>
    <t>Cobrador:</t>
  </si>
  <si>
    <t xml:space="preserve">Gestor de cobros </t>
  </si>
  <si>
    <t>PLAN DE PAGOS</t>
  </si>
  <si>
    <t>Dia</t>
  </si>
  <si>
    <t>Cuota</t>
  </si>
  <si>
    <t xml:space="preserve">Fecha </t>
  </si>
  <si>
    <r>
      <rPr>
        <rFont val="Arial"/>
        <b/>
        <color rgb="FF000000"/>
        <sz val="10.0"/>
      </rPr>
      <t>D_</t>
    </r>
    <r>
      <rPr>
        <rFont val="Arial"/>
        <b/>
        <color rgb="FF000000"/>
        <sz val="10.0"/>
      </rPr>
      <t>Int</t>
    </r>
  </si>
  <si>
    <t>Capital</t>
  </si>
  <si>
    <t>Comisión</t>
  </si>
  <si>
    <t>Desliz</t>
  </si>
  <si>
    <t>Interés</t>
  </si>
  <si>
    <t>Sal_Capital</t>
  </si>
  <si>
    <r>
      <rPr>
        <rFont val="Arial"/>
        <color rgb="FF000000"/>
        <sz val="9.0"/>
      </rPr>
      <t xml:space="preserve">_______________________________________
</t>
    </r>
    <r>
      <rPr>
        <rFont val="Arial"/>
        <color rgb="FF000000"/>
        <sz val="9.0"/>
      </rPr>
      <t>Firma y nombre del cliente</t>
    </r>
  </si>
  <si>
    <r>
      <rPr>
        <rFont val="Arial"/>
        <color rgb="FF000000"/>
        <sz val="9.0"/>
      </rPr>
      <t xml:space="preserve">___________________________________________
</t>
    </r>
    <r>
      <rPr>
        <rFont val="Arial"/>
        <color rgb="FF000000"/>
        <sz val="9.0"/>
      </rPr>
      <t>Apoderado legal:</t>
    </r>
  </si>
  <si>
    <t xml:space="preserve">    Calendario de pago</t>
  </si>
  <si>
    <t xml:space="preserve">Arlen del Socorro Arauz Hernandez </t>
  </si>
  <si>
    <t>ID Cliente</t>
  </si>
  <si>
    <t>Doc  de identidad:</t>
  </si>
  <si>
    <t>3610805910000J</t>
  </si>
  <si>
    <t>Tipo de Producto:</t>
  </si>
  <si>
    <t>MIPYME COMERCIO</t>
  </si>
  <si>
    <t>Microcreditos</t>
  </si>
  <si>
    <t>Nuevo</t>
  </si>
  <si>
    <t>Interes corriente  mensual  :</t>
  </si>
  <si>
    <t>Gestor de cobro</t>
  </si>
  <si>
    <t>Interes corriente  anual :</t>
  </si>
  <si>
    <t>Promotor:</t>
  </si>
  <si>
    <t>Carlos Pineda</t>
  </si>
  <si>
    <t>Interes moratorio:</t>
  </si>
  <si>
    <t>Tipo de cuota</t>
  </si>
  <si>
    <t>Nivelada</t>
  </si>
  <si>
    <t>Comision</t>
  </si>
  <si>
    <t>Plazo en meses:</t>
  </si>
  <si>
    <t>Fecha de desembolso</t>
  </si>
  <si>
    <t>Frecuencia de pago:</t>
  </si>
  <si>
    <t>Quincenal</t>
  </si>
  <si>
    <t>1er dia de pago</t>
  </si>
  <si>
    <t>Total</t>
  </si>
  <si>
    <t>Cuota:</t>
  </si>
  <si>
    <t>Saldo Inicial</t>
  </si>
  <si>
    <t>% comision por desembolso</t>
  </si>
  <si>
    <t>Otros cargos</t>
  </si>
  <si>
    <t>Aplica</t>
  </si>
  <si>
    <t>Nº</t>
  </si>
  <si>
    <t>Nº dias</t>
  </si>
  <si>
    <t>Principal</t>
  </si>
  <si>
    <t>Interes</t>
  </si>
  <si>
    <t>Comision por desembolso</t>
  </si>
  <si>
    <t>Saldo Capital</t>
  </si>
  <si>
    <t>Gastos fijos</t>
  </si>
  <si>
    <t>Firma</t>
  </si>
  <si>
    <t>Nombre del cliente</t>
  </si>
  <si>
    <t>Total principal</t>
  </si>
  <si>
    <t>Total intereses</t>
  </si>
  <si>
    <t>Total gastos fijos</t>
  </si>
  <si>
    <t>Total Pagado</t>
  </si>
  <si>
    <t>Nombre del fiador</t>
  </si>
  <si>
    <t>Cod</t>
  </si>
  <si>
    <t>Nª PRESTAMO</t>
  </si>
  <si>
    <t>Identificacion</t>
  </si>
  <si>
    <t>LAR</t>
  </si>
  <si>
    <t>Nombre</t>
  </si>
  <si>
    <t>0012405850035D</t>
  </si>
  <si>
    <t>CHEYLA  VANESSA MAYORGA  SOZA</t>
  </si>
  <si>
    <t>3213108920003F</t>
  </si>
  <si>
    <t>Liseth Ramona Toruño Sanchez</t>
  </si>
  <si>
    <t>0010707780065A</t>
  </si>
  <si>
    <t>Mario Jose Blass Aleman</t>
  </si>
  <si>
    <t>3660510740003S</t>
  </si>
  <si>
    <t>Martha Lorena  Cisneros Gonzales</t>
  </si>
  <si>
    <t>0011604510022A</t>
  </si>
  <si>
    <t xml:space="preserve">Gloria Argentina Aragon </t>
  </si>
  <si>
    <t>0072606770001A</t>
  </si>
  <si>
    <t>Socorro Del Carmen  Linares Aguirre</t>
  </si>
  <si>
    <t>0072511850003P</t>
  </si>
  <si>
    <t>YAQUELIN ISABEL GONZALEZ ALTAMIRANO</t>
  </si>
  <si>
    <t>4093105660002G</t>
  </si>
  <si>
    <t xml:space="preserve">JOSE  YASMIN JARQUIN </t>
  </si>
  <si>
    <t>2890504720001X</t>
  </si>
  <si>
    <t>Tomasa Delcarmen Mendoza Ruiz</t>
  </si>
  <si>
    <t>0011503750059B</t>
  </si>
  <si>
    <t>Yamilett del Socorro Jimenez Hurtado</t>
  </si>
  <si>
    <t>0011605760003V</t>
  </si>
  <si>
    <t>Mayra Veronica Mejia Vargas</t>
  </si>
  <si>
    <t>0010305860050T</t>
  </si>
  <si>
    <t>Tomas Francisco Fernandez Perez</t>
  </si>
  <si>
    <t>0011105850021K</t>
  </si>
  <si>
    <t>Yamileth Del Carmen  RIVAS Lacayo</t>
  </si>
  <si>
    <t>0010608840060R</t>
  </si>
  <si>
    <t>Anielka Nayeli Perez Vanegas</t>
  </si>
  <si>
    <t>0013110850072R</t>
  </si>
  <si>
    <t>Jorge Israel Fonseca Gomez</t>
  </si>
  <si>
    <t>0010907550025L</t>
  </si>
  <si>
    <t>Sergio Alejandro Jiron Ordoñez</t>
  </si>
  <si>
    <t>0012412710081A</t>
  </si>
  <si>
    <t xml:space="preserve">MARTHA LIDIA MORENO MERCADO </t>
  </si>
  <si>
    <t>0011509820017G</t>
  </si>
  <si>
    <t>johana  0 flores Blandon</t>
  </si>
  <si>
    <t>0012811490031S</t>
  </si>
  <si>
    <t xml:space="preserve">Violeta Del Carmen OSORNO </t>
  </si>
  <si>
    <t>0070512630008C</t>
  </si>
  <si>
    <t xml:space="preserve">Flor Demaria Vasquez </t>
  </si>
  <si>
    <t>1610601660003P</t>
  </si>
  <si>
    <t xml:space="preserve">Reina  ISABEL CAMAS </t>
  </si>
  <si>
    <t>0010504730060X</t>
  </si>
  <si>
    <t xml:space="preserve">  Zeneida DeLaConcepcion Garcia Vivas </t>
  </si>
  <si>
    <t>0010910710000R</t>
  </si>
  <si>
    <t>Giselle  Del Carmen  Sanchez Brenes</t>
  </si>
  <si>
    <t>0032809680000C</t>
  </si>
  <si>
    <t>Aleyda de la Concepcion Gutierrez Gomez</t>
  </si>
  <si>
    <t>1611911750002H</t>
  </si>
  <si>
    <t>Reyna Isabel Vilchez Lira</t>
  </si>
  <si>
    <t>0012910890005S</t>
  </si>
  <si>
    <t>Rafael Isaac Garcia Arias</t>
  </si>
  <si>
    <t>0012011840025D</t>
  </si>
  <si>
    <t>CHRISTIAN  CORALIA BUSTILLO ZELAYA</t>
  </si>
  <si>
    <t>2871712870001K</t>
  </si>
  <si>
    <t>Leobardo Antonio Obando Membreño</t>
  </si>
  <si>
    <t>2891202690001R</t>
  </si>
  <si>
    <t xml:space="preserve">Leonza Casco Rivera </t>
  </si>
  <si>
    <t>2812809620017N</t>
  </si>
  <si>
    <t>Simona  - Mendoza Rostran</t>
  </si>
  <si>
    <t>0011805850033N</t>
  </si>
  <si>
    <t>Maria de los Angeles Trejos Martinez</t>
  </si>
  <si>
    <t>0011209710102C</t>
  </si>
  <si>
    <t>Herlinda DelSocorro Lopez Carballo</t>
  </si>
  <si>
    <t>0010311580044D</t>
  </si>
  <si>
    <t xml:space="preserve">Silvia Esperanza Silva </t>
  </si>
  <si>
    <t>0811508760005L</t>
  </si>
  <si>
    <t xml:space="preserve">Eneyda Leticia Castellon </t>
  </si>
  <si>
    <t>0430612530005G</t>
  </si>
  <si>
    <t>MARIA AUXILIADORA CRUZ BALTODANO</t>
  </si>
  <si>
    <t>0011510710071G</t>
  </si>
  <si>
    <t>Yamileth  Hernandez Gonzalez</t>
  </si>
  <si>
    <t>0070905720001J</t>
  </si>
  <si>
    <t>MARIA YAMILETH SELVA</t>
  </si>
  <si>
    <t>0011210940065T</t>
  </si>
  <si>
    <t>Johanny Josue Martinez Martinez</t>
  </si>
  <si>
    <t>4081608550001K</t>
  </si>
  <si>
    <t>TERE DEL CARMEN GUTIERREZ MARTINEZ</t>
  </si>
  <si>
    <t>0010611820027L</t>
  </si>
  <si>
    <t>JENNY ELIZABETH OBREGON</t>
  </si>
  <si>
    <t>2841708900002R</t>
  </si>
  <si>
    <t xml:space="preserve">WENDY ESMERALDA MUÑOZ </t>
  </si>
  <si>
    <t>0012305900002N</t>
  </si>
  <si>
    <t>CARLOS ALEJANDRO CENTENO SEVILLA</t>
  </si>
  <si>
    <t>0011103750001E</t>
  </si>
  <si>
    <t>Alejandra Fabiola Aguirre Arauz</t>
  </si>
  <si>
    <t>0911111540000k</t>
  </si>
  <si>
    <t>CESAR  NUÑEZ SANCHEZ</t>
  </si>
  <si>
    <t>0011306750069C</t>
  </si>
  <si>
    <t>DAYLING CAROL MENDIETA VANEGAS</t>
  </si>
  <si>
    <t>2872105620000H</t>
  </si>
  <si>
    <t xml:space="preserve">Gloria Cenelia Lopez </t>
  </si>
  <si>
    <t>4020606720000B</t>
  </si>
  <si>
    <t>ELIETT  YOCASTA LEIVA LACAYO</t>
  </si>
  <si>
    <t>0012412860004K</t>
  </si>
  <si>
    <t>MARIBEL DEL CARMEN TORUÑO GOMEZ</t>
  </si>
  <si>
    <t>0012203961008J</t>
  </si>
  <si>
    <t>EDWIN JAVIER RAMIREZ PICADO</t>
  </si>
  <si>
    <t>0012312700036E</t>
  </si>
  <si>
    <t xml:space="preserve">ESPERANZA DE JESUS LOPEZ </t>
  </si>
  <si>
    <t>FRANCISCO JAVIER ALEGRIA SAMPSON</t>
  </si>
  <si>
    <t>2412104780000P</t>
  </si>
  <si>
    <t>FELIX OCTAVIO BLANDON INCER</t>
  </si>
  <si>
    <t>0012512600061Q</t>
  </si>
  <si>
    <t>AURELIA DE LOS ANGELES RUIZ GONZALEZ</t>
  </si>
  <si>
    <t>4890809630001P</t>
  </si>
  <si>
    <t>MERCEDES NATIVIDAD LOPEZ  GONZALEZ</t>
  </si>
  <si>
    <t>0012912591001B</t>
  </si>
  <si>
    <t>IVETTE - GUTIERREZ -</t>
  </si>
  <si>
    <t>0012401590002H</t>
  </si>
  <si>
    <t>NIDIA BEATRIZ PEREZ /EUCLIDES BETETA LOPEZ</t>
  </si>
  <si>
    <t>0011309590084A</t>
  </si>
  <si>
    <t>MARIA ISABEL ROMERO</t>
  </si>
  <si>
    <t>0011406550019J</t>
  </si>
  <si>
    <t xml:space="preserve">Mariana Micaela Juarez </t>
  </si>
  <si>
    <t>2892211930000Q</t>
  </si>
  <si>
    <t>JAKELING  MORALES CALDERON</t>
  </si>
  <si>
    <t>0011512880009K</t>
  </si>
  <si>
    <t>SAMANTHA  LIZ LEZAMA  FLORES</t>
  </si>
  <si>
    <t>0011904860010D</t>
  </si>
  <si>
    <t>NELLY  DEL CARMEN VARGAS  ALMENDAREZ</t>
  </si>
  <si>
    <t>KARLA VANESSA  ALVAREZ AROSTEGUI</t>
  </si>
  <si>
    <t>0010502550000S</t>
  </si>
  <si>
    <t>Ramiro Ignacio Vargas/Mariateresavargas Venegas</t>
  </si>
  <si>
    <t>0013001770041Q</t>
  </si>
  <si>
    <t>GIOCONDA ELENA TRAÑA TALAVERA</t>
  </si>
  <si>
    <t>4411805830017J</t>
  </si>
  <si>
    <t>WILMER JOSE GAMEZ LOPEZ</t>
  </si>
  <si>
    <t>0013006670037X</t>
  </si>
  <si>
    <t>Maria Delsocorro Cordoba Ramos</t>
  </si>
  <si>
    <t>0011807800021Q</t>
  </si>
  <si>
    <t>Domingo Alberto Gonzalez Telleria</t>
  </si>
  <si>
    <t>5652406620000F</t>
  </si>
  <si>
    <t xml:space="preserve">JUAN  JOSE GAZO </t>
  </si>
  <si>
    <t>0010610680058P</t>
  </si>
  <si>
    <t>ROLANDO RENE FLORES CALDERON</t>
  </si>
  <si>
    <t>0012008960007Y</t>
  </si>
  <si>
    <t>KENIA  YAOSKA  BERMUDEZ AGUILAR</t>
  </si>
  <si>
    <t>0011401870017A</t>
  </si>
  <si>
    <t>MARY LUZ ZAPATA GONZALEZ</t>
  </si>
  <si>
    <t>0010105610000V</t>
  </si>
  <si>
    <t xml:space="preserve">SILVIA LORENA  CASTILLO </t>
  </si>
  <si>
    <t>0010811730096P</t>
  </si>
  <si>
    <t xml:space="preserve">MIRLO DEL SOCORRO ANGULO </t>
  </si>
  <si>
    <t>Silvia Juana Sanchez Artola</t>
  </si>
  <si>
    <t>0013101910039P</t>
  </si>
  <si>
    <t>PABLO MOISES MUÑOZ  ESTRADA</t>
  </si>
  <si>
    <t>0011702540036N</t>
  </si>
  <si>
    <t>ERLINDA EMELINA LANZA  MEJIA</t>
  </si>
  <si>
    <t>0010709850008N</t>
  </si>
  <si>
    <t>ETHEL YAOSKA MORALES OROZCO</t>
  </si>
  <si>
    <t>0010310950007F</t>
  </si>
  <si>
    <t>MICHAEL  HERNANDEZ LOPEZ</t>
  </si>
  <si>
    <t>0011709840018B</t>
  </si>
  <si>
    <t>ROSAURA  ISABEL AVILES JIMENEZ</t>
  </si>
  <si>
    <t>0011810790044A</t>
  </si>
  <si>
    <t>Valeria Elizabeth Mayorga Gadea</t>
  </si>
  <si>
    <t>0011507840055y</t>
  </si>
  <si>
    <t>MARIA CATALINA PADILLA GARAY</t>
  </si>
  <si>
    <t>001160889006C</t>
  </si>
  <si>
    <t>JENMY  NATHALYA SALDAÑA HOWELL</t>
  </si>
  <si>
    <t>0013001900053H</t>
  </si>
  <si>
    <t xml:space="preserve">JORGE  LUIS  QUINTERO </t>
  </si>
  <si>
    <t>0011012750049N</t>
  </si>
  <si>
    <t>GRETHEL  CECILIA OCAMPOS ACOSTA</t>
  </si>
  <si>
    <t>2030204640000N</t>
  </si>
  <si>
    <t>Celia Del Carmen Ampie Baez</t>
  </si>
  <si>
    <t>0041804600000J</t>
  </si>
  <si>
    <t>NOEL DE JESUS MENDOZA BALVERDE</t>
  </si>
  <si>
    <t>0010510790009Y</t>
  </si>
  <si>
    <t>Mariela Ninoska Martinez Chavarria</t>
  </si>
  <si>
    <t xml:space="preserve">12217016001Q  </t>
  </si>
  <si>
    <t xml:space="preserve">ANTONIA 	MARINA CASTILLO   </t>
  </si>
  <si>
    <t>0011612961019R</t>
  </si>
  <si>
    <t xml:space="preserve">SELENA SALGADO ORTEGA </t>
  </si>
  <si>
    <t>0011305790000Y</t>
  </si>
  <si>
    <t xml:space="preserve">FATIMA EUGENIA CHAMORRO MEJIA </t>
  </si>
  <si>
    <t>2911105730001W</t>
  </si>
  <si>
    <t>MARIA DEL CARMEN MENDOZA HUETE</t>
  </si>
  <si>
    <t>0010209981008T</t>
  </si>
  <si>
    <t>WHITHEY NAHOMI RODRIGUEZ RIVAS</t>
  </si>
  <si>
    <t>0010401800068W</t>
  </si>
  <si>
    <t>Ramona Del Socorro Martinez Jarquin</t>
  </si>
  <si>
    <t>443180280001x</t>
  </si>
  <si>
    <t xml:space="preserve">MIGUEL ANGEL MASIS OCHOA </t>
  </si>
  <si>
    <t>0010304840013H</t>
  </si>
  <si>
    <t>Martha Eliza Joaquin Martinez</t>
  </si>
  <si>
    <t>4501701510000S</t>
  </si>
  <si>
    <t xml:space="preserve">ANGELA  JUANA CARDENAS ALVARADO </t>
  </si>
  <si>
    <t>0071602840001P</t>
  </si>
  <si>
    <t>Maria Jose Rodriguez Hernandez</t>
  </si>
  <si>
    <t>0012507900004H</t>
  </si>
  <si>
    <t>Anita De Los Angeles Garcia Soza</t>
  </si>
  <si>
    <t>6041206640000W</t>
  </si>
  <si>
    <t>Corina  Acevedo Valle</t>
  </si>
  <si>
    <t>0011505860063J</t>
  </si>
  <si>
    <t xml:space="preserve">Diaskana Yarleth Rivas Garcia </t>
  </si>
  <si>
    <t>0010905770050F</t>
  </si>
  <si>
    <t xml:space="preserve">Jennyffer Katherin Olivas Guillen </t>
  </si>
  <si>
    <t>0010906800071T</t>
  </si>
  <si>
    <t xml:space="preserve">YASCARA ENEDINA RAMIREZ LOPEZ </t>
  </si>
  <si>
    <t>0011402971009F</t>
  </si>
  <si>
    <t xml:space="preserve">Jose lino Palacio Zepeda </t>
  </si>
  <si>
    <t>0011108820028D</t>
  </si>
  <si>
    <t xml:space="preserve">Carolina del los Angeles Silva Flores </t>
  </si>
  <si>
    <t>0010602650056B</t>
  </si>
  <si>
    <t xml:space="preserve">Teresa De Jesus Lopez </t>
  </si>
  <si>
    <t>0021005610004M</t>
  </si>
  <si>
    <t xml:space="preserve">Sergio Antonio Hurtado Jara </t>
  </si>
  <si>
    <t>2843107760001Q</t>
  </si>
  <si>
    <t>Dania Lisseth Chevez Altamirando</t>
  </si>
  <si>
    <t>0011902890058B</t>
  </si>
  <si>
    <t>Violeta Del Carmen Zamora Leiva</t>
  </si>
  <si>
    <t>2881504680002A</t>
  </si>
  <si>
    <t>Yessenia del rosario Ruiz Diaz</t>
  </si>
  <si>
    <t>2870707960000F</t>
  </si>
  <si>
    <t>Juana Mercedes Perez /Sadrac Josue Hernandez Perez</t>
  </si>
  <si>
    <t>0011109991039R</t>
  </si>
  <si>
    <t xml:space="preserve">Raquel de los Angeles Herrera Mayorga </t>
  </si>
  <si>
    <t>0011705680068R</t>
  </si>
  <si>
    <t>Sagrario De Fatima Zeledon Rivera</t>
  </si>
  <si>
    <t>0030402740001X</t>
  </si>
  <si>
    <t xml:space="preserve">Angela del Socorro Ramirez Chavez </t>
  </si>
  <si>
    <t>0012312710005Q</t>
  </si>
  <si>
    <t>Karla Veronica Gonzalez Silva</t>
  </si>
  <si>
    <t>4040802590000L</t>
  </si>
  <si>
    <t xml:space="preserve">Alejandra del Socorro Carballo Medina </t>
  </si>
  <si>
    <t>0010411810007Q</t>
  </si>
  <si>
    <t>Carlos Alexis Toruño Manzanares</t>
  </si>
  <si>
    <t>0011710840061E</t>
  </si>
  <si>
    <t>Karen De Los Angeles Sanchez Jimenez</t>
  </si>
  <si>
    <t>0011603710040E</t>
  </si>
  <si>
    <t xml:space="preserve">Margarita de Carmen Miranda Mendez </t>
  </si>
  <si>
    <t>4011511590003L</t>
  </si>
  <si>
    <t>Mayra  Estrada Vallecillo</t>
  </si>
  <si>
    <t>0013007001011C</t>
  </si>
  <si>
    <t>Marilyn Isabell Jalinas Gonzalez</t>
  </si>
  <si>
    <t>0012405810069M</t>
  </si>
  <si>
    <t>Juan Fernando Terceros Reyes</t>
  </si>
  <si>
    <t>2871709910000S</t>
  </si>
  <si>
    <t>Merling Jaddale Carrion Arteaga</t>
  </si>
  <si>
    <t>0010212820000E</t>
  </si>
  <si>
    <t>Mayleth de los Angeles Areas Morales</t>
  </si>
  <si>
    <t>0012303600039D</t>
  </si>
  <si>
    <t xml:space="preserve">Nora Isabel Martrinez Granera </t>
  </si>
  <si>
    <t>0010412960008R</t>
  </si>
  <si>
    <t>Escarleth Massiel Acosta Hurtado</t>
  </si>
  <si>
    <t>0071212710003T</t>
  </si>
  <si>
    <t>Patricia Guadalpe Ribas Membreño</t>
  </si>
  <si>
    <t>0011606890036W</t>
  </si>
  <si>
    <t>Veronica Virginia Cuevas Benavides</t>
  </si>
  <si>
    <t>0010705750066E</t>
  </si>
  <si>
    <t>Chiara Karina Cisnero Hurtado</t>
  </si>
  <si>
    <t>0011807971033X</t>
  </si>
  <si>
    <t>JeffryJosue Gutierrez Hurtado</t>
  </si>
  <si>
    <t>0011010880022A</t>
  </si>
  <si>
    <t>Veronica Raquel Ampie Ortega</t>
  </si>
  <si>
    <t>0042710670000E</t>
  </si>
  <si>
    <t>Blanca Estela Reyes Berio</t>
  </si>
  <si>
    <t>4492911981001Y</t>
  </si>
  <si>
    <t>Donissel Rayo Mendoza</t>
  </si>
  <si>
    <t>2811001840001K</t>
  </si>
  <si>
    <t>Lisbeth Marisol Zeledon Malta</t>
  </si>
  <si>
    <t>0012111920003N</t>
  </si>
  <si>
    <t>Maryuri Eneyda Salmeron</t>
  </si>
  <si>
    <t>0010110900006C</t>
  </si>
  <si>
    <t>Maryuri Lisseth Salgado Castilblanco</t>
  </si>
  <si>
    <t>0012504830086Q</t>
  </si>
  <si>
    <t>Yader Exequiel Obando Zuniga</t>
  </si>
  <si>
    <t>0012912730060C</t>
  </si>
  <si>
    <t>Lissett del Carmen Cruz Pacheco</t>
  </si>
  <si>
    <t>0012404910024C</t>
  </si>
  <si>
    <t>Jeasser Yanil Pavon Rocha</t>
  </si>
  <si>
    <t>4432104760000N</t>
  </si>
  <si>
    <t>Santos Eliodoro Vargas Cruz</t>
  </si>
  <si>
    <t>0060301730000V</t>
  </si>
  <si>
    <t>Maubra Del Socorro Salinas</t>
  </si>
  <si>
    <t>0011210710005D</t>
  </si>
  <si>
    <t>Gleysi Maria Gaitan Roa</t>
  </si>
  <si>
    <t>1610503960002L</t>
  </si>
  <si>
    <t xml:space="preserve">Jennifer Carolina Benavides Ubeda </t>
  </si>
  <si>
    <t>4821207971000P</t>
  </si>
  <si>
    <t xml:space="preserve">Alexander Olivera Arceda </t>
  </si>
  <si>
    <t>0011312860059V</t>
  </si>
  <si>
    <t>Isela Maria Alvarado Alvarez</t>
  </si>
  <si>
    <t>0011808910044M</t>
  </si>
  <si>
    <t xml:space="preserve">Keyla Jazmina Aguilar Medina </t>
  </si>
  <si>
    <t>0010611900055X</t>
  </si>
  <si>
    <t>Pedro Jose Rostran Rostran</t>
  </si>
  <si>
    <t>0010508730058W</t>
  </si>
  <si>
    <t>Richard Antonio Obando Zuniga</t>
  </si>
  <si>
    <t>0011005920067U</t>
  </si>
  <si>
    <t>Neysi Katiuska Garibo Aviles</t>
  </si>
  <si>
    <t>4010609840000P</t>
  </si>
  <si>
    <t>Valesquia Yasenia Glandero Calero</t>
  </si>
  <si>
    <t>0010311940044H</t>
  </si>
  <si>
    <t>Fernanda Alejandra Torres Lopez</t>
  </si>
  <si>
    <t>0010408850059F</t>
  </si>
  <si>
    <t xml:space="preserve">Reyna Maria Diaz Duarte </t>
  </si>
  <si>
    <t>2872611790004U</t>
  </si>
  <si>
    <t>Edgar Alejandro Saavedra Gonzalez</t>
  </si>
  <si>
    <t>0012510971003A</t>
  </si>
  <si>
    <t xml:space="preserve">Isidro Miguel Aguirre Garcia </t>
  </si>
  <si>
    <t>0012608840002W</t>
  </si>
  <si>
    <t>Heydi Daniela Castillo Solis</t>
  </si>
  <si>
    <t>0013105800067F</t>
  </si>
  <si>
    <t>Eling Jahaira Guevara Almendarez</t>
  </si>
  <si>
    <t>0010908690004T</t>
  </si>
  <si>
    <t xml:space="preserve">Maria del Carmen Velasquez </t>
  </si>
  <si>
    <t>0021311950000T</t>
  </si>
  <si>
    <t>Blanca Nieve Abrego Parrales</t>
  </si>
  <si>
    <t>0011901941000R</t>
  </si>
  <si>
    <t xml:space="preserve">Fabiola Lisseth Arias Laguna </t>
  </si>
  <si>
    <t>0012409620002T</t>
  </si>
  <si>
    <t xml:space="preserve">Mercedes Cecilia Morales </t>
  </si>
  <si>
    <t>0011104600057D</t>
  </si>
  <si>
    <t xml:space="preserve">Xiomara Davila Medina </t>
  </si>
  <si>
    <t>0012309870080Q</t>
  </si>
  <si>
    <t>Ileana Mabel Castro Amador</t>
  </si>
  <si>
    <t>0012502820026S</t>
  </si>
  <si>
    <t>Felix Alejandro Mendez Alvarado</t>
  </si>
  <si>
    <t>0010108850008T</t>
  </si>
  <si>
    <t>Ligia Elizabeth Ortiz Diaz</t>
  </si>
  <si>
    <t>0010407700019M</t>
  </si>
  <si>
    <t>Alicia Mercedes Velasquez Juarez</t>
  </si>
  <si>
    <t>4091002780003C</t>
  </si>
  <si>
    <t>Guadalupe de la Concepcion Lopez Maldonado</t>
  </si>
  <si>
    <t>5612012590003L</t>
  </si>
  <si>
    <t>Yadira De Los Angeles Arguello Rivera</t>
  </si>
  <si>
    <t>2842606940000Y</t>
  </si>
  <si>
    <t>Jaqueline Carolina Mendoza</t>
  </si>
  <si>
    <t>0071201930000Y</t>
  </si>
  <si>
    <t>Blanca Nubia Castillo Solano</t>
  </si>
  <si>
    <t>0010801890029P</t>
  </si>
  <si>
    <t>Ana Bellis Gutierrez Zamora</t>
  </si>
  <si>
    <t>6012706720003M</t>
  </si>
  <si>
    <t>Carmen del Socorro Herrera Rodriguez</t>
  </si>
  <si>
    <t>0010701660052M</t>
  </si>
  <si>
    <t>Gioconda De Los Angeles Silva Calero</t>
  </si>
  <si>
    <t>0071212810001M</t>
  </si>
  <si>
    <t>Maria Auxiliadora Ramirez Gutierrez</t>
  </si>
  <si>
    <t>0010401830058U</t>
  </si>
  <si>
    <t xml:space="preserve">IIuxdmila de los Angeles Gary </t>
  </si>
  <si>
    <t>Yessenia Iveth Jimenez Espinoza</t>
  </si>
  <si>
    <t>0010612780033V</t>
  </si>
  <si>
    <t>Brenda Mariela Gomez Jiron</t>
  </si>
  <si>
    <t>0011108930058B</t>
  </si>
  <si>
    <t xml:space="preserve">Jacqueline Vanessa Manzanares Brackman </t>
  </si>
  <si>
    <t>5611705770003L</t>
  </si>
  <si>
    <t>Omar Jose Hernandez Baldelomar</t>
  </si>
  <si>
    <t>0012806940028M</t>
  </si>
  <si>
    <t>Ervin De Jesus Ruiz Laguna</t>
  </si>
  <si>
    <t>0010902760046M</t>
  </si>
  <si>
    <t>Carlos Alberto Garcia Carranza</t>
  </si>
  <si>
    <t>4490210820001J</t>
  </si>
  <si>
    <t>Harvy Antonio Rios Jarquin</t>
  </si>
  <si>
    <t>0020510770000S</t>
  </si>
  <si>
    <t>Sheyla Ivania Espinoza Flores</t>
  </si>
  <si>
    <t>0011210750134W</t>
  </si>
  <si>
    <t>Ivania concepcion Somarriba Navarrete</t>
  </si>
  <si>
    <t>0040903650000F</t>
  </si>
  <si>
    <t>Loyda Maribel Aleman Rodriguez</t>
  </si>
  <si>
    <t>0012806890021G</t>
  </si>
  <si>
    <t>Karen Elizabeth Davila Lotiff</t>
  </si>
  <si>
    <t>4091704790003A</t>
  </si>
  <si>
    <t>Norman Elena Sanchez Soza</t>
  </si>
  <si>
    <t>2812304630008E</t>
  </si>
  <si>
    <t>Wilber Benito Garcia Lopez</t>
  </si>
  <si>
    <t>0040505670001A</t>
  </si>
  <si>
    <t>Telma Maria Berrios Mendoza</t>
  </si>
  <si>
    <t>0011104840005R</t>
  </si>
  <si>
    <t>Perla Marina Fonseca Meza</t>
  </si>
  <si>
    <t>4410311730004F</t>
  </si>
  <si>
    <t>Harvy Anibal Leiva</t>
  </si>
  <si>
    <t>0011608800080G</t>
  </si>
  <si>
    <t xml:space="preserve">Araceli Giovannia Aburto </t>
  </si>
  <si>
    <t>0012006920011M</t>
  </si>
  <si>
    <t>Carlos Mayeel Pineda Gutierrez</t>
  </si>
  <si>
    <t>0011307810083R</t>
  </si>
  <si>
    <t>Ana Cristina Obando Mayorga</t>
  </si>
  <si>
    <t>0021003660001T</t>
  </si>
  <si>
    <t>Fidelina deJesus Ortiz Gomez</t>
  </si>
  <si>
    <t>4022308931000A</t>
  </si>
  <si>
    <t xml:space="preserve">Dalia Maria Rivas Garcia </t>
  </si>
  <si>
    <t>0910903780000X</t>
  </si>
  <si>
    <t>Wilmer Javier Escalante  Zeron</t>
  </si>
  <si>
    <t>5611203640003H</t>
  </si>
  <si>
    <t>Rosa Felix Ibarra Mora</t>
  </si>
  <si>
    <t>0010204870050E</t>
  </si>
  <si>
    <t>Raquel De Los Angeles Hernandez Jimenez</t>
  </si>
  <si>
    <t>1641601700000N</t>
  </si>
  <si>
    <t>Ada Isabel Gonzalez</t>
  </si>
  <si>
    <t>0012109740071W</t>
  </si>
  <si>
    <t>Karla Vanessa Perez Cuadra</t>
  </si>
  <si>
    <t>0012111620009H</t>
  </si>
  <si>
    <t>Rosaura Elena Martinez Espinoza</t>
  </si>
  <si>
    <t>2011212840003W</t>
  </si>
  <si>
    <t>Ana Lizeth Garcia Zelaya</t>
  </si>
  <si>
    <t>3290311820000E</t>
  </si>
  <si>
    <t>Nidia Margarita Padilla Vasquez</t>
  </si>
  <si>
    <t>0011607890017H</t>
  </si>
  <si>
    <t>Lilliam Vanessa Pasquier Martinez</t>
  </si>
  <si>
    <t>0011810720046F</t>
  </si>
  <si>
    <t>Martha Lorena Flores Gutierrez</t>
  </si>
  <si>
    <t>0013107810016H</t>
  </si>
  <si>
    <t>Denia Vanessa Vanegas Ramirez</t>
  </si>
  <si>
    <t>4031603920000N</t>
  </si>
  <si>
    <t>Steven Natanahel Reyes</t>
  </si>
  <si>
    <t>4070810520000D</t>
  </si>
  <si>
    <t>Ana Del Rosario Mejia Garcia</t>
  </si>
  <si>
    <t>0030208850008F</t>
  </si>
  <si>
    <t>Martha Lilian Ramirez</t>
  </si>
  <si>
    <t>0011003590035B</t>
  </si>
  <si>
    <t>Miriam del Socorro Bracamonte Salmeron</t>
  </si>
  <si>
    <t>0070303981000C</t>
  </si>
  <si>
    <t>Keiling Abigail Ruiz Mendoza</t>
  </si>
  <si>
    <t>0042601620000V</t>
  </si>
  <si>
    <t>Juana Del Carmen Lira Alfaro</t>
  </si>
  <si>
    <t>2022511620000C</t>
  </si>
  <si>
    <t xml:space="preserve">Vilma De Jesus Reyes Managua Centro 2 </t>
  </si>
  <si>
    <t>2012911590007S</t>
  </si>
  <si>
    <t>Maria Auxiliadora Dominguez Guadamuz</t>
  </si>
  <si>
    <t>4492711770002X</t>
  </si>
  <si>
    <t>Marisol Valezka Ruiz Duran</t>
  </si>
  <si>
    <t>1210105680000U</t>
  </si>
  <si>
    <t>Silvia Gertrudis Manzanares Saenz</t>
  </si>
  <si>
    <t>0842605710000P</t>
  </si>
  <si>
    <t>Nery Maria Bucardo Carmona</t>
  </si>
  <si>
    <t>0010203830048S</t>
  </si>
  <si>
    <t>Claudia Lisseth Merlo Mejia</t>
  </si>
  <si>
    <t>0011002820027L</t>
  </si>
  <si>
    <t>Jenny Lexandra Pavon</t>
  </si>
  <si>
    <t>2021003540003P</t>
  </si>
  <si>
    <t>Gloria Maria Lara Matus</t>
  </si>
  <si>
    <t>0013110981034R</t>
  </si>
  <si>
    <t xml:space="preserve">Jerry Javier Urbina </t>
  </si>
  <si>
    <t>0013008890038S</t>
  </si>
  <si>
    <t>Darling de los Angeles Lezama Rayo</t>
  </si>
  <si>
    <t>0012308920016M</t>
  </si>
  <si>
    <t>Felix Salvador Garcia Pulido</t>
  </si>
  <si>
    <t>0011210920019E</t>
  </si>
  <si>
    <t>Yuli Cristina Sevilla Reyes</t>
  </si>
  <si>
    <t>0010101680088C</t>
  </si>
  <si>
    <t>Maria Eugenia Ruiz</t>
  </si>
  <si>
    <t>4500706641000U</t>
  </si>
  <si>
    <t>Josefa del Socorro Bramonte Mendez</t>
  </si>
  <si>
    <t>2891912640000x</t>
  </si>
  <si>
    <t>Concepcion Esperanza Acuña Morazan</t>
  </si>
  <si>
    <t>6151410840000K</t>
  </si>
  <si>
    <t xml:space="preserve">Mirna Esther Dormus Talavera </t>
  </si>
  <si>
    <t>0010811780107Y</t>
  </si>
  <si>
    <t>Carolina Del Carmen Sequeira Silvia</t>
  </si>
  <si>
    <t>0010801870018N</t>
  </si>
  <si>
    <t>Aracely de la Asuncion Gonzalez Lopez</t>
  </si>
  <si>
    <t>0010605860028B</t>
  </si>
  <si>
    <t>Raquel Leonor Garcia Ramirez</t>
  </si>
  <si>
    <t>0011903810073S</t>
  </si>
  <si>
    <t>michael Jose Montoya</t>
  </si>
  <si>
    <t>0011001001029P</t>
  </si>
  <si>
    <t>Brenda Rachel Gutierrez Rios</t>
  </si>
  <si>
    <t>0011605940054H</t>
  </si>
  <si>
    <t>Wendy Fabiola Betanco Toruño</t>
  </si>
  <si>
    <t>0010206730059D</t>
  </si>
  <si>
    <t>Ninoska De Los Angeles Argeñal Torrez</t>
  </si>
  <si>
    <t>0011312830008G</t>
  </si>
  <si>
    <t>Fidelina de Mercedes Mendez</t>
  </si>
  <si>
    <t>0012111981010A</t>
  </si>
  <si>
    <t xml:space="preserve">Linda Patricia Zamora Estrada </t>
  </si>
  <si>
    <t>0010409720088P</t>
  </si>
  <si>
    <t>Rosa Argentina Garcia Garcia</t>
  </si>
  <si>
    <t>4450408640000C</t>
  </si>
  <si>
    <t>Jasmina  Andrade Lopez</t>
  </si>
  <si>
    <t>0011102981000J</t>
  </si>
  <si>
    <t xml:space="preserve">Oscar Danilo Martinez Garcia </t>
  </si>
  <si>
    <t>0012311730019N</t>
  </si>
  <si>
    <t xml:space="preserve">Yader Clemente  Jimenez Martinez </t>
  </si>
  <si>
    <t>4492202011000B</t>
  </si>
  <si>
    <t>Massiel del carmen Perez Hernandez</t>
  </si>
  <si>
    <t>2030707610000K</t>
  </si>
  <si>
    <t>Martha Isabel Carballo Ramirez</t>
  </si>
  <si>
    <t>0010510021072X</t>
  </si>
  <si>
    <t xml:space="preserve">Julia Alexandra Herrera Hurtado </t>
  </si>
  <si>
    <t>0010811910021K</t>
  </si>
  <si>
    <t>Linda Marilyn Gonzalez Romero</t>
  </si>
  <si>
    <t>0820704670000D</t>
  </si>
  <si>
    <t>Freida Erika Molina Antequera</t>
  </si>
  <si>
    <t>0012210830041Y</t>
  </si>
  <si>
    <t xml:space="preserve">Rosa Argentina Rivera Hernandez </t>
  </si>
  <si>
    <t>0040212930002Y</t>
  </si>
  <si>
    <t>Meyling Vanessa Davila Velasquez</t>
  </si>
  <si>
    <t>0011901660000G</t>
  </si>
  <si>
    <t>Martha Veronica Herrera</t>
  </si>
  <si>
    <t>0012908680058B</t>
  </si>
  <si>
    <t>Alba Marina Gomez Solorzano</t>
  </si>
  <si>
    <t>0010606880049U</t>
  </si>
  <si>
    <t>Adelayda Azucena Centeno Mendoza</t>
  </si>
  <si>
    <t>0010102730008U</t>
  </si>
  <si>
    <t>Anabelle Garcia Flores</t>
  </si>
  <si>
    <t>0010102830033S</t>
  </si>
  <si>
    <t>Maria Elizabeth Zapata Meza</t>
  </si>
  <si>
    <t>0012907600002C</t>
  </si>
  <si>
    <t>Rodolfo Jose Martinez</t>
  </si>
  <si>
    <t>0012511791000B</t>
  </si>
  <si>
    <t>Amanda Del Carmen Mendoza Machado</t>
  </si>
  <si>
    <t>0012102810034X</t>
  </si>
  <si>
    <t>Ericka Auxiliadora Uriarte Gonzalez</t>
  </si>
  <si>
    <t>0012802860062R</t>
  </si>
  <si>
    <t>Jessenia Maria Fonseca  Muñoz</t>
  </si>
  <si>
    <t>3621704790002G</t>
  </si>
  <si>
    <t>Yessenia del Socorro Garcia  Martinez</t>
  </si>
  <si>
    <t>0010302870018J</t>
  </si>
  <si>
    <t>Rebeca del Rosario Perez</t>
  </si>
  <si>
    <t>0011809880025P</t>
  </si>
  <si>
    <t>Teresa Raquel Lopez Vallecillo</t>
  </si>
  <si>
    <t>0010311560047S</t>
  </si>
  <si>
    <t>Mario Francisco Siero Valle</t>
  </si>
  <si>
    <t>0011806780038N</t>
  </si>
  <si>
    <t>Marjean Vanessa Flores Sobalvarro</t>
  </si>
  <si>
    <t>0011408900037B</t>
  </si>
  <si>
    <t>Lidia Cristina Sanchez Martinez</t>
  </si>
  <si>
    <t>0011806991025W</t>
  </si>
  <si>
    <t>Valeria Esmeralda Flores Mendoza</t>
  </si>
  <si>
    <t>2880701770001N</t>
  </si>
  <si>
    <t xml:space="preserve">Maria Esmeralda Martinez Vilchez </t>
  </si>
  <si>
    <t>Arlen Del Socorro Arauz Hernandez</t>
  </si>
  <si>
    <t>0012302980005D</t>
  </si>
  <si>
    <t>Geovanny Francisco Aburto Flores</t>
  </si>
  <si>
    <t>0010507720058V</t>
  </si>
  <si>
    <t>Laura Mercedes Alvarez Ibarra</t>
  </si>
  <si>
    <t>4061301630003G</t>
  </si>
  <si>
    <t>Andrea del Socorro Sandino Gutierrez</t>
  </si>
  <si>
    <t>1272201650006R</t>
  </si>
  <si>
    <t>Luz Marina Acevedo Gonzalez</t>
  </si>
  <si>
    <t>0011606810066X</t>
  </si>
  <si>
    <t xml:space="preserve">Olga Maria Benavides Garcia </t>
  </si>
  <si>
    <t>2812108770000R</t>
  </si>
  <si>
    <t>Juana Del Socorro Torres Olivas</t>
  </si>
  <si>
    <t>0010903890036M</t>
  </si>
  <si>
    <t>Eveling  Del Socorro Rodriguez Aguilar</t>
  </si>
  <si>
    <t>0012004951001J</t>
  </si>
  <si>
    <t xml:space="preserve">Elsa Xiomara Narvaez Palma </t>
  </si>
  <si>
    <t>2911910660002L</t>
  </si>
  <si>
    <t xml:space="preserve">Petrona Lucia Delgado Moran </t>
  </si>
  <si>
    <t>0010802600000W</t>
  </si>
  <si>
    <t xml:space="preserve">Alba Isabel Silva </t>
  </si>
  <si>
    <t>0431004770000C</t>
  </si>
  <si>
    <t xml:space="preserve">ILeana del Carmen Mojica Garcia </t>
  </si>
  <si>
    <t>0011010930028E</t>
  </si>
  <si>
    <t>Cristopher Alexander Cuadra Espinoza</t>
  </si>
  <si>
    <t>2461105991002L</t>
  </si>
  <si>
    <t xml:space="preserve">Jolibeth Cruz Garcia </t>
  </si>
  <si>
    <t>0042804590000L</t>
  </si>
  <si>
    <t>Mirna Del Carmen Aburto Bojorge</t>
  </si>
  <si>
    <t>2810611620001L</t>
  </si>
  <si>
    <t>Leonarda Ester Lopez Martinez</t>
  </si>
  <si>
    <t>0010409670085N</t>
  </si>
  <si>
    <t xml:space="preserve">Maria Elena Selva </t>
  </si>
  <si>
    <t>1240406930000Y</t>
  </si>
  <si>
    <t>Lester Josue Morales Arana</t>
  </si>
  <si>
    <t>6120405730003R</t>
  </si>
  <si>
    <t xml:space="preserve">Monica Gaitan Gonzalez </t>
  </si>
  <si>
    <t>0011604031009J</t>
  </si>
  <si>
    <t xml:space="preserve"> Naydeli Maria Vallecillo Castillo</t>
  </si>
  <si>
    <t>0860607760000R</t>
  </si>
  <si>
    <t xml:space="preserve">Andrea De Jesus Martinez </t>
  </si>
  <si>
    <t>4813108930001F</t>
  </si>
  <si>
    <t xml:space="preserve">Ivania del Carmen Duarte Duarte </t>
  </si>
  <si>
    <t>0013105890036X</t>
  </si>
  <si>
    <t>Ricardo Alberto Parrales</t>
  </si>
  <si>
    <t>0852808900000C</t>
  </si>
  <si>
    <t>Yusmeri Lucia Mendez Padilla</t>
  </si>
  <si>
    <t>0012209850093N</t>
  </si>
  <si>
    <t>Rebeca del Socorro Castillo Gonzalez</t>
  </si>
  <si>
    <t>0010101780039U</t>
  </si>
  <si>
    <t>Urania De Mercedes Avellan Ordoñez</t>
  </si>
  <si>
    <t>0011512870039x</t>
  </si>
  <si>
    <t xml:space="preserve">Maribel del Socorro Obando Medina </t>
  </si>
  <si>
    <t>0012008860062N</t>
  </si>
  <si>
    <t>Elizabeth del Carmen Diaz Aguirre</t>
  </si>
  <si>
    <t>0010505850009J</t>
  </si>
  <si>
    <t>Maria Auxiliadora Caparro</t>
  </si>
  <si>
    <t>0012204820047W</t>
  </si>
  <si>
    <t>Yahaira del Socorro  Huerta Perez</t>
  </si>
  <si>
    <t>0012207800046B</t>
  </si>
  <si>
    <t>Tania Sugey Saavedra</t>
  </si>
  <si>
    <t>6240510840000W</t>
  </si>
  <si>
    <t xml:space="preserve">Jury Siomara Morales Orosco </t>
  </si>
  <si>
    <t>0012310910018H</t>
  </si>
  <si>
    <t>Fatima Sugey Vallecillo Garcia</t>
  </si>
  <si>
    <t>3630608670001Q</t>
  </si>
  <si>
    <t>Andres Emiliano Mendoza</t>
  </si>
  <si>
    <t>0811903700005U</t>
  </si>
  <si>
    <t xml:space="preserve">Josefa del Carmen  Caceres Sanchez </t>
  </si>
  <si>
    <t>0012702920055Y</t>
  </si>
  <si>
    <t>Miriam del socorro Estrada Gonzalez</t>
  </si>
  <si>
    <t>2910809941000N</t>
  </si>
  <si>
    <t xml:space="preserve">Jeysell Carolina Vargas </t>
  </si>
  <si>
    <t>0030106640000V</t>
  </si>
  <si>
    <t>Jose Antonio Alaniz Zamora</t>
  </si>
  <si>
    <t>0012205740000N</t>
  </si>
  <si>
    <t>Belly Alexandra Mejia Obando</t>
  </si>
  <si>
    <t>4010308971000S</t>
  </si>
  <si>
    <t xml:space="preserve">Dayana de los Angeles Bermudez Fuentes </t>
  </si>
  <si>
    <t>0010411820002E</t>
  </si>
  <si>
    <t xml:space="preserve">Elizabeth de los Angeles Jarquin Quiroz </t>
  </si>
  <si>
    <t>0012802920056C</t>
  </si>
  <si>
    <t>Dalia Wualkiria Arguello Hernandez</t>
  </si>
  <si>
    <t>0412609850000R</t>
  </si>
  <si>
    <t>Flor De  Maria Peralta</t>
  </si>
  <si>
    <t>2410210810012J</t>
  </si>
  <si>
    <t>Damaris Del Socorro Peralta Villareyna</t>
  </si>
  <si>
    <t>4491710740002l</t>
  </si>
  <si>
    <t>Dina Amanda Isabel Ordoñez Bermudez</t>
  </si>
  <si>
    <t>2912005790006P</t>
  </si>
  <si>
    <t>Milagro Del Socorro Osorio Rivas</t>
  </si>
  <si>
    <t>0011504810044J</t>
  </si>
  <si>
    <t xml:space="preserve">Lizette del Socorro Velasquez Mercado </t>
  </si>
  <si>
    <t>0012601870057U</t>
  </si>
  <si>
    <t xml:space="preserve">Lucia de la Asuncion Jarquin Mairena </t>
  </si>
  <si>
    <t>0010906991049D</t>
  </si>
  <si>
    <t>Carlos Daniel Blandino Bolaños</t>
  </si>
  <si>
    <t>0010606810016W</t>
  </si>
  <si>
    <t>William Porfirio Rodriguez Solorzano</t>
  </si>
  <si>
    <t>0010608870041E</t>
  </si>
  <si>
    <t>Maria Jose Mendez</t>
  </si>
  <si>
    <t>0012309860034V</t>
  </si>
  <si>
    <t>Karen Magali Mayorga Valle</t>
  </si>
  <si>
    <t>6261112780003T</t>
  </si>
  <si>
    <t>Quinnette Sarita Sambola Hansack</t>
  </si>
  <si>
    <t>0012008870038G</t>
  </si>
  <si>
    <t>Dameyba De Los Angeles Aguirre Aburto</t>
  </si>
  <si>
    <t>0021508760002J</t>
  </si>
  <si>
    <t>Rosa Argentina Carballo Salinas</t>
  </si>
  <si>
    <t>0011005870009J</t>
  </si>
  <si>
    <t>Ana  Jacoba Zuniga Mayorga</t>
  </si>
  <si>
    <t>0011005991035J</t>
  </si>
  <si>
    <t>Lorena Marcela Espinoza Membreño</t>
  </si>
  <si>
    <t>4890705751000G</t>
  </si>
  <si>
    <t>Marlen de Jesus Reyes Rios</t>
  </si>
  <si>
    <t>0011701630054C</t>
  </si>
  <si>
    <t>Veronica Del Socorro Lopez Mayorga</t>
  </si>
  <si>
    <t>4092801850000T</t>
  </si>
  <si>
    <t>Liset del Socorro Aguirre Velasquez</t>
  </si>
  <si>
    <t>0012411890015Y</t>
  </si>
  <si>
    <t>Yeymi Yeraldina Monge</t>
  </si>
  <si>
    <t>4060211780002Q</t>
  </si>
  <si>
    <t xml:space="preserve">Karla Patricia Hurtado Chinchilla </t>
  </si>
  <si>
    <t>0010102710007E</t>
  </si>
  <si>
    <t xml:space="preserve">Cristan Dabeiba Vivas </t>
  </si>
  <si>
    <t>0011608720079Y</t>
  </si>
  <si>
    <t>Claudia Patricia Mojica</t>
  </si>
  <si>
    <t>0011108880046Q</t>
  </si>
  <si>
    <t>Grethell Natalia Ruiz Almanza</t>
  </si>
  <si>
    <t>0010702951001S</t>
  </si>
  <si>
    <t>Fabiana Francisca Molina Membreño</t>
  </si>
  <si>
    <t>0012202680081W</t>
  </si>
  <si>
    <t>Jannette De Los Santos Vivas Luna</t>
  </si>
  <si>
    <t>0010301700053H</t>
  </si>
  <si>
    <t xml:space="preserve">Bertha Isabel Silva Solis </t>
  </si>
  <si>
    <t>0011001720094G</t>
  </si>
  <si>
    <t xml:space="preserve">Ivonne Liseth Martinez Rugama </t>
  </si>
  <si>
    <t>0012801970043E</t>
  </si>
  <si>
    <t>Aissa Gabriela Rizo Ramirez</t>
  </si>
  <si>
    <t>0011203980019B</t>
  </si>
  <si>
    <t>Katerine Massiel Tellez Blanco</t>
  </si>
  <si>
    <t>4811407800010S</t>
  </si>
  <si>
    <t>Johana Vanessa Chavarria Castellano</t>
  </si>
  <si>
    <t>0070210740005U</t>
  </si>
  <si>
    <t>Luz Marina Busto Vallecillo</t>
  </si>
  <si>
    <t>6010109690002Q</t>
  </si>
  <si>
    <t xml:space="preserve">Santa Jilma Torrez </t>
  </si>
  <si>
    <t>0011701900041R</t>
  </si>
  <si>
    <t>Meuris Mireya Garcia Carranza</t>
  </si>
  <si>
    <t>0070904900001E</t>
  </si>
  <si>
    <t xml:space="preserve">Brenda de los Angeles Cardenal Talavera </t>
  </si>
  <si>
    <t>0012002600061P</t>
  </si>
  <si>
    <t xml:space="preserve">Lidia Margatita Saballos Hernandez </t>
  </si>
  <si>
    <t>1612808940004G</t>
  </si>
  <si>
    <t xml:space="preserve">Anielka del Carmen Cardenas Lopez </t>
  </si>
  <si>
    <t>0010212840043Q</t>
  </si>
  <si>
    <t xml:space="preserve">Tanihuska Jovita Lugo Delgado </t>
  </si>
  <si>
    <t>0011009940037C</t>
  </si>
  <si>
    <t>Dayana Tamara Blandon Flores</t>
  </si>
  <si>
    <t>0011303971009K</t>
  </si>
  <si>
    <t>Rosa Del Carmen Garcia Fonseca</t>
  </si>
  <si>
    <t>0012007001006A</t>
  </si>
  <si>
    <t>Luciana de los Angeles Aguilera Martinez</t>
  </si>
  <si>
    <t>4410812680011H</t>
  </si>
  <si>
    <t xml:space="preserve">Clorinda Concepcion Blandon Chavarria </t>
  </si>
  <si>
    <t>0011705830004Q</t>
  </si>
  <si>
    <t xml:space="preserve">Orlando Gustavo Rueda Nuñez </t>
  </si>
  <si>
    <t>0012112750012W</t>
  </si>
  <si>
    <t xml:space="preserve">Rosa Alba Palma Aguilar </t>
  </si>
  <si>
    <t>0012503850004J</t>
  </si>
  <si>
    <t>Jessica Argentina Moreno Zamora</t>
  </si>
  <si>
    <t>2031503991002J</t>
  </si>
  <si>
    <t>Jorge Alexander Salazar Perez</t>
  </si>
  <si>
    <t>0010710870013P</t>
  </si>
  <si>
    <t xml:space="preserve">Mariel Rosario Hernandez Chavarria </t>
  </si>
  <si>
    <t>0010110730042J</t>
  </si>
  <si>
    <t xml:space="preserve">Lucrecia Argentina Cortez Molina </t>
  </si>
  <si>
    <t>0012808780013V</t>
  </si>
  <si>
    <t>Maria Argentina Acevedo Bustos</t>
  </si>
  <si>
    <t>0011306991012W</t>
  </si>
  <si>
    <t>Angela Yusimit Mejia Garay</t>
  </si>
  <si>
    <t>0010806670057W</t>
  </si>
  <si>
    <t>Denis Ramon Vasquez</t>
  </si>
  <si>
    <t>4412005830006B</t>
  </si>
  <si>
    <t>Luisa Maria Lopez Martinez</t>
  </si>
  <si>
    <t>4010611981009X</t>
  </si>
  <si>
    <t>Tatiana Hoayda Urbina Meza</t>
  </si>
  <si>
    <t>3622001710005Q</t>
  </si>
  <si>
    <t>Juan Alberto Rocha</t>
  </si>
  <si>
    <t>0011212940031U</t>
  </si>
  <si>
    <t>Rosa Noelia Valle</t>
  </si>
  <si>
    <t>0062204930000x</t>
  </si>
  <si>
    <t>Keylin Vanesa Velasquez Castañeda</t>
  </si>
  <si>
    <t>2410806790004X</t>
  </si>
  <si>
    <t>Janette Del Carmen Hernandez</t>
  </si>
  <si>
    <t>0011709860053D</t>
  </si>
  <si>
    <t>Xochilt Lerania Ferrey Rodriguez</t>
  </si>
  <si>
    <t>0012005730011J</t>
  </si>
  <si>
    <t>Fanny Bernarda Davila Mora</t>
  </si>
  <si>
    <t>0012808830092E</t>
  </si>
  <si>
    <t>Darling De Los Angeles Hammonds Perez</t>
  </si>
  <si>
    <t>0071101580000M</t>
  </si>
  <si>
    <t>Esther Del Carmen Aburto Gonzale</t>
  </si>
  <si>
    <t>0841308690000R</t>
  </si>
  <si>
    <t>Griselda De Los Angeles Ortega Castillo</t>
  </si>
  <si>
    <t>0012905031019E</t>
  </si>
  <si>
    <t>Jennifer Elizabeth Morales Cruz</t>
  </si>
  <si>
    <t>4020705870000R</t>
  </si>
  <si>
    <t>Xiomara Del socorro Sanchez</t>
  </si>
  <si>
    <t>0011510610093K</t>
  </si>
  <si>
    <t>Esther Del Carmen Garcia Arauz</t>
  </si>
  <si>
    <t>0012307680050X</t>
  </si>
  <si>
    <t>Mercedes Elvira Cuarezma</t>
  </si>
  <si>
    <t>0012011840018V</t>
  </si>
  <si>
    <t>Michael Alexander Figueroa</t>
  </si>
  <si>
    <t>2010903800004Y</t>
  </si>
  <si>
    <t>Ana Maritza Morales</t>
  </si>
  <si>
    <t>0010811970011R</t>
  </si>
  <si>
    <t>Hector Ernesto Vallejos</t>
  </si>
  <si>
    <t>0020307810001X</t>
  </si>
  <si>
    <t>Norma Del socorro Rocha</t>
  </si>
  <si>
    <t>0011107920037C</t>
  </si>
  <si>
    <t>Deyling Del Carmen Guzman</t>
  </si>
  <si>
    <t>4410412780003L</t>
  </si>
  <si>
    <t>Marlon Arturo Mena</t>
  </si>
  <si>
    <t>2010307790006A</t>
  </si>
  <si>
    <t>Elias Enog Carballo</t>
  </si>
  <si>
    <t>0013108820052X</t>
  </si>
  <si>
    <t>Gabriel Antonio Figueroa</t>
  </si>
  <si>
    <t>6031510790003J</t>
  </si>
  <si>
    <t>Blanca Jaquelin Aguilar</t>
  </si>
  <si>
    <t>0012604610066Q</t>
  </si>
  <si>
    <t>Guadalupe Mercedes Garcia Garcia</t>
  </si>
  <si>
    <t>0031607800003B</t>
  </si>
  <si>
    <t>Jessika del Carmen Villatoro Gonzalez</t>
  </si>
  <si>
    <t>1212009800002Y</t>
  </si>
  <si>
    <t>DAREYSA DEL CARMEN REYES BRAVO</t>
  </si>
  <si>
    <t xml:space="preserve">Michael  Hernandez </t>
  </si>
  <si>
    <t>0071409880001J</t>
  </si>
  <si>
    <t>Javier Antonio Ampie Palacio</t>
  </si>
  <si>
    <t>0011612910030T</t>
  </si>
  <si>
    <t>Katherine del Carmen Gutierrez Castillo</t>
  </si>
  <si>
    <t>0012302920015B</t>
  </si>
  <si>
    <t>Nelson Antonio Ruiz</t>
  </si>
  <si>
    <t>0011711860001R</t>
  </si>
  <si>
    <t>Carlos Alberto Huete</t>
  </si>
  <si>
    <t>2872204770000W</t>
  </si>
  <si>
    <t xml:space="preserve">Jacqueline Del Socorro Ordeñana </t>
  </si>
  <si>
    <t>0011409930054K</t>
  </si>
  <si>
    <t>Fabiola Masiel Bonilla Guzman</t>
  </si>
  <si>
    <t>5611311720005N</t>
  </si>
  <si>
    <t>Lilliam Lorena Hernandez Baldelomar</t>
  </si>
  <si>
    <t>0011812770011D</t>
  </si>
  <si>
    <t>Luis Manuel Espinoza Casco</t>
  </si>
  <si>
    <t>2811912730032U</t>
  </si>
  <si>
    <t>Lucia Margarita Oviedo Correa</t>
  </si>
  <si>
    <t>0010610940024L</t>
  </si>
  <si>
    <t>Luis Alberto Vargas Valenzuela</t>
  </si>
  <si>
    <t>0011710880043N</t>
  </si>
  <si>
    <t>Ninoska Raquel Obando Hurtado</t>
  </si>
  <si>
    <t>0460412620000A</t>
  </si>
  <si>
    <t>Ruth Belina Lara Aleman</t>
  </si>
  <si>
    <t>0010412041023U</t>
  </si>
  <si>
    <t>Barbara Nicole Auxiliadora Altamirano</t>
  </si>
  <si>
    <t>2810509021012V</t>
  </si>
  <si>
    <t>Joathan Jesus Lainez Aguilar</t>
  </si>
  <si>
    <t>0012612970022Y</t>
  </si>
  <si>
    <t>Marisol De Los Angeles Gonzalez Rodriguez</t>
  </si>
  <si>
    <t>0011002920004G</t>
  </si>
  <si>
    <t>Mariano David Bustos Reyes</t>
  </si>
  <si>
    <t>6011205750000D</t>
  </si>
  <si>
    <t>Martha Lorena Rivas Suazo</t>
  </si>
  <si>
    <t>0012011830014W</t>
  </si>
  <si>
    <t>Mary Katherine Quiroz Gonzalez</t>
  </si>
  <si>
    <t>0012502920015B</t>
  </si>
  <si>
    <t>Nelson Antonio Ruiz bermudez</t>
  </si>
  <si>
    <t>0011309870008Q</t>
  </si>
  <si>
    <t>Oneyda Isabel Campos Castillo</t>
  </si>
  <si>
    <t>4411002981013X</t>
  </si>
  <si>
    <t>Osman Jose Lopez Ochoa</t>
  </si>
  <si>
    <t>5210602840000F</t>
  </si>
  <si>
    <t>Osneyllin Nambia Flores Florian</t>
  </si>
  <si>
    <t>0012012780003T</t>
  </si>
  <si>
    <t>Sandra Elisa Alfaro Urbina</t>
  </si>
  <si>
    <t>0010508750085Q</t>
  </si>
  <si>
    <t>Silvia Elena Gonzalez Ramirez</t>
  </si>
  <si>
    <t>Silvia Elena Ramirez Garcia</t>
  </si>
  <si>
    <t>0012403810008H</t>
  </si>
  <si>
    <t>Sobeyda  Del Carmen  Jiron Silva</t>
  </si>
  <si>
    <t>0011108750071N</t>
  </si>
  <si>
    <t xml:space="preserve">Xiomara Del Socorro Arrechavala </t>
  </si>
  <si>
    <t>3612101800008E</t>
  </si>
  <si>
    <t>Harold Vicente Soza Catro</t>
  </si>
  <si>
    <t>3211005940002D</t>
  </si>
  <si>
    <t>Yorling Mabel Torrez Vasquez</t>
  </si>
  <si>
    <t>0021210800006X</t>
  </si>
  <si>
    <t>Marietta Auxiliadora Estrada 0</t>
  </si>
  <si>
    <t>4492003690001X</t>
  </si>
  <si>
    <t>Toribio Jose Mendoza Ramirez</t>
  </si>
  <si>
    <t>0012112680024X</t>
  </si>
  <si>
    <t>Fatima Del Rosario Aleman Sarantes</t>
  </si>
  <si>
    <t>0012610790087E</t>
  </si>
  <si>
    <t>Dora Maria Santos Lopez</t>
  </si>
  <si>
    <t>0010702680067Y</t>
  </si>
  <si>
    <t>Fatima Maria Bermudez Orozco</t>
  </si>
  <si>
    <t>6111109620001X</t>
  </si>
  <si>
    <t>Elena Auxiliadora Reyes</t>
  </si>
  <si>
    <t>0441209760000M</t>
  </si>
  <si>
    <t>Bernarda De los santos Cortez</t>
  </si>
  <si>
    <t>2812002900011R</t>
  </si>
  <si>
    <t>Ana Bethlem Perez</t>
  </si>
  <si>
    <t>0031409981002X</t>
  </si>
  <si>
    <t>Ninoska Del socorro Vidareyna</t>
  </si>
  <si>
    <t>4412003700017V</t>
  </si>
  <si>
    <t>Aurora Siles Mejia</t>
  </si>
  <si>
    <t>0010109810123W</t>
  </si>
  <si>
    <t>Wilfredo Antonio Leon</t>
  </si>
  <si>
    <t>0011205900010X</t>
  </si>
  <si>
    <t>Jessenia Suyen Molina</t>
  </si>
  <si>
    <t>4881001710001F</t>
  </si>
  <si>
    <t>Erika Vanessa Torrez</t>
  </si>
  <si>
    <t>0012112690015H</t>
  </si>
  <si>
    <t>Myrian Del Carmen Moreno</t>
  </si>
  <si>
    <t>0011405680072P</t>
  </si>
  <si>
    <t>Esther De los angeles Lopez</t>
  </si>
  <si>
    <t>0010508850053B</t>
  </si>
  <si>
    <t>Wilmer Antonio Yescas</t>
  </si>
  <si>
    <t>0012911991018V</t>
  </si>
  <si>
    <t>Julissa Tamara Chavarria</t>
  </si>
  <si>
    <t>Cantida de cuotas</t>
  </si>
  <si>
    <t>Mes</t>
  </si>
  <si>
    <t>Año</t>
  </si>
  <si>
    <t>Primer</t>
  </si>
  <si>
    <t>segundo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</si>
</sst>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-[$$-340A]\ * #,##0.00_-;\-[$$-340A]\ * #,##0.00_-;_-[$$-340A]\ * &quot;-&quot;??_-;_-@"/>
    <numFmt numFmtId="165" formatCode="_-&quot;C$&quot;* #,##0.00_-;\-&quot;C$&quot;* #,##0.00_-;_-&quot;C$&quot;* &quot;-&quot;??_-;_-@"/>
    <numFmt numFmtId="166" formatCode="_-[$$-240A]\ * #,##0.00_-;\-[$$-240A]\ * #,##0.00_-;_-[$$-240A]\ * &quot;-&quot;??_-;_-@"/>
    <numFmt numFmtId="167" formatCode="[$-10409]m/d/yyyy\ h:mm\ AM/PM"/>
    <numFmt numFmtId="168" formatCode="[$-10409]dd/mm/yyyy"/>
    <numFmt numFmtId="169" formatCode="[$-14C0A]#,##0.00;\(#,##0.00\)"/>
    <numFmt numFmtId="170" formatCode="[$-10409]0;\(0\)"/>
    <numFmt numFmtId="171" formatCode="[$-14C0A]#,##0;\(#,##0\)"/>
    <numFmt numFmtId="172" formatCode="[$-F800]dddd\,\ mmmm\ dd\,\ yyyy"/>
    <numFmt numFmtId="173" formatCode="_-* #,##0.0000_-;\-* #,##0.0000_-;_-* &quot;-&quot;??_-;_-@"/>
    <numFmt numFmtId="174" formatCode="_-* #,##0.00_-;\-* #,##0.00_-;_-* &quot;-&quot;??_-;_-@"/>
    <numFmt numFmtId="175" formatCode="_-[$$-1004]* #,##0.00_-;\-[$$-1004]* #,##0.00_-;_-[$$-1004]* &quot;-&quot;??_-;_-@"/>
    <numFmt numFmtId="176" formatCode="_ [$$-340A]* #,##0.00_ ;_ [$$-340A]* \-#,##0.00_ ;_ [$$-340A]* &quot;-&quot;??_ ;_ @_ "/>
  </numFmts>
  <fonts count="29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b/>
      <sz val="16.0"/>
      <color theme="0"/>
      <name val="Calibri"/>
    </font>
    <font/>
    <font>
      <b/>
      <sz val="11.0"/>
      <color theme="1"/>
      <name val="Gulim"/>
    </font>
    <font>
      <sz val="11.0"/>
      <color theme="1"/>
      <name val="Gulim"/>
    </font>
    <font>
      <b/>
      <sz val="12.0"/>
      <color theme="1"/>
      <name val="Calibri"/>
    </font>
    <font>
      <b/>
      <sz val="14.0"/>
      <color theme="1"/>
      <name val="Courier New"/>
    </font>
    <font>
      <sz val="14.0"/>
      <color theme="1"/>
      <name val="Courier New"/>
    </font>
    <font>
      <b/>
      <sz val="16.0"/>
      <color theme="1"/>
      <name val="Courier New"/>
    </font>
    <font>
      <b/>
      <sz val="10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9.0"/>
      <color rgb="FF000000"/>
      <name val="Calibri"/>
    </font>
    <font>
      <b/>
      <sz val="8.0"/>
      <color rgb="FF000000"/>
      <name val="Calibri"/>
    </font>
    <font>
      <sz val="9.0"/>
      <color rgb="FF000000"/>
      <name val="Calibri"/>
    </font>
    <font>
      <b/>
      <u/>
      <sz val="10.0"/>
      <color rgb="FF000000"/>
      <name val="Arial"/>
    </font>
    <font>
      <b/>
      <sz val="11.0"/>
      <color theme="1"/>
      <name val="Calibri"/>
    </font>
    <font>
      <sz val="9.0"/>
      <color rgb="FF000000"/>
      <name val="Arial"/>
    </font>
    <font>
      <sz val="14.0"/>
      <color theme="0"/>
      <name val="Courier New"/>
    </font>
    <font>
      <b/>
      <sz val="12.0"/>
      <color theme="1"/>
      <name val="Courier New"/>
    </font>
    <font>
      <b/>
      <sz val="14.0"/>
      <color theme="0"/>
      <name val="Courier New"/>
    </font>
    <font>
      <b/>
      <u/>
      <sz val="14.0"/>
      <color theme="1"/>
      <name val="Courier New"/>
    </font>
    <font>
      <b/>
      <u/>
      <sz val="14.0"/>
      <color theme="1"/>
      <name val="Courier New"/>
    </font>
    <font>
      <sz val="14.0"/>
      <color theme="5"/>
      <name val="Courier New"/>
    </font>
    <font>
      <sz val="11.0"/>
      <color rgb="FF000000"/>
      <name val="Calibri"/>
    </font>
    <font>
      <sz val="10.0"/>
      <color theme="1"/>
      <name val="Arial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244061"/>
        <bgColor rgb="FF244061"/>
      </patternFill>
    </fill>
    <fill>
      <patternFill patternType="solid">
        <fgColor rgb="FFE5DFEC"/>
        <bgColor rgb="FFE5DFEC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494429"/>
        <bgColor rgb="FF494429"/>
      </patternFill>
    </fill>
  </fills>
  <borders count="62">
    <border/>
    <border>
      <left/>
      <right/>
      <top/>
      <bottom/>
    </border>
    <border>
      <left style="medium">
        <color theme="5"/>
      </left>
      <top style="medium">
        <color theme="5"/>
      </top>
    </border>
    <border>
      <top style="medium">
        <color theme="5"/>
      </top>
    </border>
    <border>
      <right style="medium">
        <color theme="5"/>
      </right>
      <top style="medium">
        <color theme="5"/>
      </top>
    </border>
    <border>
      <left style="medium">
        <color theme="5"/>
      </left>
      <top/>
      <bottom/>
    </border>
    <border>
      <right/>
      <top/>
      <bottom/>
    </border>
    <border>
      <left/>
      <right style="medium">
        <color theme="5"/>
      </right>
      <top/>
      <bottom/>
    </border>
    <border>
      <left style="medium">
        <color theme="5"/>
      </left>
    </border>
    <border>
      <right style="medium">
        <color theme="5"/>
      </right>
    </border>
    <border>
      <left style="medium">
        <color theme="5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theme="5"/>
      </left>
      <right/>
      <top/>
      <bottom/>
    </border>
    <border>
      <left style="medium">
        <color theme="5"/>
      </left>
      <bottom style="medium">
        <color theme="5"/>
      </bottom>
    </border>
    <border>
      <bottom style="medium">
        <color theme="5"/>
      </bottom>
    </border>
    <border>
      <right style="medium">
        <color theme="5"/>
      </right>
      <bottom style="medium">
        <color theme="5"/>
      </bottom>
    </border>
    <border>
      <bottom style="medium">
        <color theme="1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right style="thin">
        <color rgb="FF000000"/>
      </right>
      <top/>
    </border>
    <border>
      <left/>
      <bottom/>
    </border>
    <border>
      <bottom/>
    </border>
    <border>
      <right/>
      <bottom/>
    </border>
    <border>
      <right style="thin">
        <color rgb="FF000000"/>
      </right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top style="thin">
        <color rgb="FF000000"/>
      </top>
      <bottom style="thin">
        <color rgb="FF000000"/>
      </bottom>
    </border>
    <border>
      <right style="thin">
        <color rgb="FFD3D3D3"/>
      </right>
      <top style="thin">
        <color rgb="FF000000"/>
      </top>
      <bottom style="thin">
        <color rgb="FF000000"/>
      </bottom>
    </border>
    <border>
      <left style="thin">
        <color rgb="FFD3D3D3"/>
      </left>
      <top style="thin">
        <color rgb="FF000000"/>
      </top>
      <bottom style="thin">
        <color rgb="FF000000"/>
      </bottom>
    </border>
    <border>
      <left style="thin">
        <color rgb="FFD3D3D3"/>
      </left>
      <right style="thin">
        <color rgb="FFD3D3D3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000000"/>
      </top>
      <bottom style="thin">
        <color rgb="FFD3D3D3"/>
      </bottom>
    </border>
    <border>
      <right style="thin">
        <color rgb="FFD3D3D3"/>
      </right>
      <top style="thin">
        <color rgb="FF000000"/>
      </top>
      <bottom style="thin">
        <color rgb="FFD3D3D3"/>
      </bottom>
    </border>
    <border>
      <left style="thin">
        <color rgb="FFD3D3D3"/>
      </left>
      <top style="thin">
        <color rgb="FF000000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bottom style="thin">
        <color theme="1"/>
      </bottom>
    </border>
    <border>
      <right style="medium">
        <color rgb="FF3F3F3F"/>
      </right>
      <bottom style="medium">
        <color rgb="FF3F3F3F"/>
      </bottom>
    </border>
    <border>
      <left style="medium">
        <color rgb="FF595959"/>
      </left>
      <bottom style="medium">
        <color rgb="FF595959"/>
      </bottom>
    </border>
    <border>
      <bottom style="medium">
        <color rgb="FF595959"/>
      </bottom>
    </border>
    <border>
      <left style="medium">
        <color rgb="FFA5A5A5"/>
      </left>
      <right style="thin">
        <color rgb="FFA5A5A5"/>
      </right>
      <bottom style="medium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3F3F3F"/>
      </left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top style="thin">
        <color theme="1"/>
      </top>
      <bottom style="medium">
        <color theme="1"/>
      </bottom>
    </border>
    <border>
      <left/>
      <right/>
      <top style="thin">
        <color theme="1"/>
      </top>
      <bottom style="medium">
        <color theme="1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1" numFmtId="0" xfId="0" applyAlignment="1" applyBorder="1" applyFont="1">
      <alignment horizontal="left"/>
    </xf>
    <xf borderId="3" fillId="0" fontId="1" numFmtId="0" xfId="0" applyBorder="1" applyFont="1"/>
    <xf borderId="4" fillId="0" fontId="1" numFmtId="0" xfId="0" applyBorder="1" applyFont="1"/>
    <xf borderId="1" fillId="2" fontId="2" numFmtId="0" xfId="0" applyBorder="1" applyFont="1"/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3" fontId="2" numFmtId="0" xfId="0" applyBorder="1" applyFont="1"/>
    <xf borderId="8" fillId="0" fontId="1" numFmtId="0" xfId="0" applyAlignment="1" applyBorder="1" applyFont="1">
      <alignment horizontal="left"/>
    </xf>
    <xf borderId="0" fillId="0" fontId="1" numFmtId="0" xfId="0" applyFont="1"/>
    <xf borderId="9" fillId="0" fontId="1" numFmtId="0" xfId="0" applyBorder="1" applyFont="1"/>
    <xf borderId="10" fillId="4" fontId="5" numFmtId="0" xfId="0" applyAlignment="1" applyBorder="1" applyFill="1" applyFont="1">
      <alignment horizontal="left"/>
    </xf>
    <xf borderId="11" fillId="0" fontId="5" numFmtId="164" xfId="0" applyBorder="1" applyFont="1" applyNumberFormat="1"/>
    <xf borderId="8" fillId="0" fontId="6" numFmtId="0" xfId="0" applyAlignment="1" applyBorder="1" applyFont="1">
      <alignment horizontal="left"/>
    </xf>
    <xf borderId="0" fillId="0" fontId="6" numFmtId="164" xfId="0" applyFont="1" applyNumberFormat="1"/>
    <xf borderId="11" fillId="0" fontId="5" numFmtId="9" xfId="0" applyAlignment="1" applyBorder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11" fillId="0" fontId="5" numFmtId="0" xfId="0" applyAlignment="1" applyBorder="1" applyFont="1">
      <alignment horizontal="center"/>
    </xf>
    <xf borderId="11" fillId="5" fontId="5" numFmtId="164" xfId="0" applyBorder="1" applyFill="1" applyFont="1" applyNumberFormat="1"/>
    <xf borderId="9" fillId="0" fontId="1" numFmtId="164" xfId="0" applyBorder="1" applyFont="1" applyNumberFormat="1"/>
    <xf borderId="12" fillId="6" fontId="2" numFmtId="0" xfId="0" applyAlignment="1" applyBorder="1" applyFill="1" applyFont="1">
      <alignment horizontal="left"/>
    </xf>
    <xf borderId="1" fillId="7" fontId="7" numFmtId="164" xfId="0" applyBorder="1" applyFill="1" applyFont="1" applyNumberFormat="1"/>
    <xf borderId="13" fillId="0" fontId="1" numFmtId="0" xfId="0" applyAlignment="1" applyBorder="1" applyFont="1">
      <alignment horizontal="left"/>
    </xf>
    <xf borderId="14" fillId="0" fontId="1" numFmtId="0" xfId="0" applyBorder="1" applyFont="1"/>
    <xf borderId="15" fillId="0" fontId="1" numFmtId="0" xfId="0" applyBorder="1" applyFont="1"/>
    <xf borderId="1" fillId="2" fontId="1" numFmtId="0" xfId="0" applyAlignment="1" applyBorder="1" applyFont="1">
      <alignment horizontal="left"/>
    </xf>
    <xf borderId="0" fillId="0" fontId="8" numFmtId="0" xfId="0" applyFont="1"/>
    <xf borderId="0" fillId="0" fontId="9" numFmtId="0" xfId="0" applyFont="1"/>
    <xf borderId="0" fillId="0" fontId="8" numFmtId="0" xfId="0" applyAlignment="1" applyFont="1">
      <alignment horizontal="left"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16" fillId="0" fontId="10" numFmtId="0" xfId="0" applyAlignment="1" applyBorder="1" applyFont="1">
      <alignment horizontal="center" vertical="center"/>
    </xf>
    <xf borderId="16" fillId="0" fontId="4" numFmtId="0" xfId="0" applyBorder="1" applyFont="1"/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165" xfId="0" applyAlignment="1" applyFont="1" applyNumberForma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5" xfId="0" applyAlignment="1" applyFont="1" applyNumberFormat="1">
      <alignment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" fillId="8" fontId="8" numFmtId="0" xfId="0" applyAlignment="1" applyBorder="1" applyFill="1" applyFont="1">
      <alignment shrinkToFit="0" wrapText="1"/>
    </xf>
    <xf borderId="0" fillId="0" fontId="8" numFmtId="0" xfId="0" applyAlignment="1" applyFont="1">
      <alignment horizontal="center"/>
    </xf>
    <xf borderId="0" fillId="0" fontId="9" numFmtId="165" xfId="0" applyFont="1" applyNumberFormat="1"/>
    <xf borderId="16" fillId="0" fontId="9" numFmtId="0" xfId="0" applyBorder="1" applyFont="1"/>
    <xf borderId="16" fillId="0" fontId="9" numFmtId="165" xfId="0" applyBorder="1" applyFont="1" applyNumberFormat="1"/>
    <xf borderId="0" fillId="0" fontId="8" numFmtId="0" xfId="0" applyAlignment="1" applyFont="1">
      <alignment horizontal="right"/>
    </xf>
    <xf borderId="0" fillId="0" fontId="8" numFmtId="165" xfId="0" applyFont="1" applyNumberFormat="1"/>
    <xf borderId="0" fillId="0" fontId="8" numFmtId="166" xfId="0" applyFont="1" applyNumberFormat="1"/>
    <xf borderId="1" fillId="9" fontId="8" numFmtId="0" xfId="0" applyBorder="1" applyFill="1" applyFont="1"/>
    <xf borderId="0" fillId="0" fontId="11" numFmtId="0" xfId="0" applyAlignment="1" applyFont="1">
      <alignment horizontal="center" readingOrder="1" shrinkToFit="0" vertical="top" wrapText="1"/>
    </xf>
    <xf borderId="0" fillId="0" fontId="12" numFmtId="0" xfId="0" applyAlignment="1" applyFont="1">
      <alignment horizontal="right" readingOrder="1" shrinkToFit="0" vertical="top" wrapText="1"/>
    </xf>
    <xf borderId="0" fillId="0" fontId="1" numFmtId="14" xfId="0" applyFont="1" applyNumberFormat="1"/>
    <xf borderId="0" fillId="0" fontId="13" numFmtId="167" xfId="0" applyAlignment="1" applyFont="1" applyNumberFormat="1">
      <alignment horizontal="left" readingOrder="1" shrinkToFit="0" vertical="top" wrapText="1"/>
    </xf>
    <xf borderId="17" fillId="0" fontId="1" numFmtId="0" xfId="0" applyAlignment="1" applyBorder="1" applyFont="1">
      <alignment shrinkToFit="0" vertical="top" wrapText="1"/>
    </xf>
    <xf borderId="18" fillId="0" fontId="1" numFmtId="0" xfId="0" applyAlignment="1" applyBorder="1" applyFont="1">
      <alignment shrinkToFit="0" vertical="top" wrapText="1"/>
    </xf>
    <xf borderId="19" fillId="0" fontId="1" numFmtId="0" xfId="0" applyAlignment="1" applyBorder="1" applyFont="1">
      <alignment shrinkToFit="0" vertical="top" wrapText="1"/>
    </xf>
    <xf borderId="20" fillId="0" fontId="1" numFmtId="0" xfId="0" applyAlignment="1" applyBorder="1" applyFont="1">
      <alignment shrinkToFit="0" vertical="top" wrapText="1"/>
    </xf>
    <xf borderId="0" fillId="0" fontId="14" numFmtId="0" xfId="0" applyAlignment="1" applyFont="1">
      <alignment horizontal="left" readingOrder="1" shrinkToFit="0" vertical="top" wrapText="1"/>
    </xf>
    <xf borderId="21" fillId="0" fontId="1" numFmtId="0" xfId="0" applyAlignment="1" applyBorder="1" applyFont="1">
      <alignment shrinkToFit="0" vertical="top" wrapText="1"/>
    </xf>
    <xf borderId="0" fillId="0" fontId="15" numFmtId="0" xfId="0" applyAlignment="1" applyFont="1">
      <alignment horizontal="left" readingOrder="1" shrinkToFit="0" vertical="top" wrapText="1"/>
    </xf>
    <xf borderId="0" fillId="0" fontId="16" numFmtId="0" xfId="0" applyAlignment="1" applyFont="1">
      <alignment horizontal="left" readingOrder="1" shrinkToFit="0" vertical="top" wrapText="1"/>
    </xf>
    <xf borderId="22" fillId="10" fontId="16" numFmtId="0" xfId="0" applyAlignment="1" applyBorder="1" applyFill="1" applyFont="1">
      <alignment horizontal="left" readingOrder="1" shrinkToFit="0" vertical="top" wrapText="1"/>
    </xf>
    <xf borderId="23" fillId="0" fontId="4" numFmtId="0" xfId="0" applyBorder="1" applyFont="1"/>
    <xf borderId="24" fillId="0" fontId="1" numFmtId="0" xfId="0" applyAlignment="1" applyBorder="1" applyFont="1">
      <alignment shrinkToFit="0" vertical="top" wrapText="1"/>
    </xf>
    <xf borderId="25" fillId="0" fontId="1" numFmtId="0" xfId="0" applyAlignment="1" applyBorder="1" applyFont="1">
      <alignment shrinkToFit="0" vertical="top" wrapText="1"/>
    </xf>
    <xf borderId="26" fillId="0" fontId="1" numFmtId="0" xfId="0" applyAlignment="1" applyBorder="1" applyFont="1">
      <alignment shrinkToFit="0" vertical="top" wrapText="1"/>
    </xf>
    <xf borderId="17" fillId="0" fontId="14" numFmtId="0" xfId="0" applyAlignment="1" applyBorder="1" applyFont="1">
      <alignment horizontal="left" readingOrder="1" shrinkToFit="0" vertical="top" wrapText="1"/>
    </xf>
    <xf borderId="18" fillId="0" fontId="4" numFmtId="0" xfId="0" applyBorder="1" applyFont="1"/>
    <xf borderId="20" fillId="0" fontId="4" numFmtId="0" xfId="0" applyBorder="1" applyFont="1"/>
    <xf borderId="27" fillId="10" fontId="16" numFmtId="168" xfId="0" applyAlignment="1" applyBorder="1" applyFont="1" applyNumberFormat="1">
      <alignment horizontal="left" readingOrder="1" shrinkToFit="0" vertical="top" wrapText="1"/>
    </xf>
    <xf borderId="28" fillId="0" fontId="4" numFmtId="0" xfId="0" applyBorder="1" applyFont="1"/>
    <xf borderId="29" fillId="0" fontId="4" numFmtId="0" xfId="0" applyBorder="1" applyFont="1"/>
    <xf borderId="21" fillId="0" fontId="4" numFmtId="0" xfId="0" applyBorder="1" applyFont="1"/>
    <xf borderId="27" fillId="10" fontId="16" numFmtId="169" xfId="0" applyAlignment="1" applyBorder="1" applyFont="1" applyNumberFormat="1">
      <alignment horizontal="left" readingOrder="1" shrinkToFit="0" vertical="top" wrapText="1"/>
    </xf>
    <xf borderId="30" fillId="0" fontId="4" numFmtId="0" xfId="0" applyBorder="1" applyFont="1"/>
    <xf borderId="31" fillId="0" fontId="4" numFmtId="0" xfId="0" applyBorder="1" applyFont="1"/>
    <xf borderId="27" fillId="10" fontId="16" numFmtId="170" xfId="0" applyAlignment="1" applyBorder="1" applyFont="1" applyNumberFormat="1">
      <alignment horizontal="left" readingOrder="1" shrinkToFit="0" vertical="top" wrapText="1"/>
    </xf>
    <xf borderId="32" fillId="0" fontId="4" numFmtId="0" xfId="0" applyBorder="1" applyFont="1"/>
    <xf borderId="20" fillId="0" fontId="14" numFmtId="0" xfId="0" applyAlignment="1" applyBorder="1" applyFont="1">
      <alignment horizontal="left" readingOrder="1" shrinkToFit="0" vertical="top" wrapText="1"/>
    </xf>
    <xf borderId="33" fillId="0" fontId="4" numFmtId="0" xfId="0" applyBorder="1" applyFont="1"/>
    <xf borderId="34" fillId="0" fontId="4" numFmtId="0" xfId="0" applyBorder="1" applyFont="1"/>
    <xf borderId="35" fillId="0" fontId="4" numFmtId="0" xfId="0" applyBorder="1" applyFont="1"/>
    <xf borderId="36" fillId="0" fontId="4" numFmtId="0" xfId="0" applyBorder="1" applyFont="1"/>
    <xf borderId="1" fillId="10" fontId="1" numFmtId="0" xfId="0" applyBorder="1" applyFont="1"/>
    <xf borderId="27" fillId="10" fontId="16" numFmtId="171" xfId="0" applyAlignment="1" applyBorder="1" applyFont="1" applyNumberFormat="1">
      <alignment horizontal="left" readingOrder="1" shrinkToFit="0" vertical="top" wrapText="1"/>
    </xf>
    <xf borderId="27" fillId="10" fontId="16" numFmtId="0" xfId="0" applyAlignment="1" applyBorder="1" applyFont="1">
      <alignment horizontal="left" readingOrder="1" shrinkToFit="0" vertical="top" wrapText="1"/>
    </xf>
    <xf borderId="0" fillId="0" fontId="16" numFmtId="0" xfId="0" applyAlignment="1" applyFont="1">
      <alignment horizontal="left" readingOrder="1" shrinkToFit="0" vertical="top" wrapText="1"/>
    </xf>
    <xf borderId="27" fillId="10" fontId="16" numFmtId="0" xfId="0" applyAlignment="1" applyBorder="1" applyFont="1">
      <alignment horizontal="left" readingOrder="1" shrinkToFit="0" vertical="top" wrapText="1"/>
    </xf>
    <xf borderId="0" fillId="0" fontId="17" numFmtId="0" xfId="0" applyAlignment="1" applyFont="1">
      <alignment horizontal="center" readingOrder="1" shrinkToFit="0" vertical="top" wrapText="1"/>
    </xf>
    <xf borderId="37" fillId="0" fontId="18" numFmtId="0" xfId="0" applyBorder="1" applyFont="1"/>
    <xf borderId="38" fillId="0" fontId="11" numFmtId="0" xfId="0" applyAlignment="1" applyBorder="1" applyFont="1">
      <alignment horizontal="center" readingOrder="1" shrinkToFit="0" vertical="top" wrapText="1"/>
    </xf>
    <xf borderId="38" fillId="0" fontId="4" numFmtId="0" xfId="0" applyBorder="1" applyFont="1"/>
    <xf borderId="39" fillId="0" fontId="4" numFmtId="0" xfId="0" applyBorder="1" applyFont="1"/>
    <xf borderId="40" fillId="0" fontId="11" numFmtId="0" xfId="0" applyAlignment="1" applyBorder="1" applyFont="1">
      <alignment horizontal="center" readingOrder="1" shrinkToFit="0" vertical="top" wrapText="1"/>
    </xf>
    <xf borderId="41" fillId="0" fontId="11" numFmtId="0" xfId="0" applyAlignment="1" applyBorder="1" applyFont="1">
      <alignment horizontal="center" readingOrder="1" shrinkToFit="0" vertical="top" wrapText="1"/>
    </xf>
    <xf borderId="42" fillId="0" fontId="2" numFmtId="0" xfId="0" applyBorder="1" applyFont="1"/>
    <xf borderId="43" fillId="0" fontId="14" numFmtId="0" xfId="0" applyAlignment="1" applyBorder="1" applyFont="1">
      <alignment horizontal="center" readingOrder="1" shrinkToFit="0" vertical="top" wrapText="1"/>
    </xf>
    <xf borderId="43" fillId="0" fontId="4" numFmtId="0" xfId="0" applyBorder="1" applyFont="1"/>
    <xf borderId="44" fillId="0" fontId="4" numFmtId="0" xfId="0" applyBorder="1" applyFont="1"/>
    <xf borderId="45" fillId="0" fontId="14" numFmtId="168" xfId="0" applyAlignment="1" applyBorder="1" applyFont="1" applyNumberFormat="1">
      <alignment horizontal="center" readingOrder="1" shrinkToFit="0" vertical="top" wrapText="1"/>
    </xf>
    <xf borderId="46" fillId="0" fontId="14" numFmtId="0" xfId="0" applyAlignment="1" applyBorder="1" applyFont="1">
      <alignment horizontal="center" readingOrder="1" shrinkToFit="0" vertical="top" wrapText="1"/>
    </xf>
    <xf borderId="45" fillId="0" fontId="14" numFmtId="169" xfId="0" applyAlignment="1" applyBorder="1" applyFont="1" applyNumberFormat="1">
      <alignment horizontal="center" readingOrder="1" shrinkToFit="0" vertical="top" wrapText="1"/>
    </xf>
    <xf borderId="47" fillId="0" fontId="1" numFmtId="0" xfId="0" applyBorder="1" applyFont="1"/>
    <xf borderId="48" fillId="0" fontId="14" numFmtId="0" xfId="0" applyAlignment="1" applyBorder="1" applyFont="1">
      <alignment horizontal="center" readingOrder="1" shrinkToFit="0" vertical="top" wrapText="1"/>
    </xf>
    <xf borderId="48" fillId="0" fontId="4" numFmtId="0" xfId="0" applyBorder="1" applyFont="1"/>
    <xf borderId="49" fillId="0" fontId="4" numFmtId="0" xfId="0" applyBorder="1" applyFont="1"/>
    <xf borderId="50" fillId="0" fontId="14" numFmtId="168" xfId="0" applyAlignment="1" applyBorder="1" applyFont="1" applyNumberFormat="1">
      <alignment horizontal="center" readingOrder="1" shrinkToFit="0" vertical="top" wrapText="1"/>
    </xf>
    <xf borderId="50" fillId="0" fontId="14" numFmtId="169" xfId="0" applyAlignment="1" applyBorder="1" applyFont="1" applyNumberFormat="1">
      <alignment horizontal="center" readingOrder="1" shrinkToFit="0" vertical="top" wrapText="1"/>
    </xf>
    <xf borderId="51" fillId="0" fontId="1" numFmtId="0" xfId="0" applyBorder="1" applyFont="1"/>
    <xf borderId="0" fillId="0" fontId="19" numFmtId="0" xfId="0" applyAlignment="1" applyFont="1">
      <alignment horizontal="center" readingOrder="1" shrinkToFit="0" vertical="top" wrapText="1"/>
    </xf>
    <xf borderId="0" fillId="0" fontId="20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1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9" numFmtId="0" xfId="0" applyAlignment="1" applyFont="1">
      <alignment horizontal="right"/>
    </xf>
    <xf borderId="1" fillId="9" fontId="9" numFmtId="0" xfId="0" applyAlignment="1" applyBorder="1" applyFont="1">
      <alignment horizontal="right"/>
    </xf>
    <xf borderId="1" fillId="3" fontId="9" numFmtId="0" xfId="0" applyAlignment="1" applyBorder="1" applyFont="1">
      <alignment horizontal="center"/>
    </xf>
    <xf borderId="0" fillId="0" fontId="9" numFmtId="172" xfId="0" applyAlignment="1" applyFont="1" applyNumberFormat="1">
      <alignment horizontal="center"/>
    </xf>
    <xf borderId="1" fillId="9" fontId="9" numFmtId="172" xfId="0" applyAlignment="1" applyBorder="1" applyFont="1" applyNumberFormat="1">
      <alignment horizontal="center"/>
    </xf>
    <xf borderId="52" fillId="0" fontId="8" numFmtId="14" xfId="0" applyAlignment="1" applyBorder="1" applyFont="1" applyNumberFormat="1">
      <alignment horizontal="left"/>
    </xf>
    <xf borderId="0" fillId="0" fontId="8" numFmtId="14" xfId="0" applyAlignment="1" applyFont="1" applyNumberFormat="1">
      <alignment horizontal="left"/>
    </xf>
    <xf borderId="53" fillId="0" fontId="9" numFmtId="0" xfId="0" applyAlignment="1" applyBorder="1" applyFont="1">
      <alignment horizontal="left"/>
    </xf>
    <xf borderId="54" fillId="0" fontId="4" numFmtId="0" xfId="0" applyBorder="1" applyFont="1"/>
    <xf borderId="0" fillId="0" fontId="9" numFmtId="0" xfId="0" applyAlignment="1" applyFont="1">
      <alignment horizontal="left"/>
    </xf>
    <xf borderId="1" fillId="9" fontId="9" numFmtId="0" xfId="0" applyAlignment="1" applyBorder="1" applyFont="1">
      <alignment horizontal="left"/>
    </xf>
    <xf borderId="52" fillId="0" fontId="8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53" fillId="0" fontId="9" numFmtId="0" xfId="0" applyBorder="1" applyFont="1"/>
    <xf borderId="54" fillId="0" fontId="9" numFmtId="0" xfId="0" applyAlignment="1" applyBorder="1" applyFont="1">
      <alignment horizontal="center"/>
    </xf>
    <xf borderId="54" fillId="0" fontId="8" numFmtId="0" xfId="0" applyAlignment="1" applyBorder="1" applyFont="1">
      <alignment horizontal="center"/>
    </xf>
    <xf borderId="1" fillId="11" fontId="8" numFmtId="0" xfId="0" applyAlignment="1" applyBorder="1" applyFill="1" applyFont="1">
      <alignment horizontal="center"/>
    </xf>
    <xf borderId="52" fillId="0" fontId="21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55" fillId="0" fontId="8" numFmtId="9" xfId="0" applyAlignment="1" applyBorder="1" applyFont="1" applyNumberFormat="1">
      <alignment horizontal="center" vertical="center"/>
    </xf>
    <xf borderId="55" fillId="0" fontId="8" numFmtId="10" xfId="0" applyAlignment="1" applyBorder="1" applyFont="1" applyNumberFormat="1">
      <alignment horizontal="center" vertical="center"/>
    </xf>
    <xf borderId="1" fillId="9" fontId="8" numFmtId="10" xfId="0" applyAlignment="1" applyBorder="1" applyFont="1" applyNumberFormat="1">
      <alignment horizontal="left" vertical="center"/>
    </xf>
    <xf borderId="0" fillId="0" fontId="8" numFmtId="10" xfId="0" applyAlignment="1" applyFont="1" applyNumberFormat="1">
      <alignment horizontal="left" vertical="center"/>
    </xf>
    <xf borderId="0" fillId="0" fontId="20" numFmtId="2" xfId="0" applyAlignment="1" applyFont="1" applyNumberFormat="1">
      <alignment horizontal="center"/>
    </xf>
    <xf borderId="0" fillId="0" fontId="9" numFmtId="2" xfId="0" applyAlignment="1" applyFont="1" applyNumberFormat="1">
      <alignment horizontal="center"/>
    </xf>
    <xf borderId="52" fillId="0" fontId="8" numFmtId="0" xfId="0" applyAlignment="1" applyBorder="1" applyFont="1">
      <alignment horizontal="left" shrinkToFit="0" vertical="center" wrapText="1"/>
    </xf>
    <xf borderId="55" fillId="0" fontId="8" numFmtId="10" xfId="0" applyAlignment="1" applyBorder="1" applyFont="1" applyNumberFormat="1">
      <alignment horizontal="center"/>
    </xf>
    <xf borderId="1" fillId="9" fontId="8" numFmtId="10" xfId="0" applyAlignment="1" applyBorder="1" applyFont="1" applyNumberFormat="1">
      <alignment horizontal="left"/>
    </xf>
    <xf borderId="0" fillId="0" fontId="8" numFmtId="10" xfId="0" applyAlignment="1" applyFont="1" applyNumberFormat="1">
      <alignment horizontal="left"/>
    </xf>
    <xf borderId="1" fillId="3" fontId="9" numFmtId="173" xfId="0" applyAlignment="1" applyBorder="1" applyFont="1" applyNumberFormat="1">
      <alignment horizontal="center"/>
    </xf>
    <xf borderId="0" fillId="0" fontId="8" numFmtId="10" xfId="0" applyAlignment="1" applyFont="1" applyNumberFormat="1">
      <alignment horizontal="center" vertical="center"/>
    </xf>
    <xf borderId="1" fillId="3" fontId="9" numFmtId="174" xfId="0" applyAlignment="1" applyBorder="1" applyFont="1" applyNumberFormat="1">
      <alignment horizontal="center"/>
    </xf>
    <xf borderId="0" fillId="0" fontId="9" numFmtId="9" xfId="0" applyAlignment="1" applyFont="1" applyNumberFormat="1">
      <alignment horizontal="center" vertical="center"/>
    </xf>
    <xf borderId="0" fillId="0" fontId="9" numFmtId="9" xfId="0" applyAlignment="1" applyFont="1" applyNumberFormat="1">
      <alignment horizontal="left" vertical="center"/>
    </xf>
    <xf borderId="52" fillId="0" fontId="8" numFmtId="0" xfId="0" applyAlignment="1" applyBorder="1" applyFont="1">
      <alignment horizontal="center" shrinkToFit="0" vertical="center" wrapText="1"/>
    </xf>
    <xf borderId="55" fillId="0" fontId="8" numFmtId="0" xfId="0" applyAlignment="1" applyBorder="1" applyFont="1">
      <alignment horizontal="center" readingOrder="0" vertical="center"/>
    </xf>
    <xf borderId="0" fillId="0" fontId="9" numFmtId="9" xfId="0" applyAlignment="1" applyFont="1" applyNumberFormat="1">
      <alignment horizontal="center"/>
    </xf>
    <xf borderId="1" fillId="8" fontId="8" numFmtId="14" xfId="0" applyAlignment="1" applyBorder="1" applyFont="1" applyNumberFormat="1">
      <alignment horizontal="center" readingOrder="0" vertical="center"/>
    </xf>
    <xf borderId="0" fillId="0" fontId="22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23" numFmtId="0" xfId="0" applyAlignment="1" applyFont="1">
      <alignment horizontal="center" readingOrder="0"/>
    </xf>
    <xf borderId="0" fillId="0" fontId="24" numFmtId="0" xfId="0" applyAlignment="1" applyFont="1">
      <alignment horizontal="left" readingOrder="0"/>
    </xf>
    <xf borderId="0" fillId="0" fontId="8" numFmtId="0" xfId="0" applyAlignment="1" applyFont="1">
      <alignment horizontal="center" shrinkToFit="0" wrapText="1"/>
    </xf>
    <xf borderId="0" fillId="0" fontId="22" numFmtId="0" xfId="0" applyAlignment="1" applyFont="1">
      <alignment horizontal="center" shrinkToFit="0" wrapText="1"/>
    </xf>
    <xf borderId="56" fillId="3" fontId="8" numFmtId="175" xfId="0" applyAlignment="1" applyBorder="1" applyFont="1" applyNumberFormat="1">
      <alignment horizontal="center" vertical="center"/>
    </xf>
    <xf borderId="1" fillId="8" fontId="8" numFmtId="166" xfId="0" applyAlignment="1" applyBorder="1" applyFont="1" applyNumberFormat="1">
      <alignment horizontal="left" readingOrder="0"/>
    </xf>
    <xf borderId="1" fillId="9" fontId="9" numFmtId="174" xfId="0" applyAlignment="1" applyBorder="1" applyFont="1" applyNumberFormat="1">
      <alignment horizontal="left"/>
    </xf>
    <xf borderId="0" fillId="0" fontId="22" numFmtId="0" xfId="0" applyAlignment="1" applyFont="1">
      <alignment horizontal="left" shrinkToFit="0" vertical="center" wrapText="1"/>
    </xf>
    <xf borderId="1" fillId="3" fontId="22" numFmtId="175" xfId="0" applyAlignment="1" applyBorder="1" applyFont="1" applyNumberFormat="1">
      <alignment horizontal="center" vertical="center"/>
    </xf>
    <xf borderId="0" fillId="0" fontId="20" numFmtId="175" xfId="0" applyAlignment="1" applyFont="1" applyNumberFormat="1">
      <alignment horizontal="center"/>
    </xf>
    <xf borderId="1" fillId="9" fontId="8" numFmtId="0" xfId="0" applyAlignment="1" applyBorder="1" applyFont="1">
      <alignment horizontal="center" shrinkToFit="0" vertical="center" wrapText="1"/>
    </xf>
    <xf borderId="52" fillId="0" fontId="8" numFmtId="0" xfId="0" applyAlignment="1" applyBorder="1" applyFont="1">
      <alignment horizontal="left" shrinkToFit="0" vertical="top" wrapText="1"/>
    </xf>
    <xf borderId="57" fillId="0" fontId="8" numFmtId="0" xfId="0" applyAlignment="1" applyBorder="1" applyFont="1">
      <alignment horizontal="center"/>
    </xf>
    <xf borderId="0" fillId="0" fontId="9" numFmtId="176" xfId="0" applyAlignment="1" applyFont="1" applyNumberFormat="1">
      <alignment horizontal="center"/>
    </xf>
    <xf borderId="1" fillId="3" fontId="20" numFmtId="0" xfId="0" applyAlignment="1" applyBorder="1" applyFont="1">
      <alignment horizontal="center"/>
    </xf>
    <xf borderId="1" fillId="3" fontId="20" numFmtId="174" xfId="0" applyAlignment="1" applyBorder="1" applyFont="1" applyNumberFormat="1">
      <alignment horizontal="center"/>
    </xf>
    <xf borderId="0" fillId="0" fontId="25" numFmtId="0" xfId="0" applyAlignment="1" applyFont="1">
      <alignment horizontal="center"/>
    </xf>
    <xf borderId="1" fillId="9" fontId="25" numFmtId="0" xfId="0" applyAlignment="1" applyBorder="1" applyFont="1">
      <alignment horizontal="left" shrinkToFit="0" wrapText="1"/>
    </xf>
    <xf borderId="0" fillId="0" fontId="20" numFmtId="0" xfId="0" applyAlignment="1" applyFont="1">
      <alignment horizontal="left" shrinkToFit="0" wrapText="1"/>
    </xf>
    <xf borderId="58" fillId="0" fontId="8" numFmtId="0" xfId="0" applyAlignment="1" applyBorder="1" applyFont="1">
      <alignment horizontal="center"/>
    </xf>
    <xf borderId="58" fillId="0" fontId="8" numFmtId="14" xfId="0" applyAlignment="1" applyBorder="1" applyFont="1" applyNumberFormat="1">
      <alignment horizontal="center"/>
    </xf>
    <xf borderId="58" fillId="0" fontId="8" numFmtId="0" xfId="0" applyAlignment="1" applyBorder="1" applyFont="1">
      <alignment horizontal="center" shrinkToFit="0" wrapText="1"/>
    </xf>
    <xf borderId="58" fillId="0" fontId="8" numFmtId="0" xfId="0" applyAlignment="1" applyBorder="1" applyFont="1">
      <alignment horizontal="left"/>
    </xf>
    <xf borderId="59" fillId="9" fontId="21" numFmtId="0" xfId="0" applyAlignment="1" applyBorder="1" applyFont="1">
      <alignment horizontal="center" shrinkToFit="0" wrapText="1"/>
    </xf>
    <xf borderId="0" fillId="0" fontId="21" numFmtId="0" xfId="0" applyAlignment="1" applyFont="1">
      <alignment horizontal="center" shrinkToFit="0" wrapText="1"/>
    </xf>
    <xf borderId="1" fillId="9" fontId="9" numFmtId="2" xfId="0" applyAlignment="1" applyBorder="1" applyFont="1" applyNumberFormat="1">
      <alignment horizontal="center"/>
    </xf>
    <xf borderId="0" fillId="0" fontId="8" numFmtId="14" xfId="0" applyAlignment="1" applyFont="1" applyNumberFormat="1">
      <alignment horizontal="center"/>
    </xf>
    <xf borderId="1" fillId="9" fontId="8" numFmtId="0" xfId="0" applyAlignment="1" applyBorder="1" applyFont="1">
      <alignment horizontal="center"/>
    </xf>
    <xf borderId="1" fillId="9" fontId="21" numFmtId="0" xfId="0" applyAlignment="1" applyBorder="1" applyFont="1">
      <alignment horizontal="center" shrinkToFit="0" wrapText="1"/>
    </xf>
    <xf borderId="0" fillId="0" fontId="9" numFmtId="174" xfId="0" applyAlignment="1" applyFont="1" applyNumberFormat="1">
      <alignment horizontal="center"/>
    </xf>
    <xf borderId="0" fillId="0" fontId="9" numFmtId="174" xfId="0" applyAlignment="1" applyFont="1" applyNumberFormat="1">
      <alignment horizontal="center" readingOrder="0"/>
    </xf>
    <xf borderId="0" fillId="0" fontId="9" numFmtId="174" xfId="0" applyAlignment="1" applyFont="1" applyNumberFormat="1">
      <alignment horizontal="left"/>
    </xf>
    <xf borderId="0" fillId="0" fontId="9" numFmtId="0" xfId="0" applyAlignment="1" applyFont="1">
      <alignment horizontal="center" vertical="top"/>
    </xf>
    <xf borderId="0" fillId="0" fontId="9" numFmtId="14" xfId="0" applyAlignment="1" applyFont="1" applyNumberFormat="1">
      <alignment horizontal="center" vertical="top"/>
    </xf>
    <xf borderId="60" fillId="0" fontId="9" numFmtId="174" xfId="0" applyAlignment="1" applyBorder="1" applyFont="1" applyNumberFormat="1">
      <alignment horizontal="center" shrinkToFit="0" wrapText="1"/>
    </xf>
    <xf borderId="60" fillId="0" fontId="9" numFmtId="174" xfId="0" applyAlignment="1" applyBorder="1" applyFont="1" applyNumberFormat="1">
      <alignment horizontal="center"/>
    </xf>
    <xf borderId="61" fillId="9" fontId="9" numFmtId="174" xfId="0" applyAlignment="1" applyBorder="1" applyFont="1" applyNumberFormat="1">
      <alignment horizontal="center" shrinkToFit="0" wrapText="1"/>
    </xf>
    <xf borderId="0" fillId="0" fontId="9" numFmtId="174" xfId="0" applyAlignment="1" applyFont="1" applyNumberFormat="1">
      <alignment horizontal="center" shrinkToFit="0" wrapText="1"/>
    </xf>
    <xf borderId="0" fillId="0" fontId="8" numFmtId="176" xfId="0" applyAlignment="1" applyFont="1" applyNumberFormat="1">
      <alignment horizontal="center"/>
    </xf>
    <xf borderId="1" fillId="9" fontId="8" numFmtId="176" xfId="0" applyAlignment="1" applyBorder="1" applyFont="1" applyNumberFormat="1">
      <alignment horizontal="center"/>
    </xf>
    <xf borderId="1" fillId="12" fontId="26" numFmtId="0" xfId="0" applyAlignment="1" applyBorder="1" applyFill="1" applyFont="1">
      <alignment horizontal="center" shrinkToFit="0" vertical="center" wrapText="1"/>
    </xf>
    <xf borderId="0" fillId="0" fontId="26" numFmtId="0" xfId="0" applyAlignment="1" applyFont="1">
      <alignment horizontal="center"/>
    </xf>
    <xf borderId="0" fillId="0" fontId="27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8" numFmtId="0" xfId="0" applyFont="1"/>
    <xf borderId="0" fillId="0" fontId="18" numFmtId="0" xfId="0" applyFont="1"/>
    <xf borderId="0" fillId="0" fontId="18" numFmtId="14" xfId="0" applyAlignment="1" applyFont="1" applyNumberFormat="1">
      <alignment horizontal="center"/>
    </xf>
    <xf borderId="1" fillId="8" fontId="1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solid">
          <fgColor theme="0"/>
          <bgColor theme="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85725</xdr:rowOff>
    </xdr:from>
    <xdr:ext cx="2381250" cy="333375"/>
    <xdr:sp>
      <xdr:nvSpPr>
        <xdr:cNvPr id="3" name="Shape 3"/>
        <xdr:cNvSpPr/>
      </xdr:nvSpPr>
      <xdr:spPr>
        <a:xfrm>
          <a:off x="4160138" y="3618075"/>
          <a:ext cx="2371725" cy="323850"/>
        </a:xfrm>
        <a:prstGeom prst="roundRect">
          <a:avLst>
            <a:gd fmla="val 16667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Monto</a:t>
          </a:r>
          <a:r>
            <a:rPr b="1" lang="en-US" sz="16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 Solicitado</a:t>
          </a:r>
          <a:endParaRPr b="1" sz="16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5</xdr:row>
      <xdr:rowOff>123825</xdr:rowOff>
    </xdr:from>
    <xdr:ext cx="2381250" cy="381000"/>
    <xdr:sp>
      <xdr:nvSpPr>
        <xdr:cNvPr id="4" name="Shape 4"/>
        <xdr:cNvSpPr/>
      </xdr:nvSpPr>
      <xdr:spPr>
        <a:xfrm>
          <a:off x="4160138" y="3594263"/>
          <a:ext cx="2371725" cy="371475"/>
        </a:xfrm>
        <a:prstGeom prst="roundRect">
          <a:avLst>
            <a:gd fmla="val 16667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Interes Mensual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7</xdr:row>
      <xdr:rowOff>152400</xdr:rowOff>
    </xdr:from>
    <xdr:ext cx="2381250" cy="342900"/>
    <xdr:sp>
      <xdr:nvSpPr>
        <xdr:cNvPr id="5" name="Shape 5"/>
        <xdr:cNvSpPr/>
      </xdr:nvSpPr>
      <xdr:spPr>
        <a:xfrm>
          <a:off x="4160138" y="3613313"/>
          <a:ext cx="2371725" cy="333375"/>
        </a:xfrm>
        <a:prstGeom prst="roundRect">
          <a:avLst>
            <a:gd fmla="val 16667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Total</a:t>
          </a:r>
          <a:r>
            <a:rPr b="1" lang="en-US" sz="16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 Meses</a:t>
          </a:r>
          <a:endParaRPr b="1" sz="16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9</xdr:row>
      <xdr:rowOff>152400</xdr:rowOff>
    </xdr:from>
    <xdr:ext cx="2381250" cy="342900"/>
    <xdr:sp>
      <xdr:nvSpPr>
        <xdr:cNvPr id="6" name="Shape 6"/>
        <xdr:cNvSpPr/>
      </xdr:nvSpPr>
      <xdr:spPr>
        <a:xfrm>
          <a:off x="4160138" y="3613313"/>
          <a:ext cx="2371725" cy="333375"/>
        </a:xfrm>
        <a:prstGeom prst="roundRect">
          <a:avLst>
            <a:gd fmla="val 16667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Cuota Mensual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11</xdr:row>
      <xdr:rowOff>133350</xdr:rowOff>
    </xdr:from>
    <xdr:ext cx="2381250" cy="361950"/>
    <xdr:sp>
      <xdr:nvSpPr>
        <xdr:cNvPr id="7" name="Shape 7"/>
        <xdr:cNvSpPr/>
      </xdr:nvSpPr>
      <xdr:spPr>
        <a:xfrm>
          <a:off x="4160138" y="3603788"/>
          <a:ext cx="2371725" cy="352425"/>
        </a:xfrm>
        <a:prstGeom prst="roundRect">
          <a:avLst>
            <a:gd fmla="val 16667" name="adj"/>
          </a:avLst>
        </a:pr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Cuota </a:t>
          </a:r>
          <a:r>
            <a:rPr b="1" lang="en-US" sz="1400">
              <a:solidFill>
                <a:srgbClr val="FFFF00"/>
              </a:solidFill>
              <a:latin typeface="Calibri"/>
              <a:ea typeface="Calibri"/>
              <a:cs typeface="Calibri"/>
              <a:sym typeface="Calibri"/>
            </a:rPr>
            <a:t>Quincenal</a:t>
          </a:r>
          <a:endParaRPr b="1" sz="1400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13</xdr:row>
      <xdr:rowOff>161925</xdr:rowOff>
    </xdr:from>
    <xdr:ext cx="2352675" cy="314325"/>
    <xdr:sp>
      <xdr:nvSpPr>
        <xdr:cNvPr id="8" name="Shape 8"/>
        <xdr:cNvSpPr/>
      </xdr:nvSpPr>
      <xdr:spPr>
        <a:xfrm>
          <a:off x="4169663" y="3627600"/>
          <a:ext cx="2352675" cy="304800"/>
        </a:xfrm>
        <a:prstGeom prst="flowChartAlternateProcess">
          <a:avLst/>
        </a:prstGeom>
        <a:gradFill>
          <a:gsLst>
            <a:gs pos="0">
              <a:srgbClr val="992D2B"/>
            </a:gs>
            <a:gs pos="80000">
              <a:srgbClr val="C93D39"/>
            </a:gs>
            <a:gs pos="100000">
              <a:srgbClr val="CD3A36"/>
            </a:gs>
          </a:gsLst>
          <a:lin ang="162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Total a pagar</a:t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7</xdr:row>
      <xdr:rowOff>133350</xdr:rowOff>
    </xdr:from>
    <xdr:ext cx="1200150" cy="381000"/>
    <xdr:sp>
      <xdr:nvSpPr>
        <xdr:cNvPr id="9" name="Shape 9"/>
        <xdr:cNvSpPr/>
      </xdr:nvSpPr>
      <xdr:spPr>
        <a:xfrm>
          <a:off x="4755450" y="3603788"/>
          <a:ext cx="1181100" cy="352425"/>
        </a:xfrm>
        <a:prstGeom prst="lef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Ingresar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3</xdr:col>
      <xdr:colOff>28575</xdr:colOff>
      <xdr:row>3</xdr:row>
      <xdr:rowOff>104775</xdr:rowOff>
    </xdr:from>
    <xdr:ext cx="1552575" cy="361950"/>
    <xdr:sp>
      <xdr:nvSpPr>
        <xdr:cNvPr id="10" name="Shape 10"/>
        <xdr:cNvSpPr/>
      </xdr:nvSpPr>
      <xdr:spPr>
        <a:xfrm>
          <a:off x="4579238" y="3608550"/>
          <a:ext cx="1533525" cy="342900"/>
        </a:xfrm>
        <a:prstGeom prst="lef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Ingresar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</xdr:col>
      <xdr:colOff>990600</xdr:colOff>
      <xdr:row>0</xdr:row>
      <xdr:rowOff>38100</xdr:rowOff>
    </xdr:from>
    <xdr:ext cx="3629025" cy="361950"/>
    <xdr:sp>
      <xdr:nvSpPr>
        <xdr:cNvPr id="11" name="Shape 11"/>
        <xdr:cNvSpPr/>
      </xdr:nvSpPr>
      <xdr:spPr>
        <a:xfrm>
          <a:off x="3531488" y="3599025"/>
          <a:ext cx="3629025" cy="361950"/>
        </a:xfrm>
        <a:custGeom>
          <a:rect b="b" l="l" r="r" t="t"/>
          <a:pathLst>
            <a:path extrusionOk="0" h="120000" w="120000">
              <a:moveTo>
                <a:pt x="0" y="0"/>
              </a:moveTo>
              <a:lnTo>
                <a:pt x="120000" y="0"/>
              </a:lnTo>
              <a:lnTo>
                <a:pt x="120000" y="120000"/>
              </a:lnTo>
              <a:lnTo>
                <a:pt x="0" y="120000"/>
              </a:lnTo>
              <a:close/>
            </a:path>
            <a:path extrusionOk="0" fill="none" h="120000" w="120000">
              <a:moveTo>
                <a:pt x="-971" y="49500"/>
              </a:moveTo>
              <a:lnTo>
                <a:pt x="-22256" y="48654"/>
              </a:lnTo>
              <a:lnTo>
                <a:pt x="-22478" y="185384"/>
              </a:lnTo>
            </a:path>
          </a:pathLst>
        </a:custGeom>
        <a:gradFill>
          <a:gsLst>
            <a:gs pos="0">
              <a:srgbClr val="BABABA"/>
            </a:gs>
            <a:gs pos="35000">
              <a:srgbClr val="CFCFCF"/>
            </a:gs>
            <a:gs pos="100000">
              <a:srgbClr val="EDEDED"/>
            </a:gs>
          </a:gsLst>
          <a:lin ang="16200000" scaled="0"/>
        </a:gradFill>
        <a:ln cap="flat" cmpd="sng" w="9525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Calculo</a:t>
          </a:r>
          <a:r>
            <a:rPr b="1" lang="en-US" sz="24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de cuota</a:t>
          </a:r>
          <a:endParaRPr b="1" sz="24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19050</xdr:colOff>
      <xdr:row>5</xdr:row>
      <xdr:rowOff>142875</xdr:rowOff>
    </xdr:from>
    <xdr:ext cx="1428750" cy="381000"/>
    <xdr:sp>
      <xdr:nvSpPr>
        <xdr:cNvPr id="12" name="Shape 12"/>
        <xdr:cNvSpPr/>
      </xdr:nvSpPr>
      <xdr:spPr>
        <a:xfrm>
          <a:off x="4641150" y="3603788"/>
          <a:ext cx="1409700" cy="352425"/>
        </a:xfrm>
        <a:prstGeom prst="lef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Ingresar</a:t>
          </a:r>
          <a:endParaRPr b="1" sz="11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38100</xdr:rowOff>
    </xdr:from>
    <xdr:ext cx="2362200" cy="10668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70</xdr:row>
      <xdr:rowOff>95250</xdr:rowOff>
    </xdr:from>
    <xdr:ext cx="1981200" cy="38100"/>
    <xdr:grpSp>
      <xdr:nvGrpSpPr>
        <xdr:cNvPr id="2" name="Shape 2"/>
        <xdr:cNvGrpSpPr/>
      </xdr:nvGrpSpPr>
      <xdr:grpSpPr>
        <a:xfrm>
          <a:off x="4355400" y="3780000"/>
          <a:ext cx="1981200" cy="0"/>
          <a:chOff x="4355400" y="3780000"/>
          <a:chExt cx="1981200" cy="0"/>
        </a:xfrm>
      </xdr:grpSpPr>
      <xdr:cxnSp>
        <xdr:nvCxnSpPr>
          <xdr:cNvPr id="13" name="Shape 13"/>
          <xdr:cNvCxnSpPr/>
        </xdr:nvCxnSpPr>
        <xdr:spPr>
          <a:xfrm>
            <a:off x="4355400" y="3780000"/>
            <a:ext cx="1981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76200</xdr:colOff>
      <xdr:row>70</xdr:row>
      <xdr:rowOff>85725</xdr:rowOff>
    </xdr:from>
    <xdr:ext cx="895350" cy="38100"/>
    <xdr:grpSp>
      <xdr:nvGrpSpPr>
        <xdr:cNvPr id="2" name="Shape 2"/>
        <xdr:cNvGrpSpPr/>
      </xdr:nvGrpSpPr>
      <xdr:grpSpPr>
        <a:xfrm>
          <a:off x="4898325" y="3775238"/>
          <a:ext cx="895350" cy="9525"/>
          <a:chOff x="4898325" y="3775238"/>
          <a:chExt cx="895350" cy="9525"/>
        </a:xfrm>
      </xdr:grpSpPr>
      <xdr:cxnSp>
        <xdr:nvCxnSpPr>
          <xdr:cNvPr id="14" name="Shape 14"/>
          <xdr:cNvCxnSpPr/>
        </xdr:nvCxnSpPr>
        <xdr:spPr>
          <a:xfrm>
            <a:off x="4898325" y="3775238"/>
            <a:ext cx="895350" cy="9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666750</xdr:colOff>
      <xdr:row>10</xdr:row>
      <xdr:rowOff>381000</xdr:rowOff>
    </xdr:from>
    <xdr:ext cx="1495425" cy="47625"/>
    <xdr:sp>
      <xdr:nvSpPr>
        <xdr:cNvPr id="15" name="Shape 15"/>
        <xdr:cNvSpPr txBox="1"/>
      </xdr:nvSpPr>
      <xdr:spPr>
        <a:xfrm>
          <a:off x="4603050" y="3760950"/>
          <a:ext cx="1485900" cy="381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1100"/>
        </a:p>
      </xdr:txBody>
    </xdr:sp>
    <xdr:clientData fLocksWithSheet="0"/>
  </xdr:oneCellAnchor>
  <xdr:oneCellAnchor>
    <xdr:from>
      <xdr:col>21</xdr:col>
      <xdr:colOff>85725</xdr:colOff>
      <xdr:row>0</xdr:row>
      <xdr:rowOff>152400</xdr:rowOff>
    </xdr:from>
    <xdr:ext cx="8172450" cy="21288375"/>
    <xdr:sp>
      <xdr:nvSpPr>
        <xdr:cNvPr id="16" name="Shape 16"/>
        <xdr:cNvSpPr/>
      </xdr:nvSpPr>
      <xdr:spPr>
        <a:xfrm>
          <a:off x="1264538" y="0"/>
          <a:ext cx="8162925" cy="7560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7</xdr:col>
      <xdr:colOff>419100</xdr:colOff>
      <xdr:row>6</xdr:row>
      <xdr:rowOff>47625</xdr:rowOff>
    </xdr:from>
    <xdr:ext cx="1847850" cy="752475"/>
    <xdr:sp>
      <xdr:nvSpPr>
        <xdr:cNvPr id="17" name="Shape 17"/>
        <xdr:cNvSpPr/>
      </xdr:nvSpPr>
      <xdr:spPr>
        <a:xfrm>
          <a:off x="4436363" y="3418050"/>
          <a:ext cx="1819275" cy="723900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609600</xdr:colOff>
      <xdr:row>73</xdr:row>
      <xdr:rowOff>95250</xdr:rowOff>
    </xdr:from>
    <xdr:ext cx="1981200" cy="38100"/>
    <xdr:grpSp>
      <xdr:nvGrpSpPr>
        <xdr:cNvPr id="2" name="Shape 2"/>
        <xdr:cNvGrpSpPr/>
      </xdr:nvGrpSpPr>
      <xdr:grpSpPr>
        <a:xfrm>
          <a:off x="4355400" y="3780000"/>
          <a:ext cx="1981200" cy="0"/>
          <a:chOff x="4355400" y="3780000"/>
          <a:chExt cx="1981200" cy="0"/>
        </a:xfrm>
      </xdr:grpSpPr>
      <xdr:cxnSp>
        <xdr:nvCxnSpPr>
          <xdr:cNvPr id="18" name="Shape 18"/>
          <xdr:cNvCxnSpPr/>
        </xdr:nvCxnSpPr>
        <xdr:spPr>
          <a:xfrm>
            <a:off x="4355400" y="3780000"/>
            <a:ext cx="19812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76200</xdr:colOff>
      <xdr:row>73</xdr:row>
      <xdr:rowOff>85725</xdr:rowOff>
    </xdr:from>
    <xdr:ext cx="895350" cy="38100"/>
    <xdr:grpSp>
      <xdr:nvGrpSpPr>
        <xdr:cNvPr id="2" name="Shape 2"/>
        <xdr:cNvGrpSpPr/>
      </xdr:nvGrpSpPr>
      <xdr:grpSpPr>
        <a:xfrm>
          <a:off x="4898325" y="3775238"/>
          <a:ext cx="895350" cy="9525"/>
          <a:chOff x="4898325" y="3775238"/>
          <a:chExt cx="895350" cy="9525"/>
        </a:xfrm>
      </xdr:grpSpPr>
      <xdr:cxnSp>
        <xdr:nvCxnSpPr>
          <xdr:cNvPr id="14" name="Shape 14"/>
          <xdr:cNvCxnSpPr/>
        </xdr:nvCxnSpPr>
        <xdr:spPr>
          <a:xfrm>
            <a:off x="4898325" y="3775238"/>
            <a:ext cx="895350" cy="9525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15</xdr:col>
      <xdr:colOff>971550</xdr:colOff>
      <xdr:row>0</xdr:row>
      <xdr:rowOff>-9525</xdr:rowOff>
    </xdr:from>
    <xdr:ext cx="8172450" cy="13515975"/>
    <xdr:sp>
      <xdr:nvSpPr>
        <xdr:cNvPr id="19" name="Shape 19"/>
        <xdr:cNvSpPr/>
      </xdr:nvSpPr>
      <xdr:spPr>
        <a:xfrm>
          <a:off x="1269300" y="0"/>
          <a:ext cx="8153400" cy="7560000"/>
        </a:xfrm>
        <a:prstGeom prst="rect">
          <a:avLst/>
        </a:prstGeom>
        <a:solidFill>
          <a:schemeClr val="accent1"/>
        </a:solidFill>
        <a:ln cap="flat" cmpd="sng" w="25400">
          <a:solidFill>
            <a:srgbClr val="21364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533400</xdr:colOff>
      <xdr:row>14</xdr:row>
      <xdr:rowOff>47625</xdr:rowOff>
    </xdr:from>
    <xdr:ext cx="6191250" cy="447675"/>
    <xdr:sp>
      <xdr:nvSpPr>
        <xdr:cNvPr id="20" name="Shape 20"/>
        <xdr:cNvSpPr/>
      </xdr:nvSpPr>
      <xdr:spPr>
        <a:xfrm>
          <a:off x="2255138" y="3560925"/>
          <a:ext cx="6181725" cy="4381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981075</xdr:colOff>
      <xdr:row>17</xdr:row>
      <xdr:rowOff>38100</xdr:rowOff>
    </xdr:from>
    <xdr:ext cx="4791075" cy="152400"/>
    <xdr:sp>
      <xdr:nvSpPr>
        <xdr:cNvPr id="21" name="Shape 21"/>
        <xdr:cNvSpPr/>
      </xdr:nvSpPr>
      <xdr:spPr>
        <a:xfrm>
          <a:off x="2964750" y="3708563"/>
          <a:ext cx="4762500" cy="14287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476250</xdr:colOff>
      <xdr:row>7</xdr:row>
      <xdr:rowOff>228600</xdr:rowOff>
    </xdr:from>
    <xdr:ext cx="857250" cy="314325"/>
    <xdr:sp>
      <xdr:nvSpPr>
        <xdr:cNvPr id="22" name="Shape 22"/>
        <xdr:cNvSpPr txBox="1"/>
      </xdr:nvSpPr>
      <xdr:spPr>
        <a:xfrm>
          <a:off x="4922138" y="3627600"/>
          <a:ext cx="847725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TCA</a:t>
          </a:r>
          <a:endParaRPr sz="1400"/>
        </a:p>
      </xdr:txBody>
    </xdr:sp>
    <xdr:clientData fLocksWithSheet="0"/>
  </xdr:oneCellAnchor>
  <xdr:oneCellAnchor>
    <xdr:from>
      <xdr:col>8</xdr:col>
      <xdr:colOff>971550</xdr:colOff>
      <xdr:row>5</xdr:row>
      <xdr:rowOff>95250</xdr:rowOff>
    </xdr:from>
    <xdr:ext cx="1000125" cy="514350"/>
    <xdr:sp>
      <xdr:nvSpPr>
        <xdr:cNvPr id="23" name="Shape 23"/>
        <xdr:cNvSpPr/>
      </xdr:nvSpPr>
      <xdr:spPr>
        <a:xfrm>
          <a:off x="4860225" y="3537113"/>
          <a:ext cx="971550" cy="485775"/>
        </a:xfrm>
        <a:prstGeom prst="rect">
          <a:avLst/>
        </a:prstGeom>
        <a:noFill/>
        <a:ln cap="flat" cmpd="sng" w="25400">
          <a:solidFill>
            <a:srgbClr val="BFBFB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409575</xdr:colOff>
      <xdr:row>10</xdr:row>
      <xdr:rowOff>342900</xdr:rowOff>
    </xdr:from>
    <xdr:ext cx="1905000" cy="38100"/>
    <xdr:grpSp>
      <xdr:nvGrpSpPr>
        <xdr:cNvPr id="2" name="Shape 2"/>
        <xdr:cNvGrpSpPr/>
      </xdr:nvGrpSpPr>
      <xdr:grpSpPr>
        <a:xfrm>
          <a:off x="4393500" y="3780000"/>
          <a:ext cx="1905000" cy="0"/>
          <a:chOff x="4393500" y="3780000"/>
          <a:chExt cx="1905000" cy="0"/>
        </a:xfrm>
      </xdr:grpSpPr>
      <xdr:cxnSp>
        <xdr:nvCxnSpPr>
          <xdr:cNvPr id="24" name="Shape 24"/>
          <xdr:cNvCxnSpPr/>
        </xdr:nvCxnSpPr>
        <xdr:spPr>
          <a:xfrm>
            <a:off x="4393500" y="3780000"/>
            <a:ext cx="1905000" cy="0"/>
          </a:xfrm>
          <a:prstGeom prst="straightConnector1">
            <a:avLst/>
          </a:prstGeom>
          <a:noFill/>
          <a:ln cap="flat" cmpd="sng" w="9525">
            <a:solidFill>
              <a:srgbClr val="A5A5A5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1514475</xdr:colOff>
      <xdr:row>7</xdr:row>
      <xdr:rowOff>209550</xdr:rowOff>
    </xdr:from>
    <xdr:ext cx="809625" cy="314325"/>
    <xdr:sp>
      <xdr:nvSpPr>
        <xdr:cNvPr id="25" name="Shape 25"/>
        <xdr:cNvSpPr txBox="1"/>
      </xdr:nvSpPr>
      <xdr:spPr>
        <a:xfrm>
          <a:off x="4945950" y="3627600"/>
          <a:ext cx="800100" cy="3048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chemeClr val="dk1"/>
              </a:solidFill>
              <a:latin typeface="Courier New"/>
              <a:ea typeface="Courier New"/>
              <a:cs typeface="Courier New"/>
              <a:sym typeface="Courier New"/>
            </a:rPr>
            <a:t>TCM</a:t>
          </a:r>
          <a:endParaRPr sz="1400"/>
        </a:p>
      </xdr:txBody>
    </xdr:sp>
    <xdr:clientData fLocksWithSheet="0"/>
  </xdr:oneCellAnchor>
  <xdr:oneCellAnchor>
    <xdr:from>
      <xdr:col>8</xdr:col>
      <xdr:colOff>1009650</xdr:colOff>
      <xdr:row>2</xdr:row>
      <xdr:rowOff>171450</xdr:rowOff>
    </xdr:from>
    <xdr:ext cx="962025" cy="514350"/>
    <xdr:sp>
      <xdr:nvSpPr>
        <xdr:cNvPr id="26" name="Shape 26"/>
        <xdr:cNvSpPr/>
      </xdr:nvSpPr>
      <xdr:spPr>
        <a:xfrm>
          <a:off x="4879275" y="3537113"/>
          <a:ext cx="933450" cy="485775"/>
        </a:xfrm>
        <a:prstGeom prst="rect">
          <a:avLst/>
        </a:prstGeom>
        <a:noFill/>
        <a:ln cap="flat" cmpd="sng" w="25400">
          <a:solidFill>
            <a:srgbClr val="BFBFB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104775</xdr:colOff>
      <xdr:row>0</xdr:row>
      <xdr:rowOff>0</xdr:rowOff>
    </xdr:from>
    <xdr:ext cx="885825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1447800</xdr:colOff>
      <xdr:row>0</xdr:row>
      <xdr:rowOff>19050</xdr:rowOff>
    </xdr:from>
    <xdr:ext cx="2000250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5.29"/>
    <col customWidth="1" min="3" max="3" width="19.14"/>
    <col customWidth="1" min="4" max="4" width="24.71"/>
    <col customWidth="1" min="5" max="26" width="11.43"/>
  </cols>
  <sheetData>
    <row r="1" ht="14.2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5"/>
      <c r="B2" s="6" t="s">
        <v>0</v>
      </c>
      <c r="C2" s="7"/>
      <c r="D2" s="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"/>
      <c r="B3" s="9"/>
      <c r="C3" s="10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9"/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1</v>
      </c>
      <c r="C5" s="13">
        <f>+'Plan de pagos'!L15</f>
        <v>500</v>
      </c>
      <c r="D5" s="1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4"/>
      <c r="C6" s="15"/>
      <c r="D6" s="1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2" t="s">
        <v>2</v>
      </c>
      <c r="C7" s="16">
        <f>+'Plan de pagos'!G7</f>
        <v>0.06</v>
      </c>
      <c r="D7" s="1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4"/>
      <c r="C8" s="17"/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2" t="s">
        <v>3</v>
      </c>
      <c r="C9" s="18">
        <f>+'Plan de pagos'!G11</f>
        <v>10</v>
      </c>
      <c r="D9" s="1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75" customHeight="1">
      <c r="A10" s="1"/>
      <c r="B10" s="14"/>
      <c r="C10" s="15"/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2" t="s">
        <v>4</v>
      </c>
      <c r="C11" s="19">
        <f>PMT(C7,C9,C5)*-1</f>
        <v>67.93397911</v>
      </c>
      <c r="D11" s="2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4"/>
      <c r="C12" s="15"/>
      <c r="D12" s="1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2" t="s">
        <v>5</v>
      </c>
      <c r="C13" s="19">
        <f>C11/2</f>
        <v>33.96698956</v>
      </c>
      <c r="D13" s="1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9"/>
      <c r="C14" s="10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1" t="s">
        <v>6</v>
      </c>
      <c r="C15" s="22">
        <f>C9*C11</f>
        <v>679.3397911</v>
      </c>
      <c r="D15" s="1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3"/>
      <c r="C16" s="24"/>
      <c r="D16" s="2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6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6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2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26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2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6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26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2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6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6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26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2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6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6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6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6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2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2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6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2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26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6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2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26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2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26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2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26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2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26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2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26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26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26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26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26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26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6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26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26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26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26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26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26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26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26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26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6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26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2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2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2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6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6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6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6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6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6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6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6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6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6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6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6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6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6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6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6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6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6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6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6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6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6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6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6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6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6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6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6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6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6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6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6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6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6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6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6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6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6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6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6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6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6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6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6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6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6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6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6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6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6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6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6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6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6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6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6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6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6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6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6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6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6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6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6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6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6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6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6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6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6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6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6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6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6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6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6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6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6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6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6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6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6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6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6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6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6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6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6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6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6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6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6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6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6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6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6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6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6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6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6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6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6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6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6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6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6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6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6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6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6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6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6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6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6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6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6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6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6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6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6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6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6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6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6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6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6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6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6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6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6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6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6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6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6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6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6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6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6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6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6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6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6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6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6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6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6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6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6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6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6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6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6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6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6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6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6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6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6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6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6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6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6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6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6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6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6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6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6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6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6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6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6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6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6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6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6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6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6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6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6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6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6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6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6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6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6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6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6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6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6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6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6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6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6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6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6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6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6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6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6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6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6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6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6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6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6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6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6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6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6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6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6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6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6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6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6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6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6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6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6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6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6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6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6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6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6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6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6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6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6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6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6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6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6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6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6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6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6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6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6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6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6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6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6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6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6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6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6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6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6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6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6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6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6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6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6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6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6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6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6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6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6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6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6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6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6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6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6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6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6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6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6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6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6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6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6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6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6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6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6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6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6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6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6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6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6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6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6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6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6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6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6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6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6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6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6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6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6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6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6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6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6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6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6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6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6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6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6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6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6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6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6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6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6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6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6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6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6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6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6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6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6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6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6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6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6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6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6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6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6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6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6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6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6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6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6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6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6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6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6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6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6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6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6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6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6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6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6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6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6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6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6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6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6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6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6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6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6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6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6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6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6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6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6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6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6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6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6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6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6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6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6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6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6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6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6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6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6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6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6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6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6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6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6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6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6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6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6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6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6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6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6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6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6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6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6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6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6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6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6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6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6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6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6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6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6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6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6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6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6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6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6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6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6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6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6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6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6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6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6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6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6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6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6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6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6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6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6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6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6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6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6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6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6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6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6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6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6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6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6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6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6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6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6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6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6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6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6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6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6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6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6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6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6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6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6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6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6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6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6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6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6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6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6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6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6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6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6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6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6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6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6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6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6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6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6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6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6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6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6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6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6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6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6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6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6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6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6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6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6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6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6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6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6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6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6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6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6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6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6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6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6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6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6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6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6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6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6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6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6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6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6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6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6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6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6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6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6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6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6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6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6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6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6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6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6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6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6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6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6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6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6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6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6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6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6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6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6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6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6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6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6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6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6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6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6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6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6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6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6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6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6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6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6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6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6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6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6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6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6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6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6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6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6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6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6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6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6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6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6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6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6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6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6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6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6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6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6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6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6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6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6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6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6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6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6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6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6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6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6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6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6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6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6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6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6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6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6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6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6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6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6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6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6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6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6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6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6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6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6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6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6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6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6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6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6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6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6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6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6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6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6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6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6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6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6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6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6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6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6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6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6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6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6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6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6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6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6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6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6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6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6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6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6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6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6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6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6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6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6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6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6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6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6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6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6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6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6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6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6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6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6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6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6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6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6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6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6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6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6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6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6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6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6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6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6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6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6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6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6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6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6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6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6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6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6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6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6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6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6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6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6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6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6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6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6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6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6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6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6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6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6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6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6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6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6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6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6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6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6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6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6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6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6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6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6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6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6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6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6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6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6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6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6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6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6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6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6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6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6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26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26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26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26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26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26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26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26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26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26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26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26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26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26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26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26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26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26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26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26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26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26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26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26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26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26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26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26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26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26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26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26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26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26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26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26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26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26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26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26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26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26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26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26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26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26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26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26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26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26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26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26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26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26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26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26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26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26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26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26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26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26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26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26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26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26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26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26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26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26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26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26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26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26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26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26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26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26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26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26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26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26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26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26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26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26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26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26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26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26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7.0"/>
    <col customWidth="1" min="2" max="2" width="26.29"/>
    <col customWidth="1" min="3" max="3" width="20.57"/>
    <col customWidth="1" min="4" max="9" width="11.57"/>
    <col customWidth="1" min="10" max="26" width="10.71"/>
  </cols>
  <sheetData>
    <row r="1" ht="18.0" customHeight="1">
      <c r="A1" s="27" t="s">
        <v>7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8.0" customHeight="1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57.0" customHeight="1">
      <c r="A3" s="29" t="s">
        <v>8</v>
      </c>
      <c r="D3" s="28"/>
      <c r="E3" s="28"/>
      <c r="F3" s="28"/>
      <c r="G3" s="28"/>
      <c r="H3" s="28">
        <v>300.0</v>
      </c>
      <c r="I3" s="28">
        <v>4999.0</v>
      </c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41.25" customHeight="1">
      <c r="A4" s="30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8.0" customHeight="1">
      <c r="A5" s="31" t="s">
        <v>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8.0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8.0" customHeight="1">
      <c r="A7" s="31" t="s">
        <v>10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8.0" customHeight="1">
      <c r="A8" s="32" t="s">
        <v>11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8.0" customHeight="1">
      <c r="A9" s="32" t="s">
        <v>12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8.0" customHeight="1">
      <c r="A10" s="32" t="s">
        <v>13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8.0" customHeight="1">
      <c r="A11" s="32" t="s">
        <v>14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8.0" customHeight="1">
      <c r="A12" s="33" t="s">
        <v>15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8.0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8.0" customHeight="1">
      <c r="A14" s="31" t="s">
        <v>16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8.0" customHeight="1">
      <c r="A15" s="31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8.0" customHeight="1">
      <c r="A16" s="32" t="s">
        <v>17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33.0" customHeight="1">
      <c r="A17" s="34" t="s">
        <v>18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8.0" customHeight="1">
      <c r="A18" s="32" t="s">
        <v>19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8.0" customHeight="1">
      <c r="A19" s="33" t="s">
        <v>20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8.0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8.0" customHeight="1">
      <c r="A21" s="35" t="s">
        <v>21</v>
      </c>
      <c r="B21" s="36"/>
      <c r="C21" s="36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8.0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8.0" customHeight="1">
      <c r="A23" s="37" t="s">
        <v>22</v>
      </c>
      <c r="B23" s="37" t="s">
        <v>23</v>
      </c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9.5" customHeight="1">
      <c r="A24" s="38" t="s">
        <v>24</v>
      </c>
      <c r="B24" s="39">
        <v>68.6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9.5" customHeight="1">
      <c r="A25" s="38" t="s">
        <v>25</v>
      </c>
      <c r="B25" s="39">
        <f>ROUND(B24,2)</f>
        <v>68.6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9.5" customHeight="1">
      <c r="A26" s="38" t="s">
        <v>26</v>
      </c>
      <c r="B26" s="39">
        <v>72.5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9.5" customHeight="1">
      <c r="A27" s="40" t="s">
        <v>27</v>
      </c>
      <c r="B27" s="41">
        <f>ROUND(SUM(B24:B26),2)</f>
        <v>209.7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8.0" customHeight="1">
      <c r="A28" s="38" t="s">
        <v>28</v>
      </c>
      <c r="B28" s="42" t="s">
        <v>29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9.5" customHeight="1">
      <c r="A29" s="40"/>
      <c r="B29" s="41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9.5" customHeight="1">
      <c r="A30" s="43" t="s">
        <v>30</v>
      </c>
      <c r="B30" s="36"/>
      <c r="C30" s="36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8.0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21.0" customHeight="1">
      <c r="A32" s="44" t="s">
        <v>31</v>
      </c>
      <c r="B32" s="28"/>
      <c r="C32" s="45" t="s">
        <v>32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8.0" customHeight="1">
      <c r="A33" s="28" t="s">
        <v>33</v>
      </c>
      <c r="B33" s="28" t="b">
        <v>1</v>
      </c>
      <c r="C33" s="46">
        <f>ROUND(6*36.6243,2)</f>
        <v>219.75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8.0" customHeight="1">
      <c r="A34" s="28" t="s">
        <v>34</v>
      </c>
      <c r="B34" s="28" t="b">
        <v>1</v>
      </c>
      <c r="C34" s="46">
        <f>+B25</f>
        <v>68.6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8.0" customHeight="1">
      <c r="A35" s="28" t="s">
        <v>35</v>
      </c>
      <c r="B35" s="47" t="b">
        <v>1</v>
      </c>
      <c r="C35" s="48">
        <f>ROUND(B26,2)</f>
        <v>72.5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8.0" customHeight="1">
      <c r="A36" s="28"/>
      <c r="B36" s="49" t="s">
        <v>36</v>
      </c>
      <c r="C36" s="50">
        <f>ROUND(SUM(C33:C35),2)</f>
        <v>360.85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8.0" customHeight="1">
      <c r="A37" s="28"/>
      <c r="B37" s="27" t="s">
        <v>37</v>
      </c>
      <c r="C37" s="51">
        <f>+C36/36.6243</f>
        <v>9.852748039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8.0" customHeight="1">
      <c r="A38" s="28"/>
      <c r="B38" s="27"/>
      <c r="C38" s="51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8.0" customHeight="1">
      <c r="A39" s="44" t="s">
        <v>38</v>
      </c>
      <c r="B39" s="28"/>
      <c r="C39" s="45" t="s">
        <v>32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8.0" customHeight="1">
      <c r="A40" s="28" t="s">
        <v>33</v>
      </c>
      <c r="B40" s="28" t="b">
        <v>1</v>
      </c>
      <c r="C40" s="46">
        <f t="shared" ref="C40:C41" si="1">+C33</f>
        <v>219.75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8.0" customHeight="1">
      <c r="A41" s="28" t="s">
        <v>34</v>
      </c>
      <c r="B41" s="28" t="b">
        <v>1</v>
      </c>
      <c r="C41" s="46">
        <f t="shared" si="1"/>
        <v>68.6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8.0" customHeight="1">
      <c r="A42" s="28" t="s">
        <v>35</v>
      </c>
      <c r="B42" s="28" t="b">
        <v>1</v>
      </c>
      <c r="C42" s="46">
        <f>+B26</f>
        <v>72.5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8.0" customHeight="1">
      <c r="A43" s="28" t="s">
        <v>39</v>
      </c>
      <c r="B43" s="28" t="b">
        <v>1</v>
      </c>
      <c r="C43" s="46">
        <f>+C41*C44</f>
        <v>1372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8.0" customHeight="1">
      <c r="A44" s="28" t="s">
        <v>40</v>
      </c>
      <c r="B44" s="28" t="b">
        <v>1</v>
      </c>
      <c r="C44" s="52">
        <f>IF('Plan de pagos'!L7="Deposito",0,MAX('Plan de pagos'!D:D))</f>
        <v>20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8.0" customHeight="1">
      <c r="A45" s="28" t="s">
        <v>41</v>
      </c>
      <c r="B45" s="47" t="b">
        <v>1</v>
      </c>
      <c r="C45" s="48">
        <v>68.6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8.0" customHeight="1">
      <c r="A46" s="28"/>
      <c r="B46" s="49" t="s">
        <v>36</v>
      </c>
      <c r="C46" s="50">
        <f>+SUM(C40:C43)+C45</f>
        <v>1801.45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8.0" customHeight="1">
      <c r="A47" s="28"/>
      <c r="B47" s="27" t="s">
        <v>37</v>
      </c>
      <c r="C47" s="51">
        <f>+C46/36.6243</f>
        <v>49.18728822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8.0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8.0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8.0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8.0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8.0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8.0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8.0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8.0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8.0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8.0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8.0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8.0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8.0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8.0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8.0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8.0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8.0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8.0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8.0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8.0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8.0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8.0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8.0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8.0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8.0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8.0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8.0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8.0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8.0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8.0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8.0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8.0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8.0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8.0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8.0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8.0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8.0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8.0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8.0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8.0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8.0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8.0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8.0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8.0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8.0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8.0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8.0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8.0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8.0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8.0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8.0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8.0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8.0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8.0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8.0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8.0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8.0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8.0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8.0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8.0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8.0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8.0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8.0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8.0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8.0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8.0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8.0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8.0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8.0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8.0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8.0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8.0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8.0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8.0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8.0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8.0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8.0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8.0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8.0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8.0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8.0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8.0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8.0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8.0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8.0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8.0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8.0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8.0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8.0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8.0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8.0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8.0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8.0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8.0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8.0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8.0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8.0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8.0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8.0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8.0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8.0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8.0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8.0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8.0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8.0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8.0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8.0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8.0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8.0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8.0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8.0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8.0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8.0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8.0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8.0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8.0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8.0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8.0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8.0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8.0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8.0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8.0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8.0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8.0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8.0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8.0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8.0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8.0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8.0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8.0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8.0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8.0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8.0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8.0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8.0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8.0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8.0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8.0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8.0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8.0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8.0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8.0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8.0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8.0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8.0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8.0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8.0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8.0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8.0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8.0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8.0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8.0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8.0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8.0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8.0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8.0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8.0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8.0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8.0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8.0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8.0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8.0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8.0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8.0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8.0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8.0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8.0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8.0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8.0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8.0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8.0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8.0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8.0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8.0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8.0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8.0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8.0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8.0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8.0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8.0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8.0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8.0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8.0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8.0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8.0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8.0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8.0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8.0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8.0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8.0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8.0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8.0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8.0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8.0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8.0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8.0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8.0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8.0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8.0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8.0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8.0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8.0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8.0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8.0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8.0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8.0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8.0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8.0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8.0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8.0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8.0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8.0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8.0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8.0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8.0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8.0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8.0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8.0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8.0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8.0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8.0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8.0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8.0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8.0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8.0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8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8.0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8.0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8.0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8.0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8.0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8.0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8.0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8.0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8.0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8.0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8.0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8.0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8.0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8.0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8.0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8.0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8.0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8.0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8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8.0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8.0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8.0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8.0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8.0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8.0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8.0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8.0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8.0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8.0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8.0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8.0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8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8.0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8.0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8.0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8.0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8.0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8.0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8.0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8.0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8.0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8.0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8.0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8.0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8.0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8.0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8.0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8.0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8.0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8.0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8.0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8.0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8.0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8.0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8.0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8.0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8.0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8.0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8.0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8.0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8.0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8.0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8.0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8.0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8.0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8.0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8.0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8.0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8.0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8.0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8.0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8.0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8.0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8.0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8.0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8.0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8.0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8.0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8.0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8.0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8.0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8.0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8.0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8.0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8.0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8.0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8.0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8.0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8.0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8.0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8.0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8.0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8.0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8.0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8.0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8.0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8.0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8.0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8.0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8.0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8.0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8.0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8.0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8.0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8.0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8.0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8.0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8.0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8.0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8.0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8.0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8.0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8.0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8.0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8.0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8.0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8.0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8.0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8.0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8.0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8.0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8.0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8.0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8.0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8.0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8.0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8.0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8.0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8.0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8.0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8.0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8.0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8.0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8.0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8.0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8.0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8.0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8.0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8.0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8.0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8.0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8.0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8.0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8.0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8.0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8.0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8.0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8.0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8.0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8.0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8.0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8.0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8.0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8.0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8.0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8.0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8.0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8.0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8.0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8.0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8.0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8.0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8.0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8.0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8.0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8.0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8.0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8.0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8.0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8.0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8.0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8.0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8.0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8.0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8.0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8.0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8.0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8.0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8.0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8.0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8.0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8.0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8.0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8.0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8.0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8.0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8.0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8.0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8.0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8.0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8.0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8.0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8.0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8.0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8.0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8.0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8.0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8.0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8.0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8.0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8.0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8.0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8.0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8.0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8.0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8.0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8.0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8.0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8.0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8.0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8.0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8.0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8.0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8.0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8.0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8.0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8.0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8.0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8.0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8.0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8.0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8.0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8.0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8.0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8.0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8.0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8.0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8.0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8.0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8.0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8.0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8.0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8.0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8.0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8.0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8.0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8.0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8.0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8.0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8.0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8.0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8.0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8.0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8.0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8.0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8.0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8.0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8.0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8.0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8.0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8.0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8.0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8.0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8.0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8.0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8.0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8.0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8.0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8.0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8.0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8.0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8.0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8.0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8.0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8.0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8.0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8.0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8.0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8.0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8.0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8.0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8.0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8.0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8.0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8.0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8.0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8.0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8.0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8.0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8.0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8.0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8.0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8.0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8.0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8.0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8.0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8.0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8.0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8.0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8.0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8.0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8.0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8.0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8.0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8.0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8.0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8.0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8.0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8.0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8.0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8.0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8.0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8.0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8.0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8.0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8.0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8.0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8.0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8.0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8.0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8.0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8.0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8.0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8.0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8.0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8.0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8.0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8.0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8.0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8.0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8.0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8.0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8.0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8.0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8.0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8.0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8.0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8.0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8.0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8.0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8.0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8.0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8.0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8.0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8.0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8.0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8.0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8.0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8.0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8.0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8.0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8.0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8.0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8.0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8.0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8.0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8.0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8.0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8.0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8.0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8.0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8.0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8.0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8.0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8.0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8.0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8.0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8.0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8.0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8.0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8.0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8.0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8.0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8.0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8.0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8.0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8.0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8.0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8.0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8.0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8.0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8.0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8.0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8.0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8.0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8.0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8.0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8.0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8.0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8.0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8.0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8.0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8.0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8.0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8.0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8.0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8.0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8.0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8.0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8.0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8.0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8.0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8.0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8.0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8.0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8.0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8.0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8.0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8.0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8.0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8.0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8.0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8.0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8.0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8.0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8.0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8.0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8.0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8.0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8.0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8.0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8.0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8.0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8.0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8.0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8.0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8.0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8.0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8.0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8.0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8.0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8.0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8.0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8.0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8.0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8.0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8.0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8.0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8.0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8.0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8.0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8.0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8.0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8.0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8.0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8.0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8.0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8.0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8.0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8.0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8.0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8.0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8.0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8.0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8.0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8.0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8.0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8.0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8.0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8.0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8.0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8.0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8.0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8.0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8.0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8.0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8.0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8.0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8.0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8.0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8.0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8.0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8.0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8.0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8.0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8.0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8.0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8.0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8.0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8.0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8.0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8.0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8.0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8.0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8.0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8.0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8.0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8.0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8.0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8.0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8.0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8.0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8.0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8.0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8.0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8.0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8.0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8.0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8.0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8.0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8.0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8.0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8.0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8.0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8.0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8.0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8.0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8.0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8.0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8.0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8.0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8.0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8.0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8.0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8.0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8.0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8.0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8.0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8.0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8.0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8.0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8.0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8.0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8.0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8.0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8.0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8.0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8.0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8.0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8.0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8.0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8.0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8.0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8.0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8.0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8.0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8.0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8.0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8.0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8.0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8.0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8.0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8.0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8.0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8.0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8.0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8.0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8.0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8.0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8.0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8.0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8.0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8.0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8.0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8.0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8.0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8.0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8.0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8.0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8.0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8.0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8.0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8.0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8.0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8.0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8.0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8.0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8.0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8.0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8.0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8.0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8.0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8.0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8.0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8.0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8.0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8.0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8.0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8.0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8.0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8.0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8.0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8.0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8.0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8.0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8.0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8.0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8.0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8.0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8.0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8.0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8.0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8.0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8.0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8.0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8.0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8.0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8.0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8.0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8.0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8.0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8.0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8.0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8.0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8.0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8.0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8.0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8.0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8.0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8.0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8.0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8.0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8.0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8.0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8.0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8.0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8.0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8.0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8.0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8.0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8.0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8.0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8.0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8.0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8.0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8.0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8.0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8.0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8.0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8.0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8.0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8.0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8.0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8.0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8.0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8.0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8.0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8.0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8.0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8.0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8.0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8.0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8.0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8.0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8.0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8.0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8.0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8.0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8.0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8.0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8.0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8.0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8.0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8.0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8.0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8.0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8.0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8.0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8.0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8.0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8.0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8.0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8.0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8.0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8.0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8.0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8.0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8.0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8.0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8.0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8.0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8.0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8.0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8.0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8.0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8.0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8.0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8.0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8.0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8.0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8.0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8.0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8.0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8.0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8.0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8.0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8.0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8.0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8.0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8.0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8.0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8.0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8.0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8.0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8.0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8.0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8.0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8.0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8.0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8.0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8.0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8.0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8.0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8.0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8.0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8.0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8.0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8.0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8.0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8.0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8.0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8.0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8.0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8.0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8.0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8.0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8.0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8.0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8.0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8.0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8.0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8.0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8.0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8.0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8.0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8.0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8.0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8.0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8.0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8.0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8.0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8.0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8.0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8.0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8.0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8.0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8.0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3">
    <mergeCell ref="A3:C3"/>
    <mergeCell ref="A21:C21"/>
    <mergeCell ref="A30:C30"/>
  </mergeCells>
  <printOptions/>
  <pageMargins bottom="0.75" footer="0.0" header="0.0" left="0.7" right="0.7" top="0.75"/>
  <pageSetup scale="6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4" width="0.29"/>
    <col customWidth="1" hidden="1" min="5" max="5" width="10.71"/>
    <col customWidth="1" min="6" max="7" width="0.71"/>
    <col customWidth="1" min="8" max="8" width="5.71"/>
    <col customWidth="1" min="9" max="9" width="1.86"/>
    <col customWidth="1" min="10" max="11" width="0.14"/>
    <col customWidth="1" min="12" max="12" width="4.29"/>
    <col customWidth="1" hidden="1" min="13" max="13" width="10.71"/>
    <col customWidth="1" min="14" max="14" width="0.71"/>
    <col customWidth="1" min="15" max="15" width="0.14"/>
    <col customWidth="1" min="16" max="16" width="4.29"/>
    <col customWidth="1" min="17" max="17" width="7.86"/>
    <col customWidth="1" min="18" max="18" width="0.57"/>
    <col customWidth="1" min="19" max="19" width="1.0"/>
    <col customWidth="1" min="20" max="20" width="3.71"/>
    <col customWidth="1" min="21" max="22" width="0.14"/>
    <col customWidth="1" min="23" max="23" width="1.14"/>
    <col customWidth="1" min="24" max="24" width="3.57"/>
    <col customWidth="1" hidden="1" min="25" max="25" width="10.71"/>
    <col customWidth="1" min="26" max="26" width="1.71"/>
    <col customWidth="1" min="27" max="27" width="1.57"/>
    <col customWidth="1" min="28" max="28" width="0.29"/>
    <col customWidth="1" hidden="1" min="29" max="29" width="10.71"/>
    <col customWidth="1" min="30" max="30" width="1.57"/>
    <col customWidth="1" hidden="1" min="31" max="31" width="10.71"/>
    <col customWidth="1" min="32" max="32" width="1.57"/>
    <col customWidth="1" min="33" max="33" width="0.71"/>
    <col customWidth="1" hidden="1" min="34" max="34" width="10.71"/>
    <col customWidth="1" min="35" max="35" width="0.29"/>
    <col customWidth="1" min="36" max="36" width="3.71"/>
    <col customWidth="1" min="37" max="37" width="3.57"/>
    <col customWidth="1" hidden="1" min="38" max="38" width="10.71"/>
    <col customWidth="1" min="39" max="39" width="0.43"/>
    <col customWidth="1" min="40" max="40" width="1.43"/>
    <col customWidth="1" min="41" max="41" width="0.29"/>
    <col customWidth="1" min="42" max="42" width="4.0"/>
    <col customWidth="1" min="43" max="43" width="4.14"/>
    <col customWidth="1" min="44" max="44" width="4.71"/>
    <col customWidth="1" min="45" max="45" width="2.57"/>
    <col customWidth="1" min="46" max="46" width="0.29"/>
    <col customWidth="1" min="47" max="47" width="7.29"/>
    <col customWidth="1" min="48" max="48" width="0.14"/>
    <col customWidth="1" min="49" max="50" width="0.29"/>
    <col customWidth="1" min="51" max="51" width="5.43"/>
    <col customWidth="1" hidden="1" min="52" max="52" width="10.71"/>
    <col customWidth="1" min="53" max="53" width="0.29"/>
    <col customWidth="1" min="54" max="54" width="4.71"/>
    <col customWidth="1" min="55" max="55" width="0.29"/>
    <col customWidth="1" min="56" max="56" width="1.0"/>
    <col customWidth="1" hidden="1" min="57" max="57" width="10.71"/>
    <col customWidth="1" min="58" max="59" width="0.14"/>
    <col customWidth="1" min="60" max="60" width="0.29"/>
    <col customWidth="1" min="61" max="61" width="6.43"/>
    <col customWidth="1" min="62" max="62" width="0.43"/>
    <col customWidth="1" min="63" max="63" width="3.86"/>
    <col customWidth="1" hidden="1" min="64" max="64" width="1.29"/>
    <col customWidth="1" hidden="1" min="65" max="65" width="1.43"/>
    <col customWidth="1" hidden="1" min="66" max="66" width="0.14"/>
    <col customWidth="1" hidden="1" min="67" max="67" width="10.71"/>
    <col customWidth="1" hidden="1" min="68" max="68" width="0.29"/>
    <col customWidth="1" min="69" max="69" width="10.71"/>
  </cols>
  <sheetData>
    <row r="1" ht="14.25" customHeight="1">
      <c r="P1" s="53" t="s">
        <v>42</v>
      </c>
    </row>
    <row r="2" ht="14.25" customHeight="1">
      <c r="G2" s="10"/>
    </row>
    <row r="3" ht="1.5" customHeight="1"/>
    <row r="4" ht="15.75" customHeight="1">
      <c r="P4" s="53" t="s">
        <v>42</v>
      </c>
    </row>
    <row r="5" ht="0.75" customHeight="1"/>
    <row r="6" ht="15.75" customHeight="1">
      <c r="P6" s="53" t="s">
        <v>43</v>
      </c>
    </row>
    <row r="7" customHeight="1"/>
    <row r="8" ht="7.5" customHeight="1"/>
    <row r="9" ht="15.0" customHeight="1">
      <c r="AR9" s="54" t="s">
        <v>44</v>
      </c>
      <c r="BB9" s="55"/>
      <c r="BG9" s="56"/>
    </row>
    <row r="10" ht="3.0" customHeight="1"/>
    <row r="11" ht="0.75" customHeight="1">
      <c r="C11" s="57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9"/>
    </row>
    <row r="12" ht="14.25" customHeight="1">
      <c r="C12" s="60"/>
      <c r="D12" s="61" t="s">
        <v>45</v>
      </c>
      <c r="BN12" s="62"/>
    </row>
    <row r="13" ht="14.25" customHeight="1">
      <c r="C13" s="60"/>
      <c r="X13" s="63" t="s">
        <v>46</v>
      </c>
      <c r="BN13" s="62"/>
    </row>
    <row r="14" ht="14.25" customHeight="1">
      <c r="C14" s="60"/>
      <c r="K14" s="64" t="s">
        <v>47</v>
      </c>
      <c r="AJ14" s="65" t="s">
        <v>48</v>
      </c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7"/>
      <c r="AY14" s="61" t="s">
        <v>49</v>
      </c>
      <c r="BD14" s="64" t="s">
        <v>50</v>
      </c>
      <c r="BN14" s="62"/>
    </row>
    <row r="15" ht="14.25" hidden="1" customHeight="1">
      <c r="C15" s="60"/>
      <c r="BN15" s="62"/>
    </row>
    <row r="16" ht="14.25" hidden="1" customHeight="1">
      <c r="C16" s="60"/>
      <c r="BN16" s="62"/>
    </row>
    <row r="17" ht="14.25" customHeight="1">
      <c r="C17" s="60"/>
      <c r="D17" s="61" t="s">
        <v>51</v>
      </c>
      <c r="BN17" s="62"/>
    </row>
    <row r="18" ht="14.25" customHeight="1">
      <c r="C18" s="60"/>
      <c r="L18" s="64" t="str">
        <f>+K14</f>
        <v>0010410750006Q</v>
      </c>
      <c r="W18" s="61" t="s">
        <v>52</v>
      </c>
      <c r="Z18" s="64">
        <v>1.0</v>
      </c>
      <c r="AI18" s="61" t="s">
        <v>53</v>
      </c>
      <c r="AP18" s="64" t="s">
        <v>54</v>
      </c>
      <c r="AY18" s="61" t="s">
        <v>55</v>
      </c>
      <c r="BI18" s="64" t="s">
        <v>55</v>
      </c>
      <c r="BN18" s="62"/>
    </row>
    <row r="19" ht="14.25" customHeight="1">
      <c r="C19" s="60"/>
      <c r="BN19" s="62"/>
    </row>
    <row r="20" ht="1.5" customHeight="1">
      <c r="C20" s="6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9"/>
    </row>
    <row r="21" ht="0.75" customHeight="1"/>
    <row r="22" ht="3.0" customHeight="1">
      <c r="B22" s="57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N22" s="70" t="s">
        <v>56</v>
      </c>
      <c r="AO22" s="71"/>
      <c r="AP22" s="71"/>
      <c r="AQ22" s="71"/>
      <c r="AR22" s="71"/>
      <c r="AS22" s="71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9"/>
    </row>
    <row r="23" ht="3.0" customHeight="1">
      <c r="B23" s="60"/>
      <c r="AK23" s="62"/>
      <c r="AN23" s="72"/>
      <c r="AU23" s="73">
        <v>45838.0</v>
      </c>
      <c r="AV23" s="74"/>
      <c r="AW23" s="74"/>
      <c r="AX23" s="74"/>
      <c r="AY23" s="75"/>
      <c r="BB23" s="61" t="s">
        <v>57</v>
      </c>
      <c r="BK23" s="64" t="s">
        <v>58</v>
      </c>
      <c r="BN23" s="76"/>
    </row>
    <row r="24" ht="3.0" customHeight="1">
      <c r="B24" s="60"/>
      <c r="O24" s="77">
        <v>1000.0</v>
      </c>
      <c r="P24" s="74"/>
      <c r="Q24" s="74"/>
      <c r="R24" s="75"/>
      <c r="AK24" s="62"/>
      <c r="AN24" s="72"/>
      <c r="AU24" s="78"/>
      <c r="AY24" s="79"/>
      <c r="BN24" s="76"/>
    </row>
    <row r="25" ht="3.0" customHeight="1">
      <c r="B25" s="60"/>
      <c r="F25" s="61" t="s">
        <v>59</v>
      </c>
      <c r="O25" s="78"/>
      <c r="R25" s="79"/>
      <c r="AK25" s="62"/>
      <c r="AN25" s="72"/>
      <c r="AU25" s="78"/>
      <c r="AY25" s="79"/>
      <c r="BN25" s="76"/>
    </row>
    <row r="26" ht="3.0" customHeight="1">
      <c r="B26" s="60"/>
      <c r="O26" s="78"/>
      <c r="R26" s="79"/>
      <c r="T26" s="61" t="s">
        <v>60</v>
      </c>
      <c r="AF26" s="80">
        <v>12.0</v>
      </c>
      <c r="AG26" s="74"/>
      <c r="AH26" s="74"/>
      <c r="AI26" s="74"/>
      <c r="AJ26" s="74"/>
      <c r="AK26" s="81"/>
      <c r="AN26" s="72"/>
      <c r="AU26" s="78"/>
      <c r="AY26" s="79"/>
      <c r="BN26" s="76"/>
    </row>
    <row r="27" ht="3.0" customHeight="1">
      <c r="B27" s="60"/>
      <c r="O27" s="78"/>
      <c r="R27" s="79"/>
      <c r="AF27" s="78"/>
      <c r="AK27" s="76"/>
      <c r="AN27" s="72"/>
      <c r="AU27" s="78"/>
      <c r="AY27" s="79"/>
      <c r="BN27" s="62"/>
    </row>
    <row r="28" ht="3.0" customHeight="1">
      <c r="B28" s="60"/>
      <c r="O28" s="78"/>
      <c r="R28" s="79"/>
      <c r="AF28" s="78"/>
      <c r="AK28" s="76"/>
      <c r="AN28" s="72"/>
      <c r="AU28" s="78"/>
      <c r="AY28" s="79"/>
      <c r="BN28" s="62"/>
    </row>
    <row r="29" ht="3.0" customHeight="1">
      <c r="B29" s="60"/>
      <c r="O29" s="78"/>
      <c r="R29" s="79"/>
      <c r="AF29" s="78"/>
      <c r="AK29" s="76"/>
      <c r="AN29" s="82" t="s">
        <v>61</v>
      </c>
      <c r="AU29" s="83"/>
      <c r="AV29" s="84"/>
      <c r="AW29" s="84"/>
      <c r="AX29" s="84"/>
      <c r="AY29" s="85"/>
      <c r="BN29" s="62"/>
    </row>
    <row r="30" ht="3.0" customHeight="1">
      <c r="B30" s="60"/>
      <c r="O30" s="78"/>
      <c r="R30" s="79"/>
      <c r="AF30" s="78"/>
      <c r="AK30" s="76"/>
      <c r="AN30" s="72"/>
      <c r="AU30" s="73">
        <f>+I96</f>
        <v>46207</v>
      </c>
      <c r="AV30" s="74"/>
      <c r="AW30" s="74"/>
      <c r="AX30" s="74"/>
      <c r="AY30" s="75"/>
      <c r="BN30" s="62"/>
    </row>
    <row r="31" ht="3.0" customHeight="1">
      <c r="B31" s="60"/>
      <c r="O31" s="78"/>
      <c r="R31" s="79"/>
      <c r="AF31" s="78"/>
      <c r="AK31" s="76"/>
      <c r="AN31" s="72"/>
      <c r="AU31" s="78"/>
      <c r="AY31" s="79"/>
      <c r="BB31" s="61" t="s">
        <v>62</v>
      </c>
      <c r="BN31" s="62"/>
    </row>
    <row r="32" ht="3.0" customHeight="1">
      <c r="B32" s="60"/>
      <c r="O32" s="83"/>
      <c r="P32" s="84"/>
      <c r="Q32" s="84"/>
      <c r="R32" s="85"/>
      <c r="AF32" s="78"/>
      <c r="AK32" s="76"/>
      <c r="AN32" s="72"/>
      <c r="AU32" s="78"/>
      <c r="AY32" s="79"/>
      <c r="BK32" s="64" t="s">
        <v>63</v>
      </c>
      <c r="BN32" s="76"/>
    </row>
    <row r="33" ht="3.0" customHeight="1">
      <c r="B33" s="60"/>
      <c r="AF33" s="78"/>
      <c r="AK33" s="76"/>
      <c r="AN33" s="72"/>
      <c r="AU33" s="78"/>
      <c r="AY33" s="79"/>
      <c r="BN33" s="76"/>
    </row>
    <row r="34" ht="3.0" customHeight="1">
      <c r="B34" s="60"/>
      <c r="AF34" s="83"/>
      <c r="AG34" s="84"/>
      <c r="AH34" s="84"/>
      <c r="AI34" s="84"/>
      <c r="AJ34" s="84"/>
      <c r="AK34" s="86"/>
      <c r="AN34" s="72"/>
      <c r="AU34" s="78"/>
      <c r="AY34" s="79"/>
      <c r="BN34" s="76"/>
    </row>
    <row r="35" ht="3.0" customHeight="1">
      <c r="B35" s="60"/>
      <c r="AK35" s="62"/>
      <c r="AN35" s="72"/>
      <c r="AU35" s="78"/>
      <c r="AY35" s="79"/>
      <c r="BN35" s="76"/>
    </row>
    <row r="36" ht="3.0" customHeight="1">
      <c r="B36" s="60"/>
      <c r="F36" s="61" t="s">
        <v>64</v>
      </c>
      <c r="O36" s="77">
        <f>+O24</f>
        <v>1000</v>
      </c>
      <c r="P36" s="74"/>
      <c r="Q36" s="74"/>
      <c r="R36" s="75"/>
      <c r="AK36" s="62"/>
      <c r="AN36" s="72"/>
      <c r="AU36" s="78"/>
      <c r="AY36" s="79"/>
      <c r="BN36" s="76"/>
    </row>
    <row r="37" ht="3.0" customHeight="1">
      <c r="B37" s="60"/>
      <c r="O37" s="78"/>
      <c r="R37" s="79"/>
      <c r="T37" s="61" t="s">
        <v>65</v>
      </c>
      <c r="AB37" s="87"/>
      <c r="AD37" s="88">
        <v>24.0</v>
      </c>
      <c r="AE37" s="74"/>
      <c r="AF37" s="74"/>
      <c r="AG37" s="74"/>
      <c r="AH37" s="74"/>
      <c r="AI37" s="74"/>
      <c r="AJ37" s="74"/>
      <c r="AK37" s="81"/>
      <c r="AN37" s="72"/>
      <c r="AU37" s="78"/>
      <c r="AY37" s="79"/>
      <c r="BN37" s="76"/>
    </row>
    <row r="38" ht="3.0" customHeight="1">
      <c r="B38" s="60"/>
      <c r="O38" s="78"/>
      <c r="R38" s="79"/>
      <c r="AD38" s="78"/>
      <c r="AK38" s="76"/>
      <c r="AN38" s="72"/>
      <c r="AU38" s="78"/>
      <c r="AY38" s="79"/>
      <c r="BN38" s="62"/>
    </row>
    <row r="39" ht="3.0" customHeight="1">
      <c r="B39" s="60"/>
      <c r="O39" s="78"/>
      <c r="R39" s="79"/>
      <c r="AD39" s="78"/>
      <c r="AK39" s="76"/>
      <c r="AN39" s="60"/>
      <c r="AU39" s="83"/>
      <c r="AV39" s="84"/>
      <c r="AW39" s="84"/>
      <c r="AX39" s="84"/>
      <c r="AY39" s="85"/>
      <c r="BN39" s="62"/>
    </row>
    <row r="40" ht="3.0" customHeight="1">
      <c r="B40" s="60"/>
      <c r="O40" s="78"/>
      <c r="R40" s="79"/>
      <c r="AD40" s="78"/>
      <c r="AK40" s="76"/>
      <c r="AN40" s="60"/>
      <c r="BN40" s="62"/>
    </row>
    <row r="41" ht="3.0" customHeight="1">
      <c r="B41" s="60"/>
      <c r="O41" s="78"/>
      <c r="R41" s="79"/>
      <c r="AD41" s="78"/>
      <c r="AK41" s="76"/>
      <c r="AN41" s="60"/>
      <c r="AU41" s="64"/>
      <c r="BN41" s="62"/>
    </row>
    <row r="42" ht="3.0" customHeight="1">
      <c r="B42" s="60"/>
      <c r="O42" s="78"/>
      <c r="R42" s="79"/>
      <c r="AD42" s="78"/>
      <c r="AK42" s="76"/>
      <c r="AN42" s="82" t="s">
        <v>66</v>
      </c>
      <c r="BN42" s="62"/>
    </row>
    <row r="43" ht="3.0" customHeight="1">
      <c r="B43" s="60"/>
      <c r="O43" s="78"/>
      <c r="R43" s="79"/>
      <c r="AD43" s="78"/>
      <c r="AK43" s="76"/>
      <c r="AN43" s="72"/>
      <c r="BB43" s="61" t="s">
        <v>67</v>
      </c>
      <c r="BN43" s="62"/>
    </row>
    <row r="44" ht="3.0" customHeight="1">
      <c r="B44" s="60"/>
      <c r="O44" s="78"/>
      <c r="R44" s="79"/>
      <c r="AD44" s="78"/>
      <c r="AK44" s="76"/>
      <c r="AN44" s="72"/>
      <c r="BK44" s="64" t="s">
        <v>68</v>
      </c>
      <c r="BN44" s="76"/>
    </row>
    <row r="45" ht="3.0" customHeight="1">
      <c r="B45" s="60"/>
      <c r="O45" s="83"/>
      <c r="P45" s="84"/>
      <c r="Q45" s="84"/>
      <c r="R45" s="85"/>
      <c r="AD45" s="78"/>
      <c r="AK45" s="76"/>
      <c r="AN45" s="72"/>
      <c r="BN45" s="76"/>
    </row>
    <row r="46" ht="3.0" customHeight="1">
      <c r="B46" s="60"/>
      <c r="AD46" s="83"/>
      <c r="AE46" s="84"/>
      <c r="AF46" s="84"/>
      <c r="AG46" s="84"/>
      <c r="AH46" s="84"/>
      <c r="AI46" s="84"/>
      <c r="AJ46" s="84"/>
      <c r="AK46" s="86"/>
      <c r="AN46" s="72"/>
      <c r="BN46" s="76"/>
    </row>
    <row r="47" ht="3.0" customHeight="1">
      <c r="B47" s="60"/>
      <c r="T47" s="61" t="s">
        <v>69</v>
      </c>
      <c r="AD47" s="89" t="s">
        <v>70</v>
      </c>
      <c r="AE47" s="74"/>
      <c r="AF47" s="74"/>
      <c r="AG47" s="74"/>
      <c r="AH47" s="74"/>
      <c r="AI47" s="74"/>
      <c r="AJ47" s="74"/>
      <c r="AK47" s="81"/>
      <c r="AN47" s="72"/>
      <c r="BN47" s="76"/>
    </row>
    <row r="48" ht="3.0" customHeight="1">
      <c r="B48" s="60"/>
      <c r="F48" s="61" t="s">
        <v>71</v>
      </c>
      <c r="O48" s="64" t="s">
        <v>72</v>
      </c>
      <c r="AD48" s="78"/>
      <c r="AK48" s="76"/>
      <c r="AN48" s="72"/>
      <c r="BN48" s="76"/>
    </row>
    <row r="49" ht="3.0" customHeight="1">
      <c r="B49" s="60"/>
      <c r="AD49" s="78"/>
      <c r="AK49" s="76"/>
      <c r="AN49" s="72"/>
      <c r="BN49" s="76"/>
    </row>
    <row r="50" ht="3.0" customHeight="1">
      <c r="B50" s="60"/>
      <c r="AD50" s="78"/>
      <c r="AK50" s="76"/>
      <c r="AN50" s="60"/>
      <c r="BN50" s="76"/>
    </row>
    <row r="51" ht="3.0" customHeight="1">
      <c r="B51" s="60"/>
      <c r="AD51" s="78"/>
      <c r="AK51" s="76"/>
      <c r="AN51" s="60"/>
      <c r="BN51" s="62"/>
    </row>
    <row r="52" ht="3.0" customHeight="1">
      <c r="B52" s="60"/>
      <c r="AD52" s="78"/>
      <c r="AK52" s="76"/>
      <c r="AN52" s="82" t="s">
        <v>73</v>
      </c>
      <c r="BN52" s="62"/>
    </row>
    <row r="53" ht="3.0" customHeight="1">
      <c r="B53" s="60"/>
      <c r="AD53" s="78"/>
      <c r="AK53" s="76"/>
      <c r="AN53" s="72"/>
      <c r="AU53" s="64" t="s">
        <v>74</v>
      </c>
      <c r="BN53" s="76"/>
    </row>
    <row r="54" ht="3.0" customHeight="1">
      <c r="B54" s="60"/>
      <c r="AD54" s="83"/>
      <c r="AE54" s="84"/>
      <c r="AF54" s="84"/>
      <c r="AG54" s="84"/>
      <c r="AH54" s="84"/>
      <c r="AI54" s="84"/>
      <c r="AJ54" s="84"/>
      <c r="AK54" s="86"/>
      <c r="AN54" s="72"/>
      <c r="BN54" s="76"/>
    </row>
    <row r="55" ht="3.0" customHeight="1">
      <c r="B55" s="60"/>
      <c r="AK55" s="62"/>
      <c r="AN55" s="72"/>
      <c r="BN55" s="76"/>
    </row>
    <row r="56" ht="3.0" customHeight="1">
      <c r="B56" s="60"/>
      <c r="AC56" s="64" t="s">
        <v>75</v>
      </c>
      <c r="AK56" s="76"/>
      <c r="AN56" s="72"/>
      <c r="BN56" s="76"/>
    </row>
    <row r="57" ht="3.0" customHeight="1">
      <c r="B57" s="60"/>
      <c r="E57" s="61" t="s">
        <v>76</v>
      </c>
      <c r="O57" s="90" t="s">
        <v>77</v>
      </c>
      <c r="T57" s="61" t="s">
        <v>78</v>
      </c>
      <c r="AK57" s="76"/>
      <c r="AN57" s="72"/>
      <c r="BN57" s="76"/>
    </row>
    <row r="58" ht="3.0" customHeight="1">
      <c r="B58" s="60"/>
      <c r="AK58" s="76"/>
      <c r="AN58" s="60"/>
      <c r="BN58" s="62"/>
    </row>
    <row r="59" ht="3.0" customHeight="1">
      <c r="B59" s="60"/>
      <c r="AK59" s="76"/>
      <c r="AN59" s="60"/>
      <c r="BN59" s="62"/>
    </row>
    <row r="60" ht="3.0" customHeight="1">
      <c r="B60" s="60"/>
      <c r="AK60" s="76"/>
      <c r="AN60" s="82" t="s">
        <v>79</v>
      </c>
      <c r="BN60" s="62"/>
    </row>
    <row r="61" ht="3.0" customHeight="1">
      <c r="B61" s="60"/>
      <c r="AK61" s="76"/>
      <c r="AN61" s="72"/>
      <c r="AU61" s="91" t="s">
        <v>80</v>
      </c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81"/>
    </row>
    <row r="62" ht="3.0" customHeight="1">
      <c r="B62" s="60"/>
      <c r="AK62" s="76"/>
      <c r="AN62" s="72"/>
      <c r="AU62" s="78"/>
      <c r="BN62" s="76"/>
    </row>
    <row r="63" ht="3.0" customHeight="1">
      <c r="B63" s="60"/>
      <c r="AK63" s="76"/>
      <c r="AN63" s="72"/>
      <c r="AU63" s="78"/>
      <c r="BN63" s="76"/>
    </row>
    <row r="64" ht="3.0" customHeight="1">
      <c r="B64" s="67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9"/>
      <c r="AN64" s="72"/>
      <c r="AU64" s="78"/>
      <c r="BN64" s="76"/>
    </row>
    <row r="65" ht="3.0" customHeight="1">
      <c r="AN65" s="72"/>
      <c r="AU65" s="83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6"/>
    </row>
    <row r="66" hidden="1" customHeight="1">
      <c r="AN66" s="60"/>
      <c r="BN66" s="62"/>
    </row>
    <row r="67" ht="0.75" customHeight="1">
      <c r="AN67" s="67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9"/>
    </row>
    <row r="68" ht="3.75" customHeight="1"/>
    <row r="69" ht="16.5" customHeight="1">
      <c r="B69" s="92" t="s">
        <v>81</v>
      </c>
    </row>
    <row r="70" ht="3.75" customHeight="1"/>
    <row r="71" ht="14.25" customHeight="1">
      <c r="A71" s="93" t="s">
        <v>82</v>
      </c>
      <c r="B71" s="94" t="s">
        <v>83</v>
      </c>
      <c r="C71" s="95"/>
      <c r="D71" s="95"/>
      <c r="E71" s="95"/>
      <c r="F71" s="95"/>
      <c r="G71" s="95"/>
      <c r="H71" s="96"/>
      <c r="I71" s="97" t="s">
        <v>84</v>
      </c>
      <c r="J71" s="95"/>
      <c r="K71" s="95"/>
      <c r="L71" s="95"/>
      <c r="M71" s="95"/>
      <c r="N71" s="95"/>
      <c r="O71" s="95"/>
      <c r="P71" s="96"/>
      <c r="Q71" s="98" t="s">
        <v>85</v>
      </c>
      <c r="R71" s="97" t="s">
        <v>86</v>
      </c>
      <c r="S71" s="95"/>
      <c r="T71" s="95"/>
      <c r="U71" s="95"/>
      <c r="V71" s="95"/>
      <c r="W71" s="95"/>
      <c r="X71" s="95"/>
      <c r="Y71" s="95"/>
      <c r="Z71" s="96"/>
      <c r="AA71" s="97" t="s">
        <v>87</v>
      </c>
      <c r="AB71" s="95"/>
      <c r="AC71" s="95"/>
      <c r="AD71" s="95"/>
      <c r="AE71" s="95"/>
      <c r="AF71" s="95"/>
      <c r="AG71" s="95"/>
      <c r="AH71" s="95"/>
      <c r="AI71" s="95"/>
      <c r="AJ71" s="96"/>
      <c r="AK71" s="97" t="s">
        <v>88</v>
      </c>
      <c r="AL71" s="95"/>
      <c r="AM71" s="95"/>
      <c r="AN71" s="95"/>
      <c r="AO71" s="95"/>
      <c r="AP71" s="96"/>
      <c r="AQ71" s="97" t="s">
        <v>89</v>
      </c>
      <c r="AR71" s="96"/>
      <c r="AS71" s="97" t="s">
        <v>83</v>
      </c>
      <c r="AT71" s="95"/>
      <c r="AU71" s="96"/>
      <c r="AV71" s="97" t="s">
        <v>90</v>
      </c>
      <c r="AW71" s="95"/>
      <c r="AX71" s="95"/>
      <c r="AY71" s="95"/>
      <c r="AZ71" s="95"/>
      <c r="BA71" s="95"/>
      <c r="BB71" s="95"/>
      <c r="BC71" s="95"/>
      <c r="BD71" s="96"/>
    </row>
    <row r="72" ht="14.25" customHeight="1">
      <c r="A72" s="99" t="str">
        <f t="shared" ref="A72:A96" si="1">+TEXT(I72,"DDD")</f>
        <v>lun</v>
      </c>
      <c r="B72" s="100">
        <v>0.0</v>
      </c>
      <c r="C72" s="101"/>
      <c r="D72" s="101"/>
      <c r="E72" s="101"/>
      <c r="F72" s="101"/>
      <c r="G72" s="101"/>
      <c r="H72" s="102"/>
      <c r="I72" s="103">
        <f>+AU23</f>
        <v>45838</v>
      </c>
      <c r="J72" s="101"/>
      <c r="K72" s="101"/>
      <c r="L72" s="101"/>
      <c r="M72" s="101"/>
      <c r="N72" s="101"/>
      <c r="O72" s="101"/>
      <c r="P72" s="102"/>
      <c r="Q72" s="104">
        <v>0.0</v>
      </c>
      <c r="R72" s="105"/>
      <c r="S72" s="101"/>
      <c r="T72" s="101"/>
      <c r="U72" s="101"/>
      <c r="V72" s="101"/>
      <c r="W72" s="101"/>
      <c r="X72" s="101"/>
      <c r="Y72" s="101"/>
      <c r="Z72" s="102"/>
      <c r="AA72" s="105"/>
      <c r="AB72" s="101"/>
      <c r="AC72" s="101"/>
      <c r="AD72" s="101"/>
      <c r="AE72" s="101"/>
      <c r="AF72" s="101"/>
      <c r="AG72" s="101"/>
      <c r="AH72" s="101"/>
      <c r="AI72" s="101"/>
      <c r="AJ72" s="102"/>
      <c r="AK72" s="105"/>
      <c r="AL72" s="101"/>
      <c r="AM72" s="101"/>
      <c r="AN72" s="101"/>
      <c r="AO72" s="101"/>
      <c r="AP72" s="102"/>
      <c r="AQ72" s="105"/>
      <c r="AR72" s="102"/>
      <c r="AS72" s="105"/>
      <c r="AT72" s="101"/>
      <c r="AU72" s="102"/>
      <c r="AV72" s="105">
        <v>1000.0</v>
      </c>
      <c r="AW72" s="101"/>
      <c r="AX72" s="101"/>
      <c r="AY72" s="101"/>
      <c r="AZ72" s="101"/>
      <c r="BA72" s="101"/>
      <c r="BB72" s="101"/>
      <c r="BC72" s="101"/>
      <c r="BD72" s="102"/>
    </row>
    <row r="73" ht="14.25" customHeight="1">
      <c r="A73" s="106" t="str">
        <f t="shared" si="1"/>
        <v>sáb</v>
      </c>
      <c r="B73" s="107">
        <v>1.0</v>
      </c>
      <c r="C73" s="108"/>
      <c r="D73" s="108"/>
      <c r="E73" s="108"/>
      <c r="F73" s="108"/>
      <c r="G73" s="108"/>
      <c r="H73" s="109"/>
      <c r="I73" s="110">
        <v>45857.0</v>
      </c>
      <c r="J73" s="108"/>
      <c r="K73" s="108"/>
      <c r="L73" s="108"/>
      <c r="M73" s="108"/>
      <c r="N73" s="108"/>
      <c r="O73" s="108"/>
      <c r="P73" s="109"/>
      <c r="Q73" s="104">
        <v>18.0</v>
      </c>
      <c r="R73" s="111">
        <f t="shared" ref="R73:R96" si="2">+AS73-AQ73</f>
        <v>25</v>
      </c>
      <c r="S73" s="108"/>
      <c r="T73" s="108"/>
      <c r="U73" s="108"/>
      <c r="V73" s="108"/>
      <c r="W73" s="108"/>
      <c r="X73" s="108"/>
      <c r="Y73" s="108"/>
      <c r="Z73" s="109"/>
      <c r="AA73" s="111">
        <v>0.0</v>
      </c>
      <c r="AB73" s="108"/>
      <c r="AC73" s="108"/>
      <c r="AD73" s="108"/>
      <c r="AE73" s="108"/>
      <c r="AF73" s="108"/>
      <c r="AG73" s="108"/>
      <c r="AH73" s="108"/>
      <c r="AI73" s="108"/>
      <c r="AJ73" s="109"/>
      <c r="AK73" s="111">
        <v>0.0</v>
      </c>
      <c r="AL73" s="108"/>
      <c r="AM73" s="108"/>
      <c r="AN73" s="108"/>
      <c r="AO73" s="108"/>
      <c r="AP73" s="109"/>
      <c r="AQ73" s="111">
        <f t="shared" ref="AQ73:AQ96" si="3">+AV72*6%/30*Q73</f>
        <v>36</v>
      </c>
      <c r="AR73" s="109"/>
      <c r="AS73" s="111">
        <v>61.0</v>
      </c>
      <c r="AT73" s="108"/>
      <c r="AU73" s="109"/>
      <c r="AV73" s="111">
        <f t="shared" ref="AV73:AV96" si="4">+AV72-R73</f>
        <v>975</v>
      </c>
      <c r="AW73" s="108"/>
      <c r="AX73" s="108"/>
      <c r="AY73" s="108"/>
      <c r="AZ73" s="108"/>
      <c r="BA73" s="108"/>
      <c r="BB73" s="108"/>
      <c r="BC73" s="108"/>
      <c r="BD73" s="109"/>
    </row>
    <row r="74" ht="14.25" customHeight="1">
      <c r="A74" s="106" t="str">
        <f t="shared" si="1"/>
        <v>lun</v>
      </c>
      <c r="B74" s="107">
        <v>2.0</v>
      </c>
      <c r="C74" s="108"/>
      <c r="D74" s="108"/>
      <c r="E74" s="108"/>
      <c r="F74" s="108"/>
      <c r="G74" s="108"/>
      <c r="H74" s="109"/>
      <c r="I74" s="110">
        <f t="shared" ref="I74:I96" si="5">+I73+Q74</f>
        <v>45873</v>
      </c>
      <c r="J74" s="108"/>
      <c r="K74" s="108"/>
      <c r="L74" s="108"/>
      <c r="M74" s="108"/>
      <c r="N74" s="108"/>
      <c r="O74" s="108"/>
      <c r="P74" s="109"/>
      <c r="Q74" s="104">
        <v>16.0</v>
      </c>
      <c r="R74" s="111">
        <f t="shared" si="2"/>
        <v>29.8</v>
      </c>
      <c r="S74" s="108"/>
      <c r="T74" s="108"/>
      <c r="U74" s="108"/>
      <c r="V74" s="108"/>
      <c r="W74" s="108"/>
      <c r="X74" s="108"/>
      <c r="Y74" s="108"/>
      <c r="Z74" s="109"/>
      <c r="AA74" s="111">
        <v>0.0</v>
      </c>
      <c r="AB74" s="108"/>
      <c r="AC74" s="108"/>
      <c r="AD74" s="108"/>
      <c r="AE74" s="108"/>
      <c r="AF74" s="108"/>
      <c r="AG74" s="108"/>
      <c r="AH74" s="108"/>
      <c r="AI74" s="108"/>
      <c r="AJ74" s="109"/>
      <c r="AK74" s="111">
        <v>0.0</v>
      </c>
      <c r="AL74" s="108"/>
      <c r="AM74" s="108"/>
      <c r="AN74" s="108"/>
      <c r="AO74" s="108"/>
      <c r="AP74" s="109"/>
      <c r="AQ74" s="111">
        <f t="shared" si="3"/>
        <v>31.2</v>
      </c>
      <c r="AR74" s="109"/>
      <c r="AS74" s="111">
        <v>61.0</v>
      </c>
      <c r="AT74" s="108"/>
      <c r="AU74" s="109"/>
      <c r="AV74" s="111">
        <f t="shared" si="4"/>
        <v>945.2</v>
      </c>
      <c r="AW74" s="108"/>
      <c r="AX74" s="108"/>
      <c r="AY74" s="108"/>
      <c r="AZ74" s="108"/>
      <c r="BA74" s="108"/>
      <c r="BB74" s="108"/>
      <c r="BC74" s="108"/>
      <c r="BD74" s="109"/>
    </row>
    <row r="75" ht="14.25" customHeight="1">
      <c r="A75" s="106" t="str">
        <f t="shared" si="1"/>
        <v>mar</v>
      </c>
      <c r="B75" s="107">
        <v>3.0</v>
      </c>
      <c r="C75" s="108"/>
      <c r="D75" s="108"/>
      <c r="E75" s="108"/>
      <c r="F75" s="108"/>
      <c r="G75" s="108"/>
      <c r="H75" s="109"/>
      <c r="I75" s="110">
        <f t="shared" si="5"/>
        <v>45888</v>
      </c>
      <c r="J75" s="108"/>
      <c r="K75" s="108"/>
      <c r="L75" s="108"/>
      <c r="M75" s="108"/>
      <c r="N75" s="108"/>
      <c r="O75" s="108"/>
      <c r="P75" s="109"/>
      <c r="Q75" s="104">
        <v>15.0</v>
      </c>
      <c r="R75" s="111">
        <f t="shared" si="2"/>
        <v>32.644</v>
      </c>
      <c r="S75" s="108"/>
      <c r="T75" s="108"/>
      <c r="U75" s="108"/>
      <c r="V75" s="108"/>
      <c r="W75" s="108"/>
      <c r="X75" s="108"/>
      <c r="Y75" s="108"/>
      <c r="Z75" s="109"/>
      <c r="AA75" s="111">
        <v>0.0</v>
      </c>
      <c r="AB75" s="108"/>
      <c r="AC75" s="108"/>
      <c r="AD75" s="108"/>
      <c r="AE75" s="108"/>
      <c r="AF75" s="108"/>
      <c r="AG75" s="108"/>
      <c r="AH75" s="108"/>
      <c r="AI75" s="108"/>
      <c r="AJ75" s="109"/>
      <c r="AK75" s="111">
        <v>0.0</v>
      </c>
      <c r="AL75" s="108"/>
      <c r="AM75" s="108"/>
      <c r="AN75" s="108"/>
      <c r="AO75" s="108"/>
      <c r="AP75" s="109"/>
      <c r="AQ75" s="111">
        <f t="shared" si="3"/>
        <v>28.356</v>
      </c>
      <c r="AR75" s="109"/>
      <c r="AS75" s="111">
        <v>61.0</v>
      </c>
      <c r="AT75" s="108"/>
      <c r="AU75" s="109"/>
      <c r="AV75" s="111">
        <f t="shared" si="4"/>
        <v>912.556</v>
      </c>
      <c r="AW75" s="108"/>
      <c r="AX75" s="108"/>
      <c r="AY75" s="108"/>
      <c r="AZ75" s="108"/>
      <c r="BA75" s="108"/>
      <c r="BB75" s="108"/>
      <c r="BC75" s="108"/>
      <c r="BD75" s="109"/>
      <c r="BQ75" s="112"/>
    </row>
    <row r="76" ht="14.25" customHeight="1">
      <c r="A76" s="106" t="str">
        <f t="shared" si="1"/>
        <v>jue</v>
      </c>
      <c r="B76" s="107">
        <v>4.0</v>
      </c>
      <c r="C76" s="108"/>
      <c r="D76" s="108"/>
      <c r="E76" s="108"/>
      <c r="F76" s="108"/>
      <c r="G76" s="108"/>
      <c r="H76" s="109"/>
      <c r="I76" s="110">
        <f t="shared" si="5"/>
        <v>45904</v>
      </c>
      <c r="J76" s="108"/>
      <c r="K76" s="108"/>
      <c r="L76" s="108"/>
      <c r="M76" s="108"/>
      <c r="N76" s="108"/>
      <c r="O76" s="108"/>
      <c r="P76" s="109"/>
      <c r="Q76" s="104">
        <v>16.0</v>
      </c>
      <c r="R76" s="111">
        <f t="shared" si="2"/>
        <v>31.798208</v>
      </c>
      <c r="S76" s="108"/>
      <c r="T76" s="108"/>
      <c r="U76" s="108"/>
      <c r="V76" s="108"/>
      <c r="W76" s="108"/>
      <c r="X76" s="108"/>
      <c r="Y76" s="108"/>
      <c r="Z76" s="109"/>
      <c r="AA76" s="111">
        <v>0.0</v>
      </c>
      <c r="AB76" s="108"/>
      <c r="AC76" s="108"/>
      <c r="AD76" s="108"/>
      <c r="AE76" s="108"/>
      <c r="AF76" s="108"/>
      <c r="AG76" s="108"/>
      <c r="AH76" s="108"/>
      <c r="AI76" s="108"/>
      <c r="AJ76" s="109"/>
      <c r="AK76" s="111">
        <v>0.0</v>
      </c>
      <c r="AL76" s="108"/>
      <c r="AM76" s="108"/>
      <c r="AN76" s="108"/>
      <c r="AO76" s="108"/>
      <c r="AP76" s="109"/>
      <c r="AQ76" s="111">
        <f t="shared" si="3"/>
        <v>29.201792</v>
      </c>
      <c r="AR76" s="109"/>
      <c r="AS76" s="111">
        <v>61.0</v>
      </c>
      <c r="AT76" s="108"/>
      <c r="AU76" s="109"/>
      <c r="AV76" s="111">
        <f t="shared" si="4"/>
        <v>880.757792</v>
      </c>
      <c r="AW76" s="108"/>
      <c r="AX76" s="108"/>
      <c r="AY76" s="108"/>
      <c r="AZ76" s="108"/>
      <c r="BA76" s="108"/>
      <c r="BB76" s="108"/>
      <c r="BC76" s="108"/>
      <c r="BD76" s="109"/>
    </row>
    <row r="77" ht="14.25" customHeight="1">
      <c r="A77" s="106" t="str">
        <f t="shared" si="1"/>
        <v>vie</v>
      </c>
      <c r="B77" s="107">
        <v>5.0</v>
      </c>
      <c r="C77" s="108"/>
      <c r="D77" s="108"/>
      <c r="E77" s="108"/>
      <c r="F77" s="108"/>
      <c r="G77" s="108"/>
      <c r="H77" s="109"/>
      <c r="I77" s="110">
        <f t="shared" si="5"/>
        <v>45919</v>
      </c>
      <c r="J77" s="108"/>
      <c r="K77" s="108"/>
      <c r="L77" s="108"/>
      <c r="M77" s="108"/>
      <c r="N77" s="108"/>
      <c r="O77" s="108"/>
      <c r="P77" s="109"/>
      <c r="Q77" s="104">
        <v>15.0</v>
      </c>
      <c r="R77" s="111">
        <f t="shared" si="2"/>
        <v>34.57726624</v>
      </c>
      <c r="S77" s="108"/>
      <c r="T77" s="108"/>
      <c r="U77" s="108"/>
      <c r="V77" s="108"/>
      <c r="W77" s="108"/>
      <c r="X77" s="108"/>
      <c r="Y77" s="108"/>
      <c r="Z77" s="109"/>
      <c r="AA77" s="111">
        <v>0.0</v>
      </c>
      <c r="AB77" s="108"/>
      <c r="AC77" s="108"/>
      <c r="AD77" s="108"/>
      <c r="AE77" s="108"/>
      <c r="AF77" s="108"/>
      <c r="AG77" s="108"/>
      <c r="AH77" s="108"/>
      <c r="AI77" s="108"/>
      <c r="AJ77" s="109"/>
      <c r="AK77" s="111">
        <v>0.0</v>
      </c>
      <c r="AL77" s="108"/>
      <c r="AM77" s="108"/>
      <c r="AN77" s="108"/>
      <c r="AO77" s="108"/>
      <c r="AP77" s="109"/>
      <c r="AQ77" s="111">
        <f t="shared" si="3"/>
        <v>26.42273376</v>
      </c>
      <c r="AR77" s="109"/>
      <c r="AS77" s="111">
        <v>61.0</v>
      </c>
      <c r="AT77" s="108"/>
      <c r="AU77" s="109"/>
      <c r="AV77" s="111">
        <f t="shared" si="4"/>
        <v>846.1805258</v>
      </c>
      <c r="AW77" s="108"/>
      <c r="AX77" s="108"/>
      <c r="AY77" s="108"/>
      <c r="AZ77" s="108"/>
      <c r="BA77" s="108"/>
      <c r="BB77" s="108"/>
      <c r="BC77" s="108"/>
      <c r="BD77" s="109"/>
    </row>
    <row r="78" ht="14.25" customHeight="1">
      <c r="A78" s="106" t="str">
        <f t="shared" si="1"/>
        <v>sáb</v>
      </c>
      <c r="B78" s="107">
        <v>6.0</v>
      </c>
      <c r="C78" s="108"/>
      <c r="D78" s="108"/>
      <c r="E78" s="108"/>
      <c r="F78" s="108"/>
      <c r="G78" s="108"/>
      <c r="H78" s="109"/>
      <c r="I78" s="110">
        <f t="shared" si="5"/>
        <v>45934</v>
      </c>
      <c r="J78" s="108"/>
      <c r="K78" s="108"/>
      <c r="L78" s="108"/>
      <c r="M78" s="108"/>
      <c r="N78" s="108"/>
      <c r="O78" s="108"/>
      <c r="P78" s="109"/>
      <c r="Q78" s="104">
        <v>15.0</v>
      </c>
      <c r="R78" s="111">
        <f t="shared" si="2"/>
        <v>35.61458423</v>
      </c>
      <c r="S78" s="108"/>
      <c r="T78" s="108"/>
      <c r="U78" s="108"/>
      <c r="V78" s="108"/>
      <c r="W78" s="108"/>
      <c r="X78" s="108"/>
      <c r="Y78" s="108"/>
      <c r="Z78" s="109"/>
      <c r="AA78" s="111">
        <v>0.0</v>
      </c>
      <c r="AB78" s="108"/>
      <c r="AC78" s="108"/>
      <c r="AD78" s="108"/>
      <c r="AE78" s="108"/>
      <c r="AF78" s="108"/>
      <c r="AG78" s="108"/>
      <c r="AH78" s="108"/>
      <c r="AI78" s="108"/>
      <c r="AJ78" s="109"/>
      <c r="AK78" s="111">
        <v>0.0</v>
      </c>
      <c r="AL78" s="108"/>
      <c r="AM78" s="108"/>
      <c r="AN78" s="108"/>
      <c r="AO78" s="108"/>
      <c r="AP78" s="109"/>
      <c r="AQ78" s="111">
        <f t="shared" si="3"/>
        <v>25.38541577</v>
      </c>
      <c r="AR78" s="109"/>
      <c r="AS78" s="111">
        <v>61.0</v>
      </c>
      <c r="AT78" s="108"/>
      <c r="AU78" s="109"/>
      <c r="AV78" s="111">
        <f t="shared" si="4"/>
        <v>810.5659415</v>
      </c>
      <c r="AW78" s="108"/>
      <c r="AX78" s="108"/>
      <c r="AY78" s="108"/>
      <c r="AZ78" s="108"/>
      <c r="BA78" s="108"/>
      <c r="BB78" s="108"/>
      <c r="BC78" s="108"/>
      <c r="BD78" s="109"/>
    </row>
    <row r="79" ht="14.25" customHeight="1">
      <c r="A79" s="106" t="str">
        <f t="shared" si="1"/>
        <v>dom</v>
      </c>
      <c r="B79" s="107">
        <v>7.0</v>
      </c>
      <c r="C79" s="108"/>
      <c r="D79" s="108"/>
      <c r="E79" s="108"/>
      <c r="F79" s="108"/>
      <c r="G79" s="108"/>
      <c r="H79" s="109"/>
      <c r="I79" s="110">
        <f t="shared" si="5"/>
        <v>45949</v>
      </c>
      <c r="J79" s="108"/>
      <c r="K79" s="108"/>
      <c r="L79" s="108"/>
      <c r="M79" s="108"/>
      <c r="N79" s="108"/>
      <c r="O79" s="108"/>
      <c r="P79" s="109"/>
      <c r="Q79" s="104">
        <v>15.0</v>
      </c>
      <c r="R79" s="111">
        <f t="shared" si="2"/>
        <v>36.68302175</v>
      </c>
      <c r="S79" s="108"/>
      <c r="T79" s="108"/>
      <c r="U79" s="108"/>
      <c r="V79" s="108"/>
      <c r="W79" s="108"/>
      <c r="X79" s="108"/>
      <c r="Y79" s="108"/>
      <c r="Z79" s="109"/>
      <c r="AA79" s="111">
        <v>0.0</v>
      </c>
      <c r="AB79" s="108"/>
      <c r="AC79" s="108"/>
      <c r="AD79" s="108"/>
      <c r="AE79" s="108"/>
      <c r="AF79" s="108"/>
      <c r="AG79" s="108"/>
      <c r="AH79" s="108"/>
      <c r="AI79" s="108"/>
      <c r="AJ79" s="109"/>
      <c r="AK79" s="111">
        <v>0.0</v>
      </c>
      <c r="AL79" s="108"/>
      <c r="AM79" s="108"/>
      <c r="AN79" s="108"/>
      <c r="AO79" s="108"/>
      <c r="AP79" s="109"/>
      <c r="AQ79" s="111">
        <f t="shared" si="3"/>
        <v>24.31697825</v>
      </c>
      <c r="AR79" s="109"/>
      <c r="AS79" s="111">
        <v>61.0</v>
      </c>
      <c r="AT79" s="108"/>
      <c r="AU79" s="109"/>
      <c r="AV79" s="111">
        <f t="shared" si="4"/>
        <v>773.8829198</v>
      </c>
      <c r="AW79" s="108"/>
      <c r="AX79" s="108"/>
      <c r="AY79" s="108"/>
      <c r="AZ79" s="108"/>
      <c r="BA79" s="108"/>
      <c r="BB79" s="108"/>
      <c r="BC79" s="108"/>
      <c r="BD79" s="109"/>
    </row>
    <row r="80" ht="14.25" customHeight="1">
      <c r="A80" s="106" t="str">
        <f t="shared" si="1"/>
        <v>mar</v>
      </c>
      <c r="B80" s="107">
        <v>8.0</v>
      </c>
      <c r="C80" s="108"/>
      <c r="D80" s="108"/>
      <c r="E80" s="108"/>
      <c r="F80" s="108"/>
      <c r="G80" s="108"/>
      <c r="H80" s="109"/>
      <c r="I80" s="110">
        <f t="shared" si="5"/>
        <v>45965</v>
      </c>
      <c r="J80" s="108"/>
      <c r="K80" s="108"/>
      <c r="L80" s="108"/>
      <c r="M80" s="108"/>
      <c r="N80" s="108"/>
      <c r="O80" s="108"/>
      <c r="P80" s="109"/>
      <c r="Q80" s="104">
        <v>16.0</v>
      </c>
      <c r="R80" s="111">
        <f t="shared" si="2"/>
        <v>36.23574657</v>
      </c>
      <c r="S80" s="108"/>
      <c r="T80" s="108"/>
      <c r="U80" s="108"/>
      <c r="V80" s="108"/>
      <c r="W80" s="108"/>
      <c r="X80" s="108"/>
      <c r="Y80" s="108"/>
      <c r="Z80" s="109"/>
      <c r="AA80" s="111">
        <v>0.0</v>
      </c>
      <c r="AB80" s="108"/>
      <c r="AC80" s="108"/>
      <c r="AD80" s="108"/>
      <c r="AE80" s="108"/>
      <c r="AF80" s="108"/>
      <c r="AG80" s="108"/>
      <c r="AH80" s="108"/>
      <c r="AI80" s="108"/>
      <c r="AJ80" s="109"/>
      <c r="AK80" s="111">
        <v>0.0</v>
      </c>
      <c r="AL80" s="108"/>
      <c r="AM80" s="108"/>
      <c r="AN80" s="108"/>
      <c r="AO80" s="108"/>
      <c r="AP80" s="109"/>
      <c r="AQ80" s="111">
        <f t="shared" si="3"/>
        <v>24.76425343</v>
      </c>
      <c r="AR80" s="109"/>
      <c r="AS80" s="111">
        <v>61.0</v>
      </c>
      <c r="AT80" s="108"/>
      <c r="AU80" s="109"/>
      <c r="AV80" s="111">
        <f t="shared" si="4"/>
        <v>737.6471732</v>
      </c>
      <c r="AW80" s="108"/>
      <c r="AX80" s="108"/>
      <c r="AY80" s="108"/>
      <c r="AZ80" s="108"/>
      <c r="BA80" s="108"/>
      <c r="BB80" s="108"/>
      <c r="BC80" s="108"/>
      <c r="BD80" s="109"/>
    </row>
    <row r="81" ht="14.25" customHeight="1">
      <c r="A81" s="106" t="str">
        <f t="shared" si="1"/>
        <v>mié</v>
      </c>
      <c r="B81" s="107">
        <v>9.0</v>
      </c>
      <c r="C81" s="108"/>
      <c r="D81" s="108"/>
      <c r="E81" s="108"/>
      <c r="F81" s="108"/>
      <c r="G81" s="108"/>
      <c r="H81" s="109"/>
      <c r="I81" s="110">
        <f t="shared" si="5"/>
        <v>45980</v>
      </c>
      <c r="J81" s="108"/>
      <c r="K81" s="108"/>
      <c r="L81" s="108"/>
      <c r="M81" s="108"/>
      <c r="N81" s="108"/>
      <c r="O81" s="108"/>
      <c r="P81" s="109"/>
      <c r="Q81" s="104">
        <v>15.0</v>
      </c>
      <c r="R81" s="111">
        <f t="shared" si="2"/>
        <v>38.8705848</v>
      </c>
      <c r="S81" s="108"/>
      <c r="T81" s="108"/>
      <c r="U81" s="108"/>
      <c r="V81" s="108"/>
      <c r="W81" s="108"/>
      <c r="X81" s="108"/>
      <c r="Y81" s="108"/>
      <c r="Z81" s="109"/>
      <c r="AA81" s="111">
        <v>0.0</v>
      </c>
      <c r="AB81" s="108"/>
      <c r="AC81" s="108"/>
      <c r="AD81" s="108"/>
      <c r="AE81" s="108"/>
      <c r="AF81" s="108"/>
      <c r="AG81" s="108"/>
      <c r="AH81" s="108"/>
      <c r="AI81" s="108"/>
      <c r="AJ81" s="109"/>
      <c r="AK81" s="111">
        <v>0.0</v>
      </c>
      <c r="AL81" s="108"/>
      <c r="AM81" s="108"/>
      <c r="AN81" s="108"/>
      <c r="AO81" s="108"/>
      <c r="AP81" s="109"/>
      <c r="AQ81" s="111">
        <f t="shared" si="3"/>
        <v>22.1294152</v>
      </c>
      <c r="AR81" s="109"/>
      <c r="AS81" s="111">
        <v>61.0</v>
      </c>
      <c r="AT81" s="108"/>
      <c r="AU81" s="109"/>
      <c r="AV81" s="111">
        <f t="shared" si="4"/>
        <v>698.7765884</v>
      </c>
      <c r="AW81" s="108"/>
      <c r="AX81" s="108"/>
      <c r="AY81" s="108"/>
      <c r="AZ81" s="108"/>
      <c r="BA81" s="108"/>
      <c r="BB81" s="108"/>
      <c r="BC81" s="108"/>
      <c r="BD81" s="109"/>
    </row>
    <row r="82" ht="14.25" customHeight="1">
      <c r="A82" s="106" t="str">
        <f t="shared" si="1"/>
        <v>jue</v>
      </c>
      <c r="B82" s="107">
        <v>10.0</v>
      </c>
      <c r="C82" s="108"/>
      <c r="D82" s="108"/>
      <c r="E82" s="108"/>
      <c r="F82" s="108"/>
      <c r="G82" s="108"/>
      <c r="H82" s="109"/>
      <c r="I82" s="110">
        <f t="shared" si="5"/>
        <v>45995</v>
      </c>
      <c r="J82" s="108"/>
      <c r="K82" s="108"/>
      <c r="L82" s="108"/>
      <c r="M82" s="108"/>
      <c r="N82" s="108"/>
      <c r="O82" s="108"/>
      <c r="P82" s="109"/>
      <c r="Q82" s="104">
        <v>15.0</v>
      </c>
      <c r="R82" s="111">
        <f t="shared" si="2"/>
        <v>40.03670235</v>
      </c>
      <c r="S82" s="108"/>
      <c r="T82" s="108"/>
      <c r="U82" s="108"/>
      <c r="V82" s="108"/>
      <c r="W82" s="108"/>
      <c r="X82" s="108"/>
      <c r="Y82" s="108"/>
      <c r="Z82" s="109"/>
      <c r="AA82" s="111">
        <v>0.0</v>
      </c>
      <c r="AB82" s="108"/>
      <c r="AC82" s="108"/>
      <c r="AD82" s="108"/>
      <c r="AE82" s="108"/>
      <c r="AF82" s="108"/>
      <c r="AG82" s="108"/>
      <c r="AH82" s="108"/>
      <c r="AI82" s="108"/>
      <c r="AJ82" s="109"/>
      <c r="AK82" s="111">
        <v>0.0</v>
      </c>
      <c r="AL82" s="108"/>
      <c r="AM82" s="108"/>
      <c r="AN82" s="108"/>
      <c r="AO82" s="108"/>
      <c r="AP82" s="109"/>
      <c r="AQ82" s="111">
        <f t="shared" si="3"/>
        <v>20.96329765</v>
      </c>
      <c r="AR82" s="109"/>
      <c r="AS82" s="111">
        <v>61.0</v>
      </c>
      <c r="AT82" s="108"/>
      <c r="AU82" s="109"/>
      <c r="AV82" s="111">
        <f t="shared" si="4"/>
        <v>658.7398861</v>
      </c>
      <c r="AW82" s="108"/>
      <c r="AX82" s="108"/>
      <c r="AY82" s="108"/>
      <c r="AZ82" s="108"/>
      <c r="BA82" s="108"/>
      <c r="BB82" s="108"/>
      <c r="BC82" s="108"/>
      <c r="BD82" s="109"/>
    </row>
    <row r="83" ht="15.0" customHeight="1">
      <c r="A83" s="106" t="str">
        <f t="shared" si="1"/>
        <v>vie</v>
      </c>
      <c r="B83" s="107">
        <v>11.0</v>
      </c>
      <c r="C83" s="108"/>
      <c r="D83" s="108"/>
      <c r="E83" s="108"/>
      <c r="F83" s="108"/>
      <c r="G83" s="108"/>
      <c r="H83" s="109"/>
      <c r="I83" s="110">
        <f t="shared" si="5"/>
        <v>46010</v>
      </c>
      <c r="J83" s="108"/>
      <c r="K83" s="108"/>
      <c r="L83" s="108"/>
      <c r="M83" s="108"/>
      <c r="N83" s="108"/>
      <c r="O83" s="108"/>
      <c r="P83" s="109"/>
      <c r="Q83" s="104">
        <v>15.0</v>
      </c>
      <c r="R83" s="111">
        <f t="shared" si="2"/>
        <v>41.23780342</v>
      </c>
      <c r="S83" s="108"/>
      <c r="T83" s="108"/>
      <c r="U83" s="108"/>
      <c r="V83" s="108"/>
      <c r="W83" s="108"/>
      <c r="X83" s="108"/>
      <c r="Y83" s="108"/>
      <c r="Z83" s="109"/>
      <c r="AA83" s="111">
        <v>0.0</v>
      </c>
      <c r="AB83" s="108"/>
      <c r="AC83" s="108"/>
      <c r="AD83" s="108"/>
      <c r="AE83" s="108"/>
      <c r="AF83" s="108"/>
      <c r="AG83" s="108"/>
      <c r="AH83" s="108"/>
      <c r="AI83" s="108"/>
      <c r="AJ83" s="109"/>
      <c r="AK83" s="111">
        <v>0.0</v>
      </c>
      <c r="AL83" s="108"/>
      <c r="AM83" s="108"/>
      <c r="AN83" s="108"/>
      <c r="AO83" s="108"/>
      <c r="AP83" s="109"/>
      <c r="AQ83" s="111">
        <f t="shared" si="3"/>
        <v>19.76219658</v>
      </c>
      <c r="AR83" s="109"/>
      <c r="AS83" s="111">
        <v>61.0</v>
      </c>
      <c r="AT83" s="108"/>
      <c r="AU83" s="109"/>
      <c r="AV83" s="111">
        <f t="shared" si="4"/>
        <v>617.5020826</v>
      </c>
      <c r="AW83" s="108"/>
      <c r="AX83" s="108"/>
      <c r="AY83" s="108"/>
      <c r="AZ83" s="108"/>
      <c r="BA83" s="108"/>
      <c r="BB83" s="108"/>
      <c r="BC83" s="108"/>
      <c r="BD83" s="109"/>
    </row>
    <row r="84" ht="14.25" customHeight="1">
      <c r="A84" s="106" t="str">
        <f t="shared" si="1"/>
        <v>dom</v>
      </c>
      <c r="B84" s="107">
        <v>12.0</v>
      </c>
      <c r="C84" s="108"/>
      <c r="D84" s="108"/>
      <c r="E84" s="108"/>
      <c r="F84" s="108"/>
      <c r="G84" s="108"/>
      <c r="H84" s="109"/>
      <c r="I84" s="110">
        <f t="shared" si="5"/>
        <v>46026</v>
      </c>
      <c r="J84" s="108"/>
      <c r="K84" s="108"/>
      <c r="L84" s="108"/>
      <c r="M84" s="108"/>
      <c r="N84" s="108"/>
      <c r="O84" s="108"/>
      <c r="P84" s="109"/>
      <c r="Q84" s="104">
        <v>16.0</v>
      </c>
      <c r="R84" s="111">
        <f t="shared" si="2"/>
        <v>41.23993336</v>
      </c>
      <c r="S84" s="108"/>
      <c r="T84" s="108"/>
      <c r="U84" s="108"/>
      <c r="V84" s="108"/>
      <c r="W84" s="108"/>
      <c r="X84" s="108"/>
      <c r="Y84" s="108"/>
      <c r="Z84" s="109"/>
      <c r="AA84" s="111">
        <v>0.0</v>
      </c>
      <c r="AB84" s="108"/>
      <c r="AC84" s="108"/>
      <c r="AD84" s="108"/>
      <c r="AE84" s="108"/>
      <c r="AF84" s="108"/>
      <c r="AG84" s="108"/>
      <c r="AH84" s="108"/>
      <c r="AI84" s="108"/>
      <c r="AJ84" s="109"/>
      <c r="AK84" s="111">
        <v>0.0</v>
      </c>
      <c r="AL84" s="108"/>
      <c r="AM84" s="108"/>
      <c r="AN84" s="108"/>
      <c r="AO84" s="108"/>
      <c r="AP84" s="109"/>
      <c r="AQ84" s="111">
        <f t="shared" si="3"/>
        <v>19.76006664</v>
      </c>
      <c r="AR84" s="109"/>
      <c r="AS84" s="111">
        <v>61.0</v>
      </c>
      <c r="AT84" s="108"/>
      <c r="AU84" s="109"/>
      <c r="AV84" s="111">
        <f t="shared" si="4"/>
        <v>576.2621493</v>
      </c>
      <c r="AW84" s="108"/>
      <c r="AX84" s="108"/>
      <c r="AY84" s="108"/>
      <c r="AZ84" s="108"/>
      <c r="BA84" s="108"/>
      <c r="BB84" s="108"/>
      <c r="BC84" s="108"/>
      <c r="BD84" s="109"/>
    </row>
    <row r="85" ht="14.25" customHeight="1">
      <c r="A85" s="106" t="str">
        <f t="shared" si="1"/>
        <v>lun</v>
      </c>
      <c r="B85" s="107">
        <v>13.0</v>
      </c>
      <c r="C85" s="108"/>
      <c r="D85" s="108"/>
      <c r="E85" s="108"/>
      <c r="F85" s="108"/>
      <c r="G85" s="108"/>
      <c r="H85" s="109"/>
      <c r="I85" s="110">
        <f t="shared" si="5"/>
        <v>46041</v>
      </c>
      <c r="J85" s="108"/>
      <c r="K85" s="108"/>
      <c r="L85" s="108"/>
      <c r="M85" s="108"/>
      <c r="N85" s="108"/>
      <c r="O85" s="108"/>
      <c r="P85" s="109"/>
      <c r="Q85" s="104">
        <v>15.0</v>
      </c>
      <c r="R85" s="111">
        <f t="shared" si="2"/>
        <v>43.71213552</v>
      </c>
      <c r="S85" s="108"/>
      <c r="T85" s="108"/>
      <c r="U85" s="108"/>
      <c r="V85" s="108"/>
      <c r="W85" s="108"/>
      <c r="X85" s="108"/>
      <c r="Y85" s="108"/>
      <c r="Z85" s="109"/>
      <c r="AA85" s="111">
        <v>0.0</v>
      </c>
      <c r="AB85" s="108"/>
      <c r="AC85" s="108"/>
      <c r="AD85" s="108"/>
      <c r="AE85" s="108"/>
      <c r="AF85" s="108"/>
      <c r="AG85" s="108"/>
      <c r="AH85" s="108"/>
      <c r="AI85" s="108"/>
      <c r="AJ85" s="109"/>
      <c r="AK85" s="111">
        <v>0.0</v>
      </c>
      <c r="AL85" s="108"/>
      <c r="AM85" s="108"/>
      <c r="AN85" s="108"/>
      <c r="AO85" s="108"/>
      <c r="AP85" s="109"/>
      <c r="AQ85" s="111">
        <f t="shared" si="3"/>
        <v>17.28786448</v>
      </c>
      <c r="AR85" s="109"/>
      <c r="AS85" s="111">
        <v>61.0</v>
      </c>
      <c r="AT85" s="108"/>
      <c r="AU85" s="109"/>
      <c r="AV85" s="111">
        <f t="shared" si="4"/>
        <v>532.5500138</v>
      </c>
      <c r="AW85" s="108"/>
      <c r="AX85" s="108"/>
      <c r="AY85" s="108"/>
      <c r="AZ85" s="108"/>
      <c r="BA85" s="108"/>
      <c r="BB85" s="108"/>
      <c r="BC85" s="108"/>
      <c r="BD85" s="109"/>
    </row>
    <row r="86" ht="14.25" customHeight="1">
      <c r="A86" s="106" t="str">
        <f t="shared" si="1"/>
        <v>mié</v>
      </c>
      <c r="B86" s="107">
        <v>14.0</v>
      </c>
      <c r="C86" s="108"/>
      <c r="D86" s="108"/>
      <c r="E86" s="108"/>
      <c r="F86" s="108"/>
      <c r="G86" s="108"/>
      <c r="H86" s="109"/>
      <c r="I86" s="110">
        <f t="shared" si="5"/>
        <v>46057</v>
      </c>
      <c r="J86" s="108"/>
      <c r="K86" s="108"/>
      <c r="L86" s="108"/>
      <c r="M86" s="108"/>
      <c r="N86" s="108"/>
      <c r="O86" s="108"/>
      <c r="P86" s="109"/>
      <c r="Q86" s="104">
        <v>16.0</v>
      </c>
      <c r="R86" s="111">
        <f t="shared" si="2"/>
        <v>43.95839956</v>
      </c>
      <c r="S86" s="108"/>
      <c r="T86" s="108"/>
      <c r="U86" s="108"/>
      <c r="V86" s="108"/>
      <c r="W86" s="108"/>
      <c r="X86" s="108"/>
      <c r="Y86" s="108"/>
      <c r="Z86" s="109"/>
      <c r="AA86" s="111">
        <v>0.0</v>
      </c>
      <c r="AB86" s="108"/>
      <c r="AC86" s="108"/>
      <c r="AD86" s="108"/>
      <c r="AE86" s="108"/>
      <c r="AF86" s="108"/>
      <c r="AG86" s="108"/>
      <c r="AH86" s="108"/>
      <c r="AI86" s="108"/>
      <c r="AJ86" s="109"/>
      <c r="AK86" s="111">
        <v>0.0</v>
      </c>
      <c r="AL86" s="108"/>
      <c r="AM86" s="108"/>
      <c r="AN86" s="108"/>
      <c r="AO86" s="108"/>
      <c r="AP86" s="109"/>
      <c r="AQ86" s="111">
        <f t="shared" si="3"/>
        <v>17.04160044</v>
      </c>
      <c r="AR86" s="109"/>
      <c r="AS86" s="111">
        <v>61.0</v>
      </c>
      <c r="AT86" s="108"/>
      <c r="AU86" s="109"/>
      <c r="AV86" s="111">
        <f t="shared" si="4"/>
        <v>488.5916142</v>
      </c>
      <c r="AW86" s="108"/>
      <c r="AX86" s="108"/>
      <c r="AY86" s="108"/>
      <c r="AZ86" s="108"/>
      <c r="BA86" s="108"/>
      <c r="BB86" s="108"/>
      <c r="BC86" s="108"/>
      <c r="BD86" s="109"/>
    </row>
    <row r="87" ht="14.25" customHeight="1">
      <c r="A87" s="106" t="str">
        <f t="shared" si="1"/>
        <v>jue</v>
      </c>
      <c r="B87" s="107">
        <v>15.0</v>
      </c>
      <c r="C87" s="108"/>
      <c r="D87" s="108"/>
      <c r="E87" s="108"/>
      <c r="F87" s="108"/>
      <c r="G87" s="108"/>
      <c r="H87" s="109"/>
      <c r="I87" s="110">
        <f t="shared" si="5"/>
        <v>46072</v>
      </c>
      <c r="J87" s="108"/>
      <c r="K87" s="108"/>
      <c r="L87" s="108"/>
      <c r="M87" s="108"/>
      <c r="N87" s="108"/>
      <c r="O87" s="108"/>
      <c r="P87" s="109"/>
      <c r="Q87" s="104">
        <v>15.0</v>
      </c>
      <c r="R87" s="111">
        <f t="shared" si="2"/>
        <v>46.34225157</v>
      </c>
      <c r="S87" s="108"/>
      <c r="T87" s="108"/>
      <c r="U87" s="108"/>
      <c r="V87" s="108"/>
      <c r="W87" s="108"/>
      <c r="X87" s="108"/>
      <c r="Y87" s="108"/>
      <c r="Z87" s="109"/>
      <c r="AA87" s="111">
        <v>0.0</v>
      </c>
      <c r="AB87" s="108"/>
      <c r="AC87" s="108"/>
      <c r="AD87" s="108"/>
      <c r="AE87" s="108"/>
      <c r="AF87" s="108"/>
      <c r="AG87" s="108"/>
      <c r="AH87" s="108"/>
      <c r="AI87" s="108"/>
      <c r="AJ87" s="109"/>
      <c r="AK87" s="111">
        <v>0.0</v>
      </c>
      <c r="AL87" s="108"/>
      <c r="AM87" s="108"/>
      <c r="AN87" s="108"/>
      <c r="AO87" s="108"/>
      <c r="AP87" s="109"/>
      <c r="AQ87" s="111">
        <f t="shared" si="3"/>
        <v>14.65774843</v>
      </c>
      <c r="AR87" s="109"/>
      <c r="AS87" s="111">
        <v>61.0</v>
      </c>
      <c r="AT87" s="108"/>
      <c r="AU87" s="109"/>
      <c r="AV87" s="111">
        <f t="shared" si="4"/>
        <v>442.2493626</v>
      </c>
      <c r="AW87" s="108"/>
      <c r="AX87" s="108"/>
      <c r="AY87" s="108"/>
      <c r="AZ87" s="108"/>
      <c r="BA87" s="108"/>
      <c r="BB87" s="108"/>
      <c r="BC87" s="108"/>
      <c r="BD87" s="109"/>
    </row>
    <row r="88" ht="14.25" customHeight="1">
      <c r="A88" s="106" t="str">
        <f t="shared" si="1"/>
        <v>mié</v>
      </c>
      <c r="B88" s="107">
        <v>16.0</v>
      </c>
      <c r="C88" s="108"/>
      <c r="D88" s="108"/>
      <c r="E88" s="108"/>
      <c r="F88" s="108"/>
      <c r="G88" s="108"/>
      <c r="H88" s="109"/>
      <c r="I88" s="110">
        <f t="shared" si="5"/>
        <v>46085</v>
      </c>
      <c r="J88" s="108"/>
      <c r="K88" s="108"/>
      <c r="L88" s="108"/>
      <c r="M88" s="108"/>
      <c r="N88" s="108"/>
      <c r="O88" s="108"/>
      <c r="P88" s="109"/>
      <c r="Q88" s="104">
        <v>13.0</v>
      </c>
      <c r="R88" s="111">
        <f t="shared" si="2"/>
        <v>49.50151657</v>
      </c>
      <c r="S88" s="108"/>
      <c r="T88" s="108"/>
      <c r="U88" s="108"/>
      <c r="V88" s="108"/>
      <c r="W88" s="108"/>
      <c r="X88" s="108"/>
      <c r="Y88" s="108"/>
      <c r="Z88" s="109"/>
      <c r="AA88" s="111">
        <v>0.0</v>
      </c>
      <c r="AB88" s="108"/>
      <c r="AC88" s="108"/>
      <c r="AD88" s="108"/>
      <c r="AE88" s="108"/>
      <c r="AF88" s="108"/>
      <c r="AG88" s="108"/>
      <c r="AH88" s="108"/>
      <c r="AI88" s="108"/>
      <c r="AJ88" s="109"/>
      <c r="AK88" s="111">
        <v>0.0</v>
      </c>
      <c r="AL88" s="108"/>
      <c r="AM88" s="108"/>
      <c r="AN88" s="108"/>
      <c r="AO88" s="108"/>
      <c r="AP88" s="109"/>
      <c r="AQ88" s="111">
        <f t="shared" si="3"/>
        <v>11.49848343</v>
      </c>
      <c r="AR88" s="109"/>
      <c r="AS88" s="111">
        <v>61.0</v>
      </c>
      <c r="AT88" s="108"/>
      <c r="AU88" s="109"/>
      <c r="AV88" s="111">
        <f t="shared" si="4"/>
        <v>392.7478461</v>
      </c>
      <c r="AW88" s="108"/>
      <c r="AX88" s="108"/>
      <c r="AY88" s="108"/>
      <c r="AZ88" s="108"/>
      <c r="BA88" s="108"/>
      <c r="BB88" s="108"/>
      <c r="BC88" s="108"/>
      <c r="BD88" s="109"/>
    </row>
    <row r="89" ht="14.25" customHeight="1">
      <c r="A89" s="106" t="str">
        <f t="shared" si="1"/>
        <v>jue</v>
      </c>
      <c r="B89" s="107">
        <v>17.0</v>
      </c>
      <c r="C89" s="108"/>
      <c r="D89" s="108"/>
      <c r="E89" s="108"/>
      <c r="F89" s="108"/>
      <c r="G89" s="108"/>
      <c r="H89" s="109"/>
      <c r="I89" s="110">
        <f t="shared" si="5"/>
        <v>46100</v>
      </c>
      <c r="J89" s="108"/>
      <c r="K89" s="108"/>
      <c r="L89" s="108"/>
      <c r="M89" s="108"/>
      <c r="N89" s="108"/>
      <c r="O89" s="108"/>
      <c r="P89" s="109"/>
      <c r="Q89" s="104">
        <v>15.0</v>
      </c>
      <c r="R89" s="111">
        <f t="shared" si="2"/>
        <v>49.21756462</v>
      </c>
      <c r="S89" s="108"/>
      <c r="T89" s="108"/>
      <c r="U89" s="108"/>
      <c r="V89" s="108"/>
      <c r="W89" s="108"/>
      <c r="X89" s="108"/>
      <c r="Y89" s="108"/>
      <c r="Z89" s="109"/>
      <c r="AA89" s="111">
        <v>0.0</v>
      </c>
      <c r="AB89" s="108"/>
      <c r="AC89" s="108"/>
      <c r="AD89" s="108"/>
      <c r="AE89" s="108"/>
      <c r="AF89" s="108"/>
      <c r="AG89" s="108"/>
      <c r="AH89" s="108"/>
      <c r="AI89" s="108"/>
      <c r="AJ89" s="109"/>
      <c r="AK89" s="111">
        <v>0.0</v>
      </c>
      <c r="AL89" s="108"/>
      <c r="AM89" s="108"/>
      <c r="AN89" s="108"/>
      <c r="AO89" s="108"/>
      <c r="AP89" s="109"/>
      <c r="AQ89" s="111">
        <f t="shared" si="3"/>
        <v>11.78243538</v>
      </c>
      <c r="AR89" s="109"/>
      <c r="AS89" s="111">
        <v>61.0</v>
      </c>
      <c r="AT89" s="108"/>
      <c r="AU89" s="109"/>
      <c r="AV89" s="111">
        <f t="shared" si="4"/>
        <v>343.5302814</v>
      </c>
      <c r="AW89" s="108"/>
      <c r="AX89" s="108"/>
      <c r="AY89" s="108"/>
      <c r="AZ89" s="108"/>
      <c r="BA89" s="108"/>
      <c r="BB89" s="108"/>
      <c r="BC89" s="108"/>
      <c r="BD89" s="109"/>
    </row>
    <row r="90" ht="14.25" customHeight="1">
      <c r="A90" s="106" t="str">
        <f t="shared" si="1"/>
        <v>sáb</v>
      </c>
      <c r="B90" s="107">
        <v>18.0</v>
      </c>
      <c r="C90" s="108"/>
      <c r="D90" s="108"/>
      <c r="E90" s="108"/>
      <c r="F90" s="108"/>
      <c r="G90" s="108"/>
      <c r="H90" s="109"/>
      <c r="I90" s="110">
        <f t="shared" si="5"/>
        <v>46116</v>
      </c>
      <c r="J90" s="108"/>
      <c r="K90" s="108"/>
      <c r="L90" s="108"/>
      <c r="M90" s="108"/>
      <c r="N90" s="108"/>
      <c r="O90" s="108"/>
      <c r="P90" s="109"/>
      <c r="Q90" s="104">
        <v>16.0</v>
      </c>
      <c r="R90" s="111">
        <f t="shared" si="2"/>
        <v>50.00703099</v>
      </c>
      <c r="S90" s="108"/>
      <c r="T90" s="108"/>
      <c r="U90" s="108"/>
      <c r="V90" s="108"/>
      <c r="W90" s="108"/>
      <c r="X90" s="108"/>
      <c r="Y90" s="108"/>
      <c r="Z90" s="109"/>
      <c r="AA90" s="111">
        <v>0.0</v>
      </c>
      <c r="AB90" s="108"/>
      <c r="AC90" s="108"/>
      <c r="AD90" s="108"/>
      <c r="AE90" s="108"/>
      <c r="AF90" s="108"/>
      <c r="AG90" s="108"/>
      <c r="AH90" s="108"/>
      <c r="AI90" s="108"/>
      <c r="AJ90" s="109"/>
      <c r="AK90" s="111">
        <v>0.0</v>
      </c>
      <c r="AL90" s="108"/>
      <c r="AM90" s="108"/>
      <c r="AN90" s="108"/>
      <c r="AO90" s="108"/>
      <c r="AP90" s="109"/>
      <c r="AQ90" s="111">
        <f t="shared" si="3"/>
        <v>10.99296901</v>
      </c>
      <c r="AR90" s="109"/>
      <c r="AS90" s="111">
        <v>61.0</v>
      </c>
      <c r="AT90" s="108"/>
      <c r="AU90" s="109"/>
      <c r="AV90" s="111">
        <f t="shared" si="4"/>
        <v>293.5232504</v>
      </c>
      <c r="AW90" s="108"/>
      <c r="AX90" s="108"/>
      <c r="AY90" s="108"/>
      <c r="AZ90" s="108"/>
      <c r="BA90" s="108"/>
      <c r="BB90" s="108"/>
      <c r="BC90" s="108"/>
      <c r="BD90" s="109"/>
    </row>
    <row r="91" ht="14.25" customHeight="1">
      <c r="A91" s="106" t="str">
        <f t="shared" si="1"/>
        <v>dom</v>
      </c>
      <c r="B91" s="107">
        <v>19.0</v>
      </c>
      <c r="C91" s="108"/>
      <c r="D91" s="108"/>
      <c r="E91" s="108"/>
      <c r="F91" s="108"/>
      <c r="G91" s="108"/>
      <c r="H91" s="109"/>
      <c r="I91" s="110">
        <f t="shared" si="5"/>
        <v>46131</v>
      </c>
      <c r="J91" s="108"/>
      <c r="K91" s="108"/>
      <c r="L91" s="108"/>
      <c r="M91" s="108"/>
      <c r="N91" s="108"/>
      <c r="O91" s="108"/>
      <c r="P91" s="109"/>
      <c r="Q91" s="104">
        <v>15.0</v>
      </c>
      <c r="R91" s="111">
        <f t="shared" si="2"/>
        <v>52.19430249</v>
      </c>
      <c r="S91" s="108"/>
      <c r="T91" s="108"/>
      <c r="U91" s="108"/>
      <c r="V91" s="108"/>
      <c r="W91" s="108"/>
      <c r="X91" s="108"/>
      <c r="Y91" s="108"/>
      <c r="Z91" s="109"/>
      <c r="AA91" s="111">
        <v>0.0</v>
      </c>
      <c r="AB91" s="108"/>
      <c r="AC91" s="108"/>
      <c r="AD91" s="108"/>
      <c r="AE91" s="108"/>
      <c r="AF91" s="108"/>
      <c r="AG91" s="108"/>
      <c r="AH91" s="108"/>
      <c r="AI91" s="108"/>
      <c r="AJ91" s="109"/>
      <c r="AK91" s="111">
        <v>0.0</v>
      </c>
      <c r="AL91" s="108"/>
      <c r="AM91" s="108"/>
      <c r="AN91" s="108"/>
      <c r="AO91" s="108"/>
      <c r="AP91" s="109"/>
      <c r="AQ91" s="111">
        <f t="shared" si="3"/>
        <v>8.805697513</v>
      </c>
      <c r="AR91" s="109"/>
      <c r="AS91" s="111">
        <v>61.0</v>
      </c>
      <c r="AT91" s="108"/>
      <c r="AU91" s="109"/>
      <c r="AV91" s="111">
        <f t="shared" si="4"/>
        <v>241.328948</v>
      </c>
      <c r="AW91" s="108"/>
      <c r="AX91" s="108"/>
      <c r="AY91" s="108"/>
      <c r="AZ91" s="108"/>
      <c r="BA91" s="108"/>
      <c r="BB91" s="108"/>
      <c r="BC91" s="108"/>
      <c r="BD91" s="109"/>
    </row>
    <row r="92" ht="14.25" customHeight="1">
      <c r="A92" s="106" t="str">
        <f t="shared" si="1"/>
        <v>lun</v>
      </c>
      <c r="B92" s="107">
        <v>20.0</v>
      </c>
      <c r="C92" s="108"/>
      <c r="D92" s="108"/>
      <c r="E92" s="108"/>
      <c r="F92" s="108"/>
      <c r="G92" s="108"/>
      <c r="H92" s="109"/>
      <c r="I92" s="110">
        <f t="shared" si="5"/>
        <v>46146</v>
      </c>
      <c r="J92" s="108"/>
      <c r="K92" s="108"/>
      <c r="L92" s="108"/>
      <c r="M92" s="108"/>
      <c r="N92" s="108"/>
      <c r="O92" s="108"/>
      <c r="P92" s="109"/>
      <c r="Q92" s="104">
        <v>15.0</v>
      </c>
      <c r="R92" s="111">
        <f t="shared" si="2"/>
        <v>53.76013156</v>
      </c>
      <c r="S92" s="108"/>
      <c r="T92" s="108"/>
      <c r="U92" s="108"/>
      <c r="V92" s="108"/>
      <c r="W92" s="108"/>
      <c r="X92" s="108"/>
      <c r="Y92" s="108"/>
      <c r="Z92" s="109"/>
      <c r="AA92" s="111">
        <v>0.0</v>
      </c>
      <c r="AB92" s="108"/>
      <c r="AC92" s="108"/>
      <c r="AD92" s="108"/>
      <c r="AE92" s="108"/>
      <c r="AF92" s="108"/>
      <c r="AG92" s="108"/>
      <c r="AH92" s="108"/>
      <c r="AI92" s="108"/>
      <c r="AJ92" s="109"/>
      <c r="AK92" s="111">
        <v>0.0</v>
      </c>
      <c r="AL92" s="108"/>
      <c r="AM92" s="108"/>
      <c r="AN92" s="108"/>
      <c r="AO92" s="108"/>
      <c r="AP92" s="109"/>
      <c r="AQ92" s="111">
        <f t="shared" si="3"/>
        <v>7.239868439</v>
      </c>
      <c r="AR92" s="109"/>
      <c r="AS92" s="111">
        <v>61.0</v>
      </c>
      <c r="AT92" s="108"/>
      <c r="AU92" s="109"/>
      <c r="AV92" s="111">
        <f t="shared" si="4"/>
        <v>187.5688164</v>
      </c>
      <c r="AW92" s="108"/>
      <c r="AX92" s="108"/>
      <c r="AY92" s="108"/>
      <c r="AZ92" s="108"/>
      <c r="BA92" s="108"/>
      <c r="BB92" s="108"/>
      <c r="BC92" s="108"/>
      <c r="BD92" s="109"/>
    </row>
    <row r="93" ht="12.75" customHeight="1">
      <c r="A93" s="106" t="str">
        <f t="shared" si="1"/>
        <v>mar</v>
      </c>
      <c r="B93" s="107">
        <v>21.0</v>
      </c>
      <c r="C93" s="108"/>
      <c r="D93" s="108"/>
      <c r="E93" s="108"/>
      <c r="F93" s="108"/>
      <c r="G93" s="108"/>
      <c r="H93" s="109"/>
      <c r="I93" s="110">
        <f t="shared" si="5"/>
        <v>46161</v>
      </c>
      <c r="J93" s="108"/>
      <c r="K93" s="108"/>
      <c r="L93" s="108"/>
      <c r="M93" s="108"/>
      <c r="N93" s="108"/>
      <c r="O93" s="108"/>
      <c r="P93" s="109"/>
      <c r="Q93" s="104">
        <v>15.0</v>
      </c>
      <c r="R93" s="111">
        <f t="shared" si="2"/>
        <v>55.37293551</v>
      </c>
      <c r="S93" s="108"/>
      <c r="T93" s="108"/>
      <c r="U93" s="108"/>
      <c r="V93" s="108"/>
      <c r="W93" s="108"/>
      <c r="X93" s="108"/>
      <c r="Y93" s="108"/>
      <c r="Z93" s="109"/>
      <c r="AA93" s="111">
        <v>0.0</v>
      </c>
      <c r="AB93" s="108"/>
      <c r="AC93" s="108"/>
      <c r="AD93" s="108"/>
      <c r="AE93" s="108"/>
      <c r="AF93" s="108"/>
      <c r="AG93" s="108"/>
      <c r="AH93" s="108"/>
      <c r="AI93" s="108"/>
      <c r="AJ93" s="109"/>
      <c r="AK93" s="111">
        <v>0.0</v>
      </c>
      <c r="AL93" s="108"/>
      <c r="AM93" s="108"/>
      <c r="AN93" s="108"/>
      <c r="AO93" s="108"/>
      <c r="AP93" s="109"/>
      <c r="AQ93" s="111">
        <f t="shared" si="3"/>
        <v>5.627064492</v>
      </c>
      <c r="AR93" s="109"/>
      <c r="AS93" s="111">
        <v>61.0</v>
      </c>
      <c r="AT93" s="108"/>
      <c r="AU93" s="109"/>
      <c r="AV93" s="111">
        <f t="shared" si="4"/>
        <v>132.1958809</v>
      </c>
      <c r="AW93" s="108"/>
      <c r="AX93" s="108"/>
      <c r="AY93" s="108"/>
      <c r="AZ93" s="108"/>
      <c r="BA93" s="108"/>
      <c r="BB93" s="108"/>
      <c r="BC93" s="108"/>
      <c r="BD93" s="109"/>
    </row>
    <row r="94" ht="12.75" customHeight="1">
      <c r="A94" s="106" t="str">
        <f t="shared" si="1"/>
        <v>jue</v>
      </c>
      <c r="B94" s="107">
        <v>22.0</v>
      </c>
      <c r="C94" s="108"/>
      <c r="D94" s="108"/>
      <c r="E94" s="108"/>
      <c r="F94" s="108"/>
      <c r="G94" s="108"/>
      <c r="H94" s="109"/>
      <c r="I94" s="110">
        <f t="shared" si="5"/>
        <v>46177</v>
      </c>
      <c r="J94" s="108"/>
      <c r="K94" s="108"/>
      <c r="L94" s="108"/>
      <c r="M94" s="108"/>
      <c r="N94" s="108"/>
      <c r="O94" s="108"/>
      <c r="P94" s="109"/>
      <c r="Q94" s="104">
        <v>16.0</v>
      </c>
      <c r="R94" s="111">
        <f t="shared" si="2"/>
        <v>56.76973181</v>
      </c>
      <c r="S94" s="108"/>
      <c r="T94" s="108"/>
      <c r="U94" s="108"/>
      <c r="V94" s="108"/>
      <c r="W94" s="108"/>
      <c r="X94" s="108"/>
      <c r="Y94" s="108"/>
      <c r="Z94" s="109"/>
      <c r="AA94" s="111">
        <v>0.0</v>
      </c>
      <c r="AB94" s="108"/>
      <c r="AC94" s="108"/>
      <c r="AD94" s="108"/>
      <c r="AE94" s="108"/>
      <c r="AF94" s="108"/>
      <c r="AG94" s="108"/>
      <c r="AH94" s="108"/>
      <c r="AI94" s="108"/>
      <c r="AJ94" s="109"/>
      <c r="AK94" s="111">
        <v>0.0</v>
      </c>
      <c r="AL94" s="108"/>
      <c r="AM94" s="108"/>
      <c r="AN94" s="108"/>
      <c r="AO94" s="108"/>
      <c r="AP94" s="109"/>
      <c r="AQ94" s="111">
        <f t="shared" si="3"/>
        <v>4.230268189</v>
      </c>
      <c r="AR94" s="109"/>
      <c r="AS94" s="111">
        <v>61.0</v>
      </c>
      <c r="AT94" s="108"/>
      <c r="AU94" s="109"/>
      <c r="AV94" s="111">
        <f t="shared" si="4"/>
        <v>75.42614908</v>
      </c>
      <c r="AW94" s="108"/>
      <c r="AX94" s="108"/>
      <c r="AY94" s="108"/>
      <c r="AZ94" s="108"/>
      <c r="BA94" s="108"/>
      <c r="BB94" s="108"/>
      <c r="BC94" s="108"/>
      <c r="BD94" s="109"/>
    </row>
    <row r="95" ht="12.75" customHeight="1">
      <c r="A95" s="106" t="str">
        <f t="shared" si="1"/>
        <v>vie</v>
      </c>
      <c r="B95" s="107">
        <v>23.0</v>
      </c>
      <c r="C95" s="108"/>
      <c r="D95" s="108"/>
      <c r="E95" s="108"/>
      <c r="F95" s="108"/>
      <c r="G95" s="108"/>
      <c r="H95" s="109"/>
      <c r="I95" s="110">
        <f t="shared" si="5"/>
        <v>46192</v>
      </c>
      <c r="J95" s="108"/>
      <c r="K95" s="108"/>
      <c r="L95" s="108"/>
      <c r="M95" s="108"/>
      <c r="N95" s="108"/>
      <c r="O95" s="108"/>
      <c r="P95" s="109"/>
      <c r="Q95" s="104">
        <v>15.0</v>
      </c>
      <c r="R95" s="111">
        <f t="shared" si="2"/>
        <v>58.73721553</v>
      </c>
      <c r="S95" s="108"/>
      <c r="T95" s="108"/>
      <c r="U95" s="108"/>
      <c r="V95" s="108"/>
      <c r="W95" s="108"/>
      <c r="X95" s="108"/>
      <c r="Y95" s="108"/>
      <c r="Z95" s="109"/>
      <c r="AA95" s="111">
        <v>0.0</v>
      </c>
      <c r="AB95" s="108"/>
      <c r="AC95" s="108"/>
      <c r="AD95" s="108"/>
      <c r="AE95" s="108"/>
      <c r="AF95" s="108"/>
      <c r="AG95" s="108"/>
      <c r="AH95" s="108"/>
      <c r="AI95" s="108"/>
      <c r="AJ95" s="109"/>
      <c r="AK95" s="111">
        <v>0.0</v>
      </c>
      <c r="AL95" s="108"/>
      <c r="AM95" s="108"/>
      <c r="AN95" s="108"/>
      <c r="AO95" s="108"/>
      <c r="AP95" s="109"/>
      <c r="AQ95" s="111">
        <f t="shared" si="3"/>
        <v>2.262784472</v>
      </c>
      <c r="AR95" s="109"/>
      <c r="AS95" s="111">
        <v>61.0</v>
      </c>
      <c r="AT95" s="108"/>
      <c r="AU95" s="109"/>
      <c r="AV95" s="111">
        <f t="shared" si="4"/>
        <v>16.68893355</v>
      </c>
      <c r="AW95" s="108"/>
      <c r="AX95" s="108"/>
      <c r="AY95" s="108"/>
      <c r="AZ95" s="108"/>
      <c r="BA95" s="108"/>
      <c r="BB95" s="108"/>
      <c r="BC95" s="108"/>
      <c r="BD95" s="109"/>
    </row>
    <row r="96" ht="12.75" customHeight="1">
      <c r="A96" s="106" t="str">
        <f t="shared" si="1"/>
        <v>sáb</v>
      </c>
      <c r="B96" s="107">
        <v>24.0</v>
      </c>
      <c r="C96" s="108"/>
      <c r="D96" s="108"/>
      <c r="E96" s="108"/>
      <c r="F96" s="108"/>
      <c r="G96" s="108"/>
      <c r="H96" s="109"/>
      <c r="I96" s="110">
        <f t="shared" si="5"/>
        <v>46207</v>
      </c>
      <c r="J96" s="108"/>
      <c r="K96" s="108"/>
      <c r="L96" s="108"/>
      <c r="M96" s="108"/>
      <c r="N96" s="108"/>
      <c r="O96" s="108"/>
      <c r="P96" s="109"/>
      <c r="Q96" s="104">
        <v>15.0</v>
      </c>
      <c r="R96" s="111">
        <f t="shared" si="2"/>
        <v>40.60933199</v>
      </c>
      <c r="S96" s="108"/>
      <c r="T96" s="108"/>
      <c r="U96" s="108"/>
      <c r="V96" s="108"/>
      <c r="W96" s="108"/>
      <c r="X96" s="108"/>
      <c r="Y96" s="108"/>
      <c r="Z96" s="109"/>
      <c r="AA96" s="111">
        <v>0.0</v>
      </c>
      <c r="AB96" s="108"/>
      <c r="AC96" s="108"/>
      <c r="AD96" s="108"/>
      <c r="AE96" s="108"/>
      <c r="AF96" s="108"/>
      <c r="AG96" s="108"/>
      <c r="AH96" s="108"/>
      <c r="AI96" s="108"/>
      <c r="AJ96" s="109"/>
      <c r="AK96" s="111">
        <v>0.0</v>
      </c>
      <c r="AL96" s="108"/>
      <c r="AM96" s="108"/>
      <c r="AN96" s="108"/>
      <c r="AO96" s="108"/>
      <c r="AP96" s="109"/>
      <c r="AQ96" s="111">
        <f t="shared" si="3"/>
        <v>0.5006680066</v>
      </c>
      <c r="AR96" s="109"/>
      <c r="AS96" s="111">
        <f>39.16+1.95</f>
        <v>41.11</v>
      </c>
      <c r="AT96" s="108"/>
      <c r="AU96" s="109"/>
      <c r="AV96" s="111">
        <f t="shared" si="4"/>
        <v>-23.92039844</v>
      </c>
      <c r="AW96" s="108"/>
      <c r="AX96" s="108"/>
      <c r="AY96" s="108"/>
      <c r="AZ96" s="108"/>
      <c r="BA96" s="108"/>
      <c r="BB96" s="108"/>
      <c r="BC96" s="108"/>
      <c r="BD96" s="109"/>
    </row>
    <row r="97" ht="19.5" customHeight="1"/>
    <row r="98" ht="50.25" customHeight="1">
      <c r="H98" s="113" t="s">
        <v>91</v>
      </c>
      <c r="AR98" s="113" t="s">
        <v>92</v>
      </c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3">
    <mergeCell ref="T37:AA46"/>
    <mergeCell ref="T47:AA54"/>
    <mergeCell ref="AD47:AK54"/>
    <mergeCell ref="AC56:AK63"/>
    <mergeCell ref="T57:AA62"/>
    <mergeCell ref="AN60:AS65"/>
    <mergeCell ref="E57:L61"/>
    <mergeCell ref="O57:R61"/>
    <mergeCell ref="O24:R32"/>
    <mergeCell ref="F25:L33"/>
    <mergeCell ref="T26:AD34"/>
    <mergeCell ref="AF26:AK34"/>
    <mergeCell ref="F36:L44"/>
    <mergeCell ref="AD37:AK46"/>
    <mergeCell ref="F48:L53"/>
    <mergeCell ref="AJ14:AW14"/>
    <mergeCell ref="AY14:BB14"/>
    <mergeCell ref="P1:BN2"/>
    <mergeCell ref="G2:L7"/>
    <mergeCell ref="P4:BN4"/>
    <mergeCell ref="P6:BN6"/>
    <mergeCell ref="AR9:AY9"/>
    <mergeCell ref="BG9:BM9"/>
    <mergeCell ref="D12:I16"/>
    <mergeCell ref="BD14:BL14"/>
    <mergeCell ref="X13:AF15"/>
    <mergeCell ref="K14:T14"/>
    <mergeCell ref="D17:I19"/>
    <mergeCell ref="L18:U18"/>
    <mergeCell ref="W18:X18"/>
    <mergeCell ref="Z18:AG18"/>
    <mergeCell ref="AI18:AN18"/>
    <mergeCell ref="AU23:AY29"/>
    <mergeCell ref="AU30:AY39"/>
    <mergeCell ref="AU41:AY48"/>
    <mergeCell ref="AN42:AS49"/>
    <mergeCell ref="AN52:AS57"/>
    <mergeCell ref="AP18:AV18"/>
    <mergeCell ref="AY18:BG18"/>
    <mergeCell ref="BI18:BL18"/>
    <mergeCell ref="AN22:AS28"/>
    <mergeCell ref="BB23:BI27"/>
    <mergeCell ref="BK23:BN26"/>
    <mergeCell ref="AN29:AS38"/>
    <mergeCell ref="O36:R45"/>
    <mergeCell ref="O48:R53"/>
    <mergeCell ref="BB31:BI37"/>
    <mergeCell ref="BK32:BN37"/>
    <mergeCell ref="BB43:BI50"/>
    <mergeCell ref="BK44:BN50"/>
    <mergeCell ref="AU53:BN57"/>
    <mergeCell ref="AU61:BN65"/>
    <mergeCell ref="B69:BN69"/>
    <mergeCell ref="I75:P75"/>
    <mergeCell ref="R75:Z75"/>
    <mergeCell ref="AA75:AJ75"/>
    <mergeCell ref="AK75:AP75"/>
    <mergeCell ref="AQ75:AR75"/>
    <mergeCell ref="AS75:AU75"/>
    <mergeCell ref="AV75:BD75"/>
    <mergeCell ref="B75:H75"/>
    <mergeCell ref="B76:H76"/>
    <mergeCell ref="I76:P76"/>
    <mergeCell ref="R76:Z76"/>
    <mergeCell ref="AA76:AJ76"/>
    <mergeCell ref="AK76:AP76"/>
    <mergeCell ref="AQ76:AR76"/>
    <mergeCell ref="AQ77:AR77"/>
    <mergeCell ref="AS77:AU77"/>
    <mergeCell ref="AS76:AU76"/>
    <mergeCell ref="AV76:BD76"/>
    <mergeCell ref="I77:P77"/>
    <mergeCell ref="R77:Z77"/>
    <mergeCell ref="AA77:AJ77"/>
    <mergeCell ref="AK77:AP77"/>
    <mergeCell ref="AV77:BD77"/>
    <mergeCell ref="AS78:AU78"/>
    <mergeCell ref="AV78:BD78"/>
    <mergeCell ref="B77:H77"/>
    <mergeCell ref="B78:H78"/>
    <mergeCell ref="I78:P78"/>
    <mergeCell ref="R78:Z78"/>
    <mergeCell ref="AA78:AJ78"/>
    <mergeCell ref="AK78:AP78"/>
    <mergeCell ref="AQ78:AR78"/>
    <mergeCell ref="I79:P79"/>
    <mergeCell ref="R79:Z79"/>
    <mergeCell ref="AA79:AJ79"/>
    <mergeCell ref="AK79:AP79"/>
    <mergeCell ref="AQ79:AR79"/>
    <mergeCell ref="AS79:AU79"/>
    <mergeCell ref="AV79:BD79"/>
    <mergeCell ref="B79:H79"/>
    <mergeCell ref="B80:H80"/>
    <mergeCell ref="I80:P80"/>
    <mergeCell ref="R80:Z80"/>
    <mergeCell ref="AA80:AJ80"/>
    <mergeCell ref="AK80:AP80"/>
    <mergeCell ref="AQ80:AR80"/>
    <mergeCell ref="AQ81:AR81"/>
    <mergeCell ref="AS81:AU81"/>
    <mergeCell ref="AS80:AU80"/>
    <mergeCell ref="AV80:BD80"/>
    <mergeCell ref="I81:P81"/>
    <mergeCell ref="R81:Z81"/>
    <mergeCell ref="AA81:AJ81"/>
    <mergeCell ref="AK81:AP81"/>
    <mergeCell ref="AV81:BD81"/>
    <mergeCell ref="I91:P91"/>
    <mergeCell ref="R91:Z91"/>
    <mergeCell ref="AA91:AJ91"/>
    <mergeCell ref="AK91:AP91"/>
    <mergeCell ref="AQ91:AR91"/>
    <mergeCell ref="AS91:AU91"/>
    <mergeCell ref="AV91:BD91"/>
    <mergeCell ref="B91:H91"/>
    <mergeCell ref="B92:H92"/>
    <mergeCell ref="I92:P92"/>
    <mergeCell ref="R92:Z92"/>
    <mergeCell ref="AA92:AJ92"/>
    <mergeCell ref="AK92:AP92"/>
    <mergeCell ref="AQ92:AR92"/>
    <mergeCell ref="AQ93:AR93"/>
    <mergeCell ref="AS93:AU93"/>
    <mergeCell ref="AS92:AU92"/>
    <mergeCell ref="AV92:BD92"/>
    <mergeCell ref="I93:P93"/>
    <mergeCell ref="R93:Z93"/>
    <mergeCell ref="AA93:AJ93"/>
    <mergeCell ref="AK93:AP93"/>
    <mergeCell ref="AV93:BD93"/>
    <mergeCell ref="AS94:AU94"/>
    <mergeCell ref="AV94:BD94"/>
    <mergeCell ref="B93:H93"/>
    <mergeCell ref="B94:H94"/>
    <mergeCell ref="I94:P94"/>
    <mergeCell ref="R94:Z94"/>
    <mergeCell ref="AA94:AJ94"/>
    <mergeCell ref="AK94:AP94"/>
    <mergeCell ref="AQ94:AR94"/>
    <mergeCell ref="I95:P95"/>
    <mergeCell ref="R95:Z95"/>
    <mergeCell ref="AA95:AJ95"/>
    <mergeCell ref="AK95:AP95"/>
    <mergeCell ref="AQ95:AR95"/>
    <mergeCell ref="AS95:AU95"/>
    <mergeCell ref="AV95:BD95"/>
    <mergeCell ref="B95:H95"/>
    <mergeCell ref="B96:H96"/>
    <mergeCell ref="I96:P96"/>
    <mergeCell ref="R96:Z96"/>
    <mergeCell ref="AA96:AJ96"/>
    <mergeCell ref="AK96:AP96"/>
    <mergeCell ref="AQ96:AR96"/>
    <mergeCell ref="AR98:BK98"/>
    <mergeCell ref="I71:P71"/>
    <mergeCell ref="R71:Z71"/>
    <mergeCell ref="AA71:AJ71"/>
    <mergeCell ref="AK71:AP71"/>
    <mergeCell ref="AQ71:AR71"/>
    <mergeCell ref="AS71:AU71"/>
    <mergeCell ref="AV71:BD71"/>
    <mergeCell ref="AS72:AU72"/>
    <mergeCell ref="AV72:BD72"/>
    <mergeCell ref="B71:H71"/>
    <mergeCell ref="B72:H72"/>
    <mergeCell ref="I72:P72"/>
    <mergeCell ref="R72:Z72"/>
    <mergeCell ref="AA72:AJ72"/>
    <mergeCell ref="AK72:AP72"/>
    <mergeCell ref="AQ72:AR72"/>
    <mergeCell ref="I73:P73"/>
    <mergeCell ref="R73:Z73"/>
    <mergeCell ref="AA73:AJ73"/>
    <mergeCell ref="AK73:AP73"/>
    <mergeCell ref="AQ73:AR73"/>
    <mergeCell ref="AS73:AU73"/>
    <mergeCell ref="AV73:BD73"/>
    <mergeCell ref="AS74:AU74"/>
    <mergeCell ref="AV74:BD74"/>
    <mergeCell ref="B73:H73"/>
    <mergeCell ref="B74:H74"/>
    <mergeCell ref="I74:P74"/>
    <mergeCell ref="R74:Z74"/>
    <mergeCell ref="AA74:AJ74"/>
    <mergeCell ref="AK74:AP74"/>
    <mergeCell ref="AQ74:AR74"/>
    <mergeCell ref="AS96:AU96"/>
    <mergeCell ref="AV96:BD96"/>
    <mergeCell ref="H98:AD98"/>
    <mergeCell ref="AS82:AU82"/>
    <mergeCell ref="AV82:BD82"/>
    <mergeCell ref="B81:H81"/>
    <mergeCell ref="B82:H82"/>
    <mergeCell ref="I82:P82"/>
    <mergeCell ref="R82:Z82"/>
    <mergeCell ref="AA82:AJ82"/>
    <mergeCell ref="AK82:AP82"/>
    <mergeCell ref="AQ82:AR82"/>
    <mergeCell ref="I83:P83"/>
    <mergeCell ref="R83:Z83"/>
    <mergeCell ref="AA83:AJ83"/>
    <mergeCell ref="AK83:AP83"/>
    <mergeCell ref="AQ83:AR83"/>
    <mergeCell ref="AS83:AU83"/>
    <mergeCell ref="AV83:BD83"/>
    <mergeCell ref="B83:H83"/>
    <mergeCell ref="B84:H84"/>
    <mergeCell ref="I84:P84"/>
    <mergeCell ref="R84:Z84"/>
    <mergeCell ref="AA84:AJ84"/>
    <mergeCell ref="AK84:AP84"/>
    <mergeCell ref="AQ84:AR84"/>
    <mergeCell ref="AQ85:AR85"/>
    <mergeCell ref="AS85:AU85"/>
    <mergeCell ref="AS84:AU84"/>
    <mergeCell ref="AV84:BD84"/>
    <mergeCell ref="I85:P85"/>
    <mergeCell ref="R85:Z85"/>
    <mergeCell ref="AA85:AJ85"/>
    <mergeCell ref="AK85:AP85"/>
    <mergeCell ref="AV85:BD85"/>
    <mergeCell ref="AS86:AU86"/>
    <mergeCell ref="AV86:BD86"/>
    <mergeCell ref="B85:H85"/>
    <mergeCell ref="B86:H86"/>
    <mergeCell ref="I86:P86"/>
    <mergeCell ref="R86:Z86"/>
    <mergeCell ref="AA86:AJ86"/>
    <mergeCell ref="AK86:AP86"/>
    <mergeCell ref="AQ86:AR86"/>
    <mergeCell ref="I87:P87"/>
    <mergeCell ref="R87:Z87"/>
    <mergeCell ref="AA87:AJ87"/>
    <mergeCell ref="AK87:AP87"/>
    <mergeCell ref="AQ87:AR87"/>
    <mergeCell ref="AS87:AU87"/>
    <mergeCell ref="AV87:BD87"/>
    <mergeCell ref="B87:H87"/>
    <mergeCell ref="B88:H88"/>
    <mergeCell ref="I88:P88"/>
    <mergeCell ref="R88:Z88"/>
    <mergeCell ref="AA88:AJ88"/>
    <mergeCell ref="AK88:AP88"/>
    <mergeCell ref="AQ88:AR88"/>
    <mergeCell ref="AQ89:AR89"/>
    <mergeCell ref="AS89:AU89"/>
    <mergeCell ref="AS88:AU88"/>
    <mergeCell ref="AV88:BD88"/>
    <mergeCell ref="I89:P89"/>
    <mergeCell ref="R89:Z89"/>
    <mergeCell ref="AA89:AJ89"/>
    <mergeCell ref="AK89:AP89"/>
    <mergeCell ref="AV89:BD89"/>
    <mergeCell ref="AS90:AU90"/>
    <mergeCell ref="AV90:BD90"/>
    <mergeCell ref="B89:H89"/>
    <mergeCell ref="B90:H90"/>
    <mergeCell ref="I90:P90"/>
    <mergeCell ref="R90:Z90"/>
    <mergeCell ref="AA90:AJ90"/>
    <mergeCell ref="AK90:AP90"/>
    <mergeCell ref="AQ90:AR90"/>
  </mergeCells>
  <dataValidations>
    <dataValidation type="list" allowBlank="1" showErrorMessage="1" sqref="AD47">
      <formula1>"Catorcenal,Quincenal,Mensual"</formula1>
    </dataValidation>
  </dataValidations>
  <printOptions/>
  <pageMargins bottom="2.716535433070866" footer="0.0" header="0.0" left="0.1968503937007874" right="0.1968503937007874" top="0.1968503937007874"/>
  <pageSetup scale="85" orientation="portrait"/>
  <headerFooter>
    <oddFooter>&amp;LEstimado cliente: Le instamos realizar sus pagos en tiempo y forma. Evítese el pago de interés moratorio y gastos por cobranza. Puede realizar el pago de su cuota en BANCO LAFISE(BANCENTRO) Cta en dolares a nombre de EMILIA DEL SOCORRO MEND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7.86"/>
    <col customWidth="1" hidden="1" min="3" max="3" width="17.0"/>
    <col customWidth="1" min="4" max="4" width="7.71"/>
    <col customWidth="1" min="5" max="5" width="29.71"/>
    <col customWidth="1" min="6" max="6" width="1.29"/>
    <col customWidth="1" min="7" max="7" width="21.29"/>
    <col customWidth="1" min="8" max="8" width="25.86"/>
    <col customWidth="1" min="9" max="9" width="20.29"/>
    <col customWidth="1" min="10" max="10" width="21.29"/>
    <col customWidth="1" min="11" max="11" width="25.29"/>
    <col customWidth="1" min="12" max="12" width="25.71"/>
    <col customWidth="1" min="13" max="13" width="12.0"/>
    <col customWidth="1" min="14" max="14" width="3.71"/>
    <col customWidth="1" min="15" max="15" width="5.29"/>
    <col customWidth="1" min="16" max="16" width="15.29"/>
    <col customWidth="1" min="17" max="17" width="4.43"/>
    <col customWidth="1" min="18" max="18" width="26.29"/>
    <col customWidth="1" min="19" max="19" width="11.57"/>
    <col customWidth="1" min="20" max="20" width="16.86"/>
    <col customWidth="1" min="21" max="32" width="11.57"/>
  </cols>
  <sheetData>
    <row r="1" ht="18.0" customHeight="1">
      <c r="A1" s="114"/>
      <c r="B1" s="115"/>
      <c r="C1" s="115"/>
      <c r="D1" s="115"/>
      <c r="E1" s="116"/>
      <c r="F1" s="116"/>
      <c r="G1" s="115"/>
      <c r="H1" s="117" t="s">
        <v>93</v>
      </c>
      <c r="I1" s="115"/>
      <c r="J1" s="115"/>
      <c r="K1" s="118"/>
      <c r="M1" s="119"/>
      <c r="N1" s="118"/>
      <c r="O1" s="115"/>
      <c r="P1" s="115"/>
      <c r="Q1" s="115"/>
      <c r="R1" s="115"/>
      <c r="S1" s="120"/>
      <c r="T1" s="120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</row>
    <row r="2" ht="18.0" customHeight="1">
      <c r="A2" s="114"/>
      <c r="B2" s="115"/>
      <c r="C2" s="115"/>
      <c r="D2" s="115"/>
      <c r="E2" s="116"/>
      <c r="F2" s="116"/>
      <c r="G2" s="115"/>
      <c r="H2" s="115"/>
      <c r="I2" s="115"/>
      <c r="J2" s="115"/>
      <c r="K2" s="121"/>
      <c r="M2" s="122"/>
      <c r="N2" s="121"/>
      <c r="O2" s="115"/>
      <c r="P2" s="115"/>
      <c r="Q2" s="115"/>
      <c r="R2" s="115"/>
      <c r="S2" s="120"/>
      <c r="T2" s="120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</row>
    <row r="3" ht="15.75" customHeight="1">
      <c r="A3" s="114"/>
      <c r="B3" s="115"/>
      <c r="C3" s="115"/>
      <c r="D3" s="115"/>
      <c r="E3" s="123" t="s">
        <v>46</v>
      </c>
      <c r="F3" s="124"/>
      <c r="G3" s="125" t="s">
        <v>94</v>
      </c>
      <c r="H3" s="126"/>
      <c r="I3" s="115"/>
      <c r="J3" s="115"/>
      <c r="K3" s="45" t="s">
        <v>95</v>
      </c>
      <c r="L3" s="127"/>
      <c r="M3" s="128"/>
      <c r="N3" s="127"/>
      <c r="O3" s="115"/>
      <c r="P3" s="115"/>
      <c r="Q3" s="115"/>
      <c r="R3" s="115"/>
      <c r="S3" s="120"/>
      <c r="T3" s="120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</row>
    <row r="4" ht="18.0" customHeight="1">
      <c r="A4" s="114"/>
      <c r="B4" s="115"/>
      <c r="C4" s="115"/>
      <c r="D4" s="115"/>
      <c r="E4" s="129" t="s">
        <v>96</v>
      </c>
      <c r="F4" s="130"/>
      <c r="G4" s="131" t="s">
        <v>97</v>
      </c>
      <c r="H4" s="132"/>
      <c r="I4" s="115"/>
      <c r="J4" s="115"/>
      <c r="K4" s="115">
        <f t="array" ref="K4">IFERROR(XLOOKUP(G4,Hoja3!C:C,Hoja3!A:A)," ")</f>
        <v>1240</v>
      </c>
      <c r="L4" s="127"/>
      <c r="M4" s="128"/>
      <c r="N4" s="127"/>
      <c r="O4" s="115"/>
      <c r="P4" s="115"/>
      <c r="Q4" s="115"/>
      <c r="R4" s="115"/>
      <c r="S4" s="120"/>
      <c r="T4" s="120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</row>
    <row r="5" ht="18.0" customHeight="1">
      <c r="A5" s="114"/>
      <c r="B5" s="115"/>
      <c r="C5" s="115"/>
      <c r="D5" s="115"/>
      <c r="E5" s="123" t="s">
        <v>98</v>
      </c>
      <c r="F5" s="124"/>
      <c r="G5" s="131" t="s">
        <v>99</v>
      </c>
      <c r="H5" s="133" t="s">
        <v>100</v>
      </c>
      <c r="I5" s="115"/>
      <c r="J5" s="115"/>
      <c r="K5" s="134" t="s">
        <v>101</v>
      </c>
      <c r="L5" s="127"/>
      <c r="M5" s="128"/>
      <c r="N5" s="127"/>
      <c r="O5" s="115"/>
      <c r="P5" s="115"/>
      <c r="Q5" s="115"/>
      <c r="R5" s="115"/>
      <c r="S5" s="120"/>
      <c r="T5" s="120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</row>
    <row r="6" ht="7.5" customHeight="1">
      <c r="A6" s="114"/>
      <c r="B6" s="115"/>
      <c r="C6" s="115"/>
      <c r="D6" s="115"/>
      <c r="E6" s="115"/>
      <c r="F6" s="115"/>
      <c r="G6" s="28"/>
      <c r="H6" s="45"/>
      <c r="I6" s="115"/>
      <c r="J6" s="115"/>
      <c r="K6" s="134"/>
      <c r="L6" s="127"/>
      <c r="M6" s="128"/>
      <c r="N6" s="127"/>
      <c r="O6" s="115"/>
      <c r="P6" s="115"/>
      <c r="Q6" s="115"/>
      <c r="R6" s="115"/>
      <c r="S6" s="120"/>
      <c r="T6" s="120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</row>
    <row r="7" ht="24.0" customHeight="1">
      <c r="A7" s="114"/>
      <c r="B7" s="115"/>
      <c r="C7" s="115"/>
      <c r="D7" s="115"/>
      <c r="E7" s="135" t="s">
        <v>102</v>
      </c>
      <c r="F7" s="136"/>
      <c r="G7" s="137">
        <v>0.06</v>
      </c>
      <c r="H7" s="115"/>
      <c r="I7" s="115"/>
      <c r="J7" s="115"/>
      <c r="K7" s="45" t="s">
        <v>79</v>
      </c>
      <c r="L7" s="138" t="s">
        <v>103</v>
      </c>
      <c r="M7" s="139"/>
      <c r="N7" s="140"/>
      <c r="O7" s="115"/>
      <c r="P7" s="115"/>
      <c r="Q7" s="115"/>
      <c r="R7" s="115"/>
      <c r="S7" s="120"/>
      <c r="T7" s="120"/>
      <c r="U7" s="114"/>
      <c r="V7" s="114"/>
      <c r="W7" s="114"/>
      <c r="X7" s="115"/>
      <c r="Y7" s="115"/>
      <c r="Z7" s="115"/>
      <c r="AA7" s="115"/>
      <c r="AB7" s="115"/>
      <c r="AC7" s="115"/>
      <c r="AD7" s="115"/>
      <c r="AE7" s="115"/>
      <c r="AF7" s="115"/>
    </row>
    <row r="8" ht="36.75" customHeight="1">
      <c r="A8" s="141"/>
      <c r="B8" s="142"/>
      <c r="C8" s="142"/>
      <c r="D8" s="142"/>
      <c r="E8" s="143" t="s">
        <v>104</v>
      </c>
      <c r="F8" s="136"/>
      <c r="G8" s="138">
        <f>G7*12</f>
        <v>0.72</v>
      </c>
      <c r="H8" s="120">
        <f>+G8/12</f>
        <v>0.06</v>
      </c>
      <c r="I8" s="115"/>
      <c r="J8" s="115"/>
      <c r="K8" s="45" t="s">
        <v>105</v>
      </c>
      <c r="L8" s="144" t="s">
        <v>106</v>
      </c>
      <c r="M8" s="145"/>
      <c r="N8" s="146"/>
      <c r="O8" s="115"/>
      <c r="P8" s="115"/>
      <c r="Q8" s="115"/>
      <c r="R8" s="115"/>
      <c r="S8" s="120" t="s">
        <v>83</v>
      </c>
      <c r="T8" s="147">
        <f>+G15</f>
        <v>35.72</v>
      </c>
      <c r="U8" s="114"/>
      <c r="V8" s="114"/>
      <c r="W8" s="114"/>
      <c r="X8" s="115"/>
      <c r="Y8" s="115"/>
      <c r="Z8" s="115"/>
      <c r="AA8" s="115"/>
      <c r="AB8" s="115"/>
      <c r="AC8" s="115"/>
      <c r="AD8" s="115"/>
      <c r="AE8" s="115"/>
      <c r="AF8" s="115"/>
    </row>
    <row r="9" ht="6.0" customHeight="1">
      <c r="A9" s="114"/>
      <c r="B9" s="115"/>
      <c r="C9" s="115"/>
      <c r="D9" s="115"/>
      <c r="E9" s="37"/>
      <c r="F9" s="37"/>
      <c r="G9" s="148"/>
      <c r="H9" s="115"/>
      <c r="I9" s="115"/>
      <c r="J9" s="115"/>
      <c r="K9" s="115"/>
      <c r="L9" s="115"/>
      <c r="M9" s="128"/>
      <c r="N9" s="127"/>
      <c r="O9" s="115"/>
      <c r="P9" s="115"/>
      <c r="Q9" s="115"/>
      <c r="R9" s="115"/>
      <c r="S9" s="120"/>
      <c r="T9" s="149"/>
      <c r="U9" s="114"/>
      <c r="V9" s="114"/>
      <c r="W9" s="114"/>
      <c r="X9" s="115"/>
      <c r="Y9" s="115"/>
      <c r="Z9" s="115"/>
      <c r="AA9" s="115"/>
      <c r="AB9" s="115"/>
      <c r="AC9" s="115"/>
      <c r="AD9" s="115"/>
      <c r="AE9" s="115"/>
      <c r="AF9" s="115"/>
    </row>
    <row r="10" ht="35.25" customHeight="1">
      <c r="A10" s="114"/>
      <c r="B10" s="115"/>
      <c r="C10" s="115"/>
      <c r="D10" s="115"/>
      <c r="E10" s="143" t="s">
        <v>107</v>
      </c>
      <c r="F10" s="136"/>
      <c r="G10" s="138">
        <f>+G8/4</f>
        <v>0.18</v>
      </c>
      <c r="H10" s="150">
        <f>+XIRR(K20:K40,E20:E40,0)*1</f>
        <v>1.309065741</v>
      </c>
      <c r="I10" s="151">
        <f>(1 + H10)^(1/12) - 1</f>
        <v>0.07222605946</v>
      </c>
      <c r="J10" s="115"/>
      <c r="K10" s="152" t="s">
        <v>108</v>
      </c>
      <c r="L10" s="138" t="s">
        <v>109</v>
      </c>
      <c r="M10" s="128"/>
      <c r="N10" s="127"/>
      <c r="O10" s="115"/>
      <c r="P10" s="115"/>
      <c r="Q10" s="115"/>
      <c r="R10" s="115"/>
      <c r="S10" s="120">
        <f>+IF(G13="Mensual",G11,G11*2)</f>
        <v>20</v>
      </c>
      <c r="T10" s="149">
        <f>+VLOOKUP(S10,D:L,6,0)</f>
        <v>1.23</v>
      </c>
      <c r="U10" s="114" t="s">
        <v>110</v>
      </c>
      <c r="V10" s="114"/>
      <c r="W10" s="114"/>
      <c r="X10" s="115"/>
      <c r="Y10" s="115"/>
      <c r="Z10" s="115"/>
      <c r="AA10" s="115"/>
      <c r="AB10" s="115"/>
      <c r="AC10" s="115"/>
      <c r="AD10" s="115"/>
      <c r="AE10" s="115"/>
      <c r="AF10" s="115"/>
    </row>
    <row r="11" ht="18.0" customHeight="1">
      <c r="A11" s="114"/>
      <c r="B11" s="114">
        <f>+IF(G13="Mensual",G11,G11*2)</f>
        <v>20</v>
      </c>
      <c r="C11" s="115"/>
      <c r="D11" s="115"/>
      <c r="E11" s="143" t="s">
        <v>111</v>
      </c>
      <c r="F11" s="136"/>
      <c r="G11" s="153">
        <v>10.0</v>
      </c>
      <c r="H11" s="115"/>
      <c r="I11" s="115"/>
      <c r="J11" s="154"/>
      <c r="K11" s="152" t="s">
        <v>112</v>
      </c>
      <c r="L11" s="155">
        <v>46030.0</v>
      </c>
      <c r="M11" s="128"/>
      <c r="N11" s="127"/>
      <c r="O11" s="115"/>
      <c r="P11" s="115"/>
      <c r="Q11" s="115" t="str">
        <f>IF(G13="Mensual","Día",IF(G13="Quincenal","Días"," "))</f>
        <v>Días</v>
      </c>
      <c r="R11" s="115"/>
      <c r="S11" s="120">
        <f>+IF(G13="Mensual",G11,G11*2)-1</f>
        <v>19</v>
      </c>
      <c r="T11" s="149">
        <f>+SUMIFS(L:L,D:D,S11)</f>
        <v>41.08</v>
      </c>
      <c r="U11" s="142">
        <f>+M22</f>
        <v>1.75</v>
      </c>
      <c r="V11" s="114"/>
      <c r="W11" s="114"/>
      <c r="X11" s="114"/>
      <c r="Y11" s="115"/>
      <c r="Z11" s="115"/>
      <c r="AA11" s="115"/>
      <c r="AB11" s="115"/>
      <c r="AC11" s="115"/>
      <c r="AD11" s="115"/>
      <c r="AE11" s="115"/>
      <c r="AF11" s="115"/>
    </row>
    <row r="12" ht="5.25" customHeight="1">
      <c r="A12" s="114"/>
      <c r="B12" s="115"/>
      <c r="C12" s="115"/>
      <c r="D12" s="115"/>
      <c r="E12" s="136"/>
      <c r="F12" s="136"/>
      <c r="G12" s="156">
        <f>+IF(G13="Mensual",G11,G11*2)</f>
        <v>20</v>
      </c>
      <c r="H12" s="115"/>
      <c r="I12" s="115"/>
      <c r="J12" s="115"/>
      <c r="K12" s="45"/>
      <c r="L12" s="157"/>
      <c r="M12" s="128"/>
      <c r="N12" s="127"/>
      <c r="O12" s="115"/>
      <c r="P12" s="115"/>
      <c r="Q12" s="115"/>
      <c r="R12" s="115"/>
      <c r="S12" s="120"/>
      <c r="T12" s="149"/>
      <c r="U12" s="115"/>
      <c r="V12" s="114"/>
      <c r="W12" s="114"/>
      <c r="X12" s="114"/>
      <c r="Y12" s="115"/>
      <c r="Z12" s="115"/>
      <c r="AA12" s="115"/>
      <c r="AB12" s="115"/>
      <c r="AC12" s="115"/>
      <c r="AD12" s="115"/>
      <c r="AE12" s="115"/>
      <c r="AF12" s="115"/>
    </row>
    <row r="13" ht="30.0" customHeight="1">
      <c r="A13" s="114"/>
      <c r="B13" s="115"/>
      <c r="C13" s="115"/>
      <c r="D13" s="115"/>
      <c r="E13" s="135" t="s">
        <v>113</v>
      </c>
      <c r="F13" s="136"/>
      <c r="G13" s="138" t="s">
        <v>114</v>
      </c>
      <c r="H13" s="158">
        <v>2.0</v>
      </c>
      <c r="I13" s="159">
        <v>17.0</v>
      </c>
      <c r="J13" s="130"/>
      <c r="K13" s="152" t="s">
        <v>115</v>
      </c>
      <c r="L13" s="155">
        <v>46055.0</v>
      </c>
      <c r="M13" s="128"/>
      <c r="N13" s="127"/>
      <c r="O13" s="115">
        <f>+L15*7%</f>
        <v>35</v>
      </c>
      <c r="P13" s="114">
        <f>+DAY(L13)</f>
        <v>2</v>
      </c>
      <c r="Q13" s="115"/>
      <c r="R13" s="115" t="str">
        <f>+IF(P13&gt;15,"Segunda quincena","Primera Quincena")</f>
        <v>Primera Quincena</v>
      </c>
      <c r="S13" s="120" t="s">
        <v>116</v>
      </c>
      <c r="T13" s="149">
        <f>+T10+T11+U13</f>
        <v>44.06</v>
      </c>
      <c r="U13" s="142">
        <f>+U11</f>
        <v>1.75</v>
      </c>
      <c r="V13" s="114"/>
      <c r="W13" s="114"/>
      <c r="X13" s="114"/>
      <c r="Y13" s="115"/>
      <c r="Z13" s="115"/>
      <c r="AA13" s="115"/>
      <c r="AB13" s="115"/>
      <c r="AC13" s="115"/>
      <c r="AD13" s="115"/>
      <c r="AE13" s="115"/>
      <c r="AF13" s="115"/>
    </row>
    <row r="14" ht="5.25" customHeight="1">
      <c r="A14" s="114"/>
      <c r="B14" s="115"/>
      <c r="C14" s="115"/>
      <c r="D14" s="115"/>
      <c r="E14" s="136"/>
      <c r="F14" s="136"/>
      <c r="G14" s="37"/>
      <c r="H14" s="115"/>
      <c r="I14" s="160"/>
      <c r="J14" s="160"/>
      <c r="K14" s="160"/>
      <c r="L14" s="29"/>
      <c r="M14" s="128"/>
      <c r="N14" s="127"/>
      <c r="O14" s="115"/>
      <c r="P14" s="115"/>
      <c r="Q14" s="115"/>
      <c r="R14" s="115"/>
      <c r="S14" s="120"/>
      <c r="T14" s="149"/>
      <c r="U14" s="114"/>
      <c r="V14" s="114"/>
      <c r="W14" s="114"/>
      <c r="X14" s="114"/>
      <c r="Y14" s="115"/>
      <c r="Z14" s="115"/>
      <c r="AA14" s="115"/>
      <c r="AB14" s="115"/>
      <c r="AC14" s="115"/>
      <c r="AD14" s="115"/>
      <c r="AE14" s="115"/>
      <c r="AF14" s="115"/>
    </row>
    <row r="15" ht="17.25" customHeight="1">
      <c r="A15" s="161"/>
      <c r="B15" s="160"/>
      <c r="C15" s="160"/>
      <c r="D15" s="160"/>
      <c r="E15" s="143" t="s">
        <v>117</v>
      </c>
      <c r="F15" s="136"/>
      <c r="G15" s="162">
        <f>ROUND(ROUND(IF(G13="Mensual",Calculo!C11,Calculo!C11/2)-H15,2)+M21,2)</f>
        <v>35.72</v>
      </c>
      <c r="H15" s="114"/>
      <c r="I15" s="115"/>
      <c r="J15" s="115"/>
      <c r="K15" s="152" t="s">
        <v>118</v>
      </c>
      <c r="L15" s="163">
        <v>500.0</v>
      </c>
      <c r="M15" s="164"/>
      <c r="N15" s="127"/>
      <c r="O15" s="115"/>
      <c r="P15" s="115"/>
      <c r="Q15" s="115"/>
      <c r="R15" s="115"/>
      <c r="S15" s="120"/>
      <c r="T15" s="149">
        <f>+ABS(T13)</f>
        <v>44.06</v>
      </c>
      <c r="U15" s="114"/>
      <c r="V15" s="114"/>
      <c r="W15" s="114"/>
      <c r="X15" s="114"/>
      <c r="Y15" s="115"/>
      <c r="Z15" s="115"/>
      <c r="AA15" s="115"/>
      <c r="AB15" s="115"/>
      <c r="AC15" s="115"/>
      <c r="AD15" s="115"/>
      <c r="AE15" s="115"/>
      <c r="AF15" s="115"/>
    </row>
    <row r="16" ht="17.25" customHeight="1">
      <c r="A16" s="161"/>
      <c r="B16" s="160"/>
      <c r="C16" s="160"/>
      <c r="D16" s="160"/>
      <c r="E16" s="165"/>
      <c r="F16" s="165"/>
      <c r="G16" s="166">
        <f>IF(G13="Mensual",Calculo!C11,Calculo!C13)</f>
        <v>33.96698956</v>
      </c>
      <c r="H16" s="167">
        <f>+G15-G16</f>
        <v>1.753010445</v>
      </c>
      <c r="I16" s="115"/>
      <c r="J16" s="115"/>
      <c r="K16" s="37"/>
      <c r="L16" s="37"/>
      <c r="M16" s="168"/>
      <c r="N16" s="37"/>
      <c r="O16" s="115"/>
      <c r="P16" s="115">
        <f>+L15*7%</f>
        <v>35</v>
      </c>
      <c r="Q16" s="115"/>
      <c r="R16" s="115"/>
      <c r="S16" s="120"/>
      <c r="T16" s="149"/>
      <c r="U16" s="114"/>
      <c r="V16" s="114"/>
      <c r="W16" s="114"/>
      <c r="X16" s="114"/>
      <c r="Y16" s="115"/>
      <c r="Z16" s="115"/>
      <c r="AA16" s="115"/>
      <c r="AB16" s="115"/>
      <c r="AC16" s="115"/>
      <c r="AD16" s="115"/>
      <c r="AE16" s="115"/>
      <c r="AF16" s="115"/>
    </row>
    <row r="17" ht="18.0" customHeight="1">
      <c r="A17" s="114"/>
      <c r="B17" s="115"/>
      <c r="C17" s="115"/>
      <c r="D17" s="115"/>
      <c r="E17" s="169" t="s">
        <v>119</v>
      </c>
      <c r="F17" s="136"/>
      <c r="G17" s="138">
        <f>+IF(L15&gt;4999,5%,7%)</f>
        <v>0.07</v>
      </c>
      <c r="H17" s="115"/>
      <c r="I17" s="115"/>
      <c r="J17" s="115"/>
      <c r="K17" s="152" t="s">
        <v>120</v>
      </c>
      <c r="L17" s="170" t="s">
        <v>121</v>
      </c>
      <c r="M17" s="128"/>
      <c r="N17" s="127"/>
      <c r="O17" s="115"/>
      <c r="P17" s="171">
        <f>+L15*G17-J73</f>
        <v>0</v>
      </c>
      <c r="Q17" s="115"/>
      <c r="R17" s="115"/>
      <c r="S17" s="172"/>
      <c r="T17" s="173"/>
      <c r="U17" s="114"/>
      <c r="V17" s="114"/>
      <c r="W17" s="114"/>
      <c r="X17" s="114"/>
      <c r="Y17" s="115"/>
      <c r="Z17" s="115"/>
      <c r="AA17" s="115"/>
      <c r="AB17" s="115"/>
      <c r="AC17" s="115"/>
      <c r="AD17" s="115"/>
      <c r="AE17" s="115"/>
      <c r="AF17" s="115"/>
    </row>
    <row r="18" ht="11.25" customHeight="1">
      <c r="A18" s="114"/>
      <c r="B18" s="115"/>
      <c r="C18" s="115"/>
      <c r="D18" s="115"/>
      <c r="E18" s="116"/>
      <c r="F18" s="116"/>
      <c r="G18" s="115"/>
      <c r="H18" s="115"/>
      <c r="I18" s="115"/>
      <c r="J18" s="115"/>
      <c r="K18" s="114">
        <f>ROUND(L18/MAX(D:D),2)</f>
        <v>1.75</v>
      </c>
      <c r="L18" s="174">
        <f>IF(L17="Aplica",IF(L15&lt;5000,L15*7%,L15*5%),0)</f>
        <v>35</v>
      </c>
      <c r="M18" s="175">
        <f>+MAX(D:D)</f>
        <v>20</v>
      </c>
      <c r="N18" s="176"/>
      <c r="O18" s="115"/>
      <c r="P18" s="115"/>
      <c r="Q18" s="115"/>
      <c r="R18" s="115"/>
      <c r="S18" s="172"/>
      <c r="T18" s="173"/>
      <c r="U18" s="114"/>
      <c r="V18" s="114"/>
      <c r="W18" s="114"/>
      <c r="X18" s="114"/>
      <c r="Y18" s="115"/>
      <c r="Z18" s="115"/>
      <c r="AA18" s="115"/>
      <c r="AB18" s="115"/>
      <c r="AC18" s="115"/>
      <c r="AD18" s="115"/>
      <c r="AE18" s="115"/>
      <c r="AF18" s="115"/>
    </row>
    <row r="19" ht="39.0" customHeight="1">
      <c r="A19" s="114"/>
      <c r="B19" s="177" t="s">
        <v>82</v>
      </c>
      <c r="C19" s="177"/>
      <c r="D19" s="177" t="s">
        <v>122</v>
      </c>
      <c r="E19" s="178" t="s">
        <v>84</v>
      </c>
      <c r="F19" s="178"/>
      <c r="G19" s="177" t="s">
        <v>123</v>
      </c>
      <c r="H19" s="177" t="s">
        <v>124</v>
      </c>
      <c r="I19" s="177" t="s">
        <v>125</v>
      </c>
      <c r="J19" s="179" t="s">
        <v>126</v>
      </c>
      <c r="K19" s="177" t="s">
        <v>83</v>
      </c>
      <c r="L19" s="180" t="s">
        <v>127</v>
      </c>
      <c r="M19" s="181" t="s">
        <v>128</v>
      </c>
      <c r="N19" s="182"/>
      <c r="O19" s="115"/>
      <c r="P19" s="183">
        <f>+M21+P17</f>
        <v>1.75</v>
      </c>
      <c r="Q19" s="115"/>
      <c r="R19" s="115"/>
      <c r="S19" s="120"/>
      <c r="T19" s="120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</row>
    <row r="20" ht="27.0" customHeight="1">
      <c r="A20" s="114"/>
      <c r="B20" s="45"/>
      <c r="C20" s="45"/>
      <c r="D20" s="45">
        <v>0.0</v>
      </c>
      <c r="E20" s="116">
        <f>+L11</f>
        <v>46030</v>
      </c>
      <c r="F20" s="184"/>
      <c r="G20" s="45"/>
      <c r="H20" s="45"/>
      <c r="I20" s="45"/>
      <c r="J20" s="160"/>
      <c r="K20" s="185">
        <f>+L15*-1</f>
        <v>-500</v>
      </c>
      <c r="L20" s="130"/>
      <c r="M20" s="186"/>
      <c r="N20" s="182"/>
      <c r="O20" s="115"/>
      <c r="P20" s="183"/>
      <c r="Q20" s="115"/>
      <c r="R20" s="115"/>
      <c r="S20" s="120"/>
      <c r="T20" s="120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</row>
    <row r="21" ht="18.0" customHeight="1">
      <c r="A21" s="114"/>
      <c r="B21" s="115" t="str">
        <f t="shared" ref="B21:B68" si="1">IFERROR(TEXT(R21,"DDD"),"")</f>
        <v>lun</v>
      </c>
      <c r="C21" s="116">
        <f>+E21</f>
        <v>46055</v>
      </c>
      <c r="D21" s="115">
        <v>1.0</v>
      </c>
      <c r="E21" s="116">
        <f t="shared" ref="E21:E68" si="2">IFERROR(IF(B21="dom",R21+1,R21)," ")</f>
        <v>46055</v>
      </c>
      <c r="F21" s="116"/>
      <c r="G21" s="115">
        <f>+IFERROR(E21-L11," ")</f>
        <v>25</v>
      </c>
      <c r="H21" s="187">
        <f>ROUND($G$15-I21-M21,2)</f>
        <v>8.97</v>
      </c>
      <c r="I21" s="187">
        <f>ROUND(L15*H8/30*G21,2)</f>
        <v>25</v>
      </c>
      <c r="J21" s="187">
        <f t="shared" ref="J21:J70" si="3">+M21</f>
        <v>1.75</v>
      </c>
      <c r="K21" s="187">
        <f>+G15</f>
        <v>35.72</v>
      </c>
      <c r="L21" s="142">
        <f>ROUND(L15-H21,4)</f>
        <v>491.03</v>
      </c>
      <c r="M21" s="183">
        <f t="shared" ref="M21:M70" si="4">IF(D21&lt;=$M$18,$K$18,0)</f>
        <v>1.75</v>
      </c>
      <c r="N21" s="142">
        <f t="shared" ref="N21:N42" si="5">+H21+I21+J21-K21</f>
        <v>0</v>
      </c>
      <c r="O21" s="142" t="str">
        <f t="shared" ref="O21:O68" si="6">IF(L21=MIN($L$21:$L$68),"min"," ")</f>
        <v> </v>
      </c>
      <c r="P21" s="142" t="str">
        <f>IFERROR(IF(O21="Min",$T$13," ")+M21,"")</f>
        <v/>
      </c>
      <c r="Q21" s="115">
        <f>+R21-L11</f>
        <v>25</v>
      </c>
      <c r="R21" s="116">
        <f>+L13</f>
        <v>46055</v>
      </c>
      <c r="S21" s="120"/>
      <c r="T21" s="149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</row>
    <row r="22" ht="18.0" customHeight="1">
      <c r="A22" s="114"/>
      <c r="B22" s="115" t="str">
        <f t="shared" si="1"/>
        <v>mar</v>
      </c>
      <c r="C22" s="116">
        <f>+IF(B22="dom",R22+1,R22)</f>
        <v>46070</v>
      </c>
      <c r="D22" s="115">
        <f t="shared" ref="D22:D70" si="7">IFERROR(IF(D21+1&gt;$B$11," ",D21+1)," ")</f>
        <v>2</v>
      </c>
      <c r="E22" s="116">
        <f t="shared" si="2"/>
        <v>46070</v>
      </c>
      <c r="F22" s="116"/>
      <c r="G22" s="115">
        <f t="shared" ref="G22:G70" si="8">IFERROR(E22-E21,0)</f>
        <v>15</v>
      </c>
      <c r="H22" s="187">
        <f t="shared" ref="H22:H70" si="9">IF(D22=" ",0,IF(D22=$M$18,K22-I22-M22,ROUND($G$16-I22,2)))</f>
        <v>19.24</v>
      </c>
      <c r="I22" s="187">
        <f t="shared" ref="I22:I70" si="10">IFERROR(ROUND(IFERROR(L21*$H$8/30*G22," "),2),0)</f>
        <v>14.73</v>
      </c>
      <c r="J22" s="187">
        <f t="shared" si="3"/>
        <v>1.75</v>
      </c>
      <c r="K22" s="187">
        <f>+G15</f>
        <v>35.72</v>
      </c>
      <c r="L22" s="142">
        <f t="shared" ref="L22:L70" si="11">IF(H22=0," ",ROUND(IFERROR(L21-H22," "),2))</f>
        <v>471.79</v>
      </c>
      <c r="M22" s="183">
        <f t="shared" si="4"/>
        <v>1.75</v>
      </c>
      <c r="N22" s="142">
        <f t="shared" si="5"/>
        <v>0</v>
      </c>
      <c r="O22" s="142" t="str">
        <f t="shared" si="6"/>
        <v> </v>
      </c>
      <c r="P22" s="142" t="str">
        <f t="shared" ref="P22:P70" si="12">IFERROR(IF(O22="Min",$T$13," "),"")</f>
        <v> </v>
      </c>
      <c r="Q22" s="115">
        <f t="shared" ref="Q22:Q68" si="13">IFERROR(R22-R21," ")</f>
        <v>15</v>
      </c>
      <c r="R22" s="116">
        <f t="array" ref="R22">IF(D22=" ","",IF($G$13="Catorcenal",R21+14,XLOOKUP(D22,Calendario!G:G,Calendario!F:F)))</f>
        <v>46070</v>
      </c>
      <c r="S22" s="120"/>
      <c r="T22" s="149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</row>
    <row r="23" ht="18.0" customHeight="1">
      <c r="A23" s="114">
        <f>IFERROR(IF(D22+1&gt;$B$11," ",D22+1)," ")</f>
        <v>3</v>
      </c>
      <c r="B23" s="115" t="str">
        <f t="shared" si="1"/>
        <v>lun</v>
      </c>
      <c r="C23" s="116">
        <f t="array" ref="C23">IF($G$13="Catorcenal",R22+14,XLOOKUP(A23,Calendario!G:G,Calendario!F:F))</f>
        <v>46083</v>
      </c>
      <c r="D23" s="115">
        <f t="shared" si="7"/>
        <v>3</v>
      </c>
      <c r="E23" s="116">
        <f t="shared" si="2"/>
        <v>46083</v>
      </c>
      <c r="F23" s="116"/>
      <c r="G23" s="115">
        <f t="shared" si="8"/>
        <v>13</v>
      </c>
      <c r="H23" s="187">
        <f t="shared" si="9"/>
        <v>21.7</v>
      </c>
      <c r="I23" s="187">
        <f t="shared" si="10"/>
        <v>12.27</v>
      </c>
      <c r="J23" s="187">
        <f t="shared" si="3"/>
        <v>1.75</v>
      </c>
      <c r="K23" s="187">
        <f t="shared" ref="K23:K39" si="14">IF(D23=" "," ",K22)</f>
        <v>35.72</v>
      </c>
      <c r="L23" s="142">
        <f t="shared" si="11"/>
        <v>450.09</v>
      </c>
      <c r="M23" s="183">
        <f t="shared" si="4"/>
        <v>1.75</v>
      </c>
      <c r="N23" s="142">
        <f t="shared" si="5"/>
        <v>0</v>
      </c>
      <c r="O23" s="142" t="str">
        <f t="shared" si="6"/>
        <v> </v>
      </c>
      <c r="P23" s="142" t="str">
        <f t="shared" si="12"/>
        <v> </v>
      </c>
      <c r="Q23" s="115">
        <f t="shared" si="13"/>
        <v>13</v>
      </c>
      <c r="R23" s="116">
        <f t="array" ref="R23">IF(D23=" ","",IF($G$13="Catorcenal",R22+14,XLOOKUP(D23,Calendario!G:G,Calendario!F:F)))</f>
        <v>46083</v>
      </c>
      <c r="S23" s="120"/>
      <c r="T23" s="149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</row>
    <row r="24" ht="18.0" customHeight="1">
      <c r="A24" s="114">
        <f t="shared" ref="A24:A66" si="15">IFERROR(IF(A23+1&gt;$B$11," ",A23+1)," ")</f>
        <v>4</v>
      </c>
      <c r="B24" s="115" t="str">
        <f t="shared" si="1"/>
        <v>mar</v>
      </c>
      <c r="C24" s="116">
        <f t="array" ref="C24">IF($G$13="Catorcenal",C23+14,XLOOKUP(A24,Calendario!G:G,Calendario!F:F))</f>
        <v>46098</v>
      </c>
      <c r="D24" s="115">
        <f t="shared" si="7"/>
        <v>4</v>
      </c>
      <c r="E24" s="116">
        <f t="shared" si="2"/>
        <v>46098</v>
      </c>
      <c r="F24" s="116"/>
      <c r="G24" s="115">
        <f t="shared" si="8"/>
        <v>15</v>
      </c>
      <c r="H24" s="187">
        <f t="shared" si="9"/>
        <v>20.47</v>
      </c>
      <c r="I24" s="187">
        <f t="shared" si="10"/>
        <v>13.5</v>
      </c>
      <c r="J24" s="187">
        <f t="shared" si="3"/>
        <v>1.75</v>
      </c>
      <c r="K24" s="187">
        <f t="shared" si="14"/>
        <v>35.72</v>
      </c>
      <c r="L24" s="142">
        <f t="shared" si="11"/>
        <v>429.62</v>
      </c>
      <c r="M24" s="183">
        <f t="shared" si="4"/>
        <v>1.75</v>
      </c>
      <c r="N24" s="142">
        <f t="shared" si="5"/>
        <v>0</v>
      </c>
      <c r="O24" s="142" t="str">
        <f t="shared" si="6"/>
        <v> </v>
      </c>
      <c r="P24" s="142" t="str">
        <f t="shared" si="12"/>
        <v> </v>
      </c>
      <c r="Q24" s="115">
        <f t="shared" si="13"/>
        <v>15</v>
      </c>
      <c r="R24" s="116">
        <f t="array" ref="R24">IF(D24=" ","",IF($G$13="Catorcenal",R23+14,XLOOKUP(D24,Calendario!G:G,Calendario!F:F)))</f>
        <v>46098</v>
      </c>
      <c r="S24" s="120"/>
      <c r="T24" s="149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</row>
    <row r="25" ht="18.0" customHeight="1">
      <c r="A25" s="114">
        <f t="shared" si="15"/>
        <v>5</v>
      </c>
      <c r="B25" s="115" t="str">
        <f t="shared" si="1"/>
        <v>jue</v>
      </c>
      <c r="C25" s="116">
        <f t="array" ref="C25">IF($G$13="Catorcenal",C24+14,XLOOKUP(A25,Calendario!G:G,Calendario!F:F))</f>
        <v>46114</v>
      </c>
      <c r="D25" s="115">
        <f t="shared" si="7"/>
        <v>5</v>
      </c>
      <c r="E25" s="116">
        <f t="shared" si="2"/>
        <v>46114</v>
      </c>
      <c r="F25" s="116"/>
      <c r="G25" s="115">
        <f t="shared" si="8"/>
        <v>16</v>
      </c>
      <c r="H25" s="187">
        <f t="shared" si="9"/>
        <v>20.22</v>
      </c>
      <c r="I25" s="187">
        <f t="shared" si="10"/>
        <v>13.75</v>
      </c>
      <c r="J25" s="187">
        <f t="shared" si="3"/>
        <v>1.75</v>
      </c>
      <c r="K25" s="187">
        <f t="shared" si="14"/>
        <v>35.72</v>
      </c>
      <c r="L25" s="142">
        <f t="shared" si="11"/>
        <v>409.4</v>
      </c>
      <c r="M25" s="183">
        <f t="shared" si="4"/>
        <v>1.75</v>
      </c>
      <c r="N25" s="142">
        <f t="shared" si="5"/>
        <v>0</v>
      </c>
      <c r="O25" s="142" t="str">
        <f t="shared" si="6"/>
        <v> </v>
      </c>
      <c r="P25" s="142" t="str">
        <f t="shared" si="12"/>
        <v> </v>
      </c>
      <c r="Q25" s="115">
        <f t="shared" si="13"/>
        <v>16</v>
      </c>
      <c r="R25" s="116">
        <f t="array" ref="R25">IF(D25=" ","",IF($G$13="Catorcenal",R24+14,XLOOKUP(D25,Calendario!G:G,Calendario!F:F)))</f>
        <v>46114</v>
      </c>
      <c r="S25" s="120"/>
      <c r="T25" s="149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</row>
    <row r="26" ht="18.0" customHeight="1">
      <c r="A26" s="114">
        <f t="shared" si="15"/>
        <v>6</v>
      </c>
      <c r="B26" s="115" t="str">
        <f t="shared" si="1"/>
        <v>vie</v>
      </c>
      <c r="C26" s="116">
        <f t="array" ref="C26">IF($G$13="Catorcenal",C25+14,XLOOKUP(A26,Calendario!G:G,Calendario!F:F))</f>
        <v>46129</v>
      </c>
      <c r="D26" s="115">
        <f t="shared" si="7"/>
        <v>6</v>
      </c>
      <c r="E26" s="116">
        <f t="shared" si="2"/>
        <v>46129</v>
      </c>
      <c r="F26" s="116"/>
      <c r="G26" s="115">
        <f t="shared" si="8"/>
        <v>15</v>
      </c>
      <c r="H26" s="187">
        <f t="shared" si="9"/>
        <v>21.69</v>
      </c>
      <c r="I26" s="187">
        <f t="shared" si="10"/>
        <v>12.28</v>
      </c>
      <c r="J26" s="187">
        <f t="shared" si="3"/>
        <v>1.75</v>
      </c>
      <c r="K26" s="187">
        <f t="shared" si="14"/>
        <v>35.72</v>
      </c>
      <c r="L26" s="142">
        <f t="shared" si="11"/>
        <v>387.71</v>
      </c>
      <c r="M26" s="183">
        <f t="shared" si="4"/>
        <v>1.75</v>
      </c>
      <c r="N26" s="142">
        <f t="shared" si="5"/>
        <v>0</v>
      </c>
      <c r="O26" s="142" t="str">
        <f t="shared" si="6"/>
        <v> </v>
      </c>
      <c r="P26" s="142" t="str">
        <f t="shared" si="12"/>
        <v> </v>
      </c>
      <c r="Q26" s="115">
        <f t="shared" si="13"/>
        <v>15</v>
      </c>
      <c r="R26" s="116">
        <f t="array" ref="R26">IF(D26=" ","",IF($G$13="Catorcenal",R25+14,XLOOKUP(D26,Calendario!G:G,Calendario!F:F)))</f>
        <v>46129</v>
      </c>
      <c r="S26" s="120"/>
      <c r="T26" s="149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</row>
    <row r="27" ht="18.0" customHeight="1">
      <c r="A27" s="114">
        <f t="shared" si="15"/>
        <v>7</v>
      </c>
      <c r="B27" s="115" t="str">
        <f t="shared" si="1"/>
        <v>sáb</v>
      </c>
      <c r="C27" s="116">
        <f t="array" ref="C27">IF($G$13="Catorcenal",C26+14,XLOOKUP(A27,Calendario!G:G,Calendario!F:F))</f>
        <v>46144</v>
      </c>
      <c r="D27" s="115">
        <f t="shared" si="7"/>
        <v>7</v>
      </c>
      <c r="E27" s="116">
        <f t="shared" si="2"/>
        <v>46144</v>
      </c>
      <c r="F27" s="116"/>
      <c r="G27" s="115">
        <f t="shared" si="8"/>
        <v>15</v>
      </c>
      <c r="H27" s="187">
        <f t="shared" si="9"/>
        <v>22.34</v>
      </c>
      <c r="I27" s="187">
        <f t="shared" si="10"/>
        <v>11.63</v>
      </c>
      <c r="J27" s="187">
        <f t="shared" si="3"/>
        <v>1.75</v>
      </c>
      <c r="K27" s="187">
        <f t="shared" si="14"/>
        <v>35.72</v>
      </c>
      <c r="L27" s="142">
        <f t="shared" si="11"/>
        <v>365.37</v>
      </c>
      <c r="M27" s="183">
        <f t="shared" si="4"/>
        <v>1.75</v>
      </c>
      <c r="N27" s="142">
        <f t="shared" si="5"/>
        <v>0</v>
      </c>
      <c r="O27" s="142" t="str">
        <f t="shared" si="6"/>
        <v> </v>
      </c>
      <c r="P27" s="142" t="str">
        <f t="shared" si="12"/>
        <v> </v>
      </c>
      <c r="Q27" s="115">
        <f t="shared" si="13"/>
        <v>15</v>
      </c>
      <c r="R27" s="116">
        <f t="array" ref="R27">IF(D27=" ","",IF($G$13="Catorcenal",R26+14,XLOOKUP(D27,Calendario!G:G,Calendario!F:F)))</f>
        <v>46144</v>
      </c>
      <c r="S27" s="120"/>
      <c r="T27" s="149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</row>
    <row r="28" ht="18.0" customHeight="1">
      <c r="A28" s="114">
        <f t="shared" si="15"/>
        <v>8</v>
      </c>
      <c r="B28" s="115" t="str">
        <f t="shared" si="1"/>
        <v>dom</v>
      </c>
      <c r="C28" s="116">
        <f t="array" ref="C28">IF($G$13="Catorcenal",C27+14,XLOOKUP(A28,Calendario!G:G,Calendario!F:F))</f>
        <v>46159</v>
      </c>
      <c r="D28" s="115">
        <f t="shared" si="7"/>
        <v>8</v>
      </c>
      <c r="E28" s="116">
        <f t="shared" si="2"/>
        <v>46160</v>
      </c>
      <c r="F28" s="116"/>
      <c r="G28" s="115">
        <f t="shared" si="8"/>
        <v>16</v>
      </c>
      <c r="H28" s="187">
        <f t="shared" si="9"/>
        <v>22.28</v>
      </c>
      <c r="I28" s="187">
        <f t="shared" si="10"/>
        <v>11.69</v>
      </c>
      <c r="J28" s="187">
        <f t="shared" si="3"/>
        <v>1.75</v>
      </c>
      <c r="K28" s="187">
        <f t="shared" si="14"/>
        <v>35.72</v>
      </c>
      <c r="L28" s="142">
        <f t="shared" si="11"/>
        <v>343.09</v>
      </c>
      <c r="M28" s="183">
        <f t="shared" si="4"/>
        <v>1.75</v>
      </c>
      <c r="N28" s="142">
        <f t="shared" si="5"/>
        <v>0</v>
      </c>
      <c r="O28" s="142" t="str">
        <f t="shared" si="6"/>
        <v> </v>
      </c>
      <c r="P28" s="142" t="str">
        <f t="shared" si="12"/>
        <v> </v>
      </c>
      <c r="Q28" s="115">
        <f t="shared" si="13"/>
        <v>15</v>
      </c>
      <c r="R28" s="116">
        <f t="array" ref="R28">IF(D28=" ","",IF($G$13="Catorcenal",R27+14,XLOOKUP(D28,Calendario!G:G,Calendario!F:F)))</f>
        <v>46159</v>
      </c>
      <c r="S28" s="120"/>
      <c r="T28" s="149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</row>
    <row r="29" ht="18.0" customHeight="1">
      <c r="A29" s="114">
        <f t="shared" si="15"/>
        <v>9</v>
      </c>
      <c r="B29" s="115" t="str">
        <f t="shared" si="1"/>
        <v>mar</v>
      </c>
      <c r="C29" s="116">
        <f t="array" ref="C29">IF($G$13="Catorcenal",C28+14,XLOOKUP(A29,Calendario!G:G,Calendario!F:F))</f>
        <v>46175</v>
      </c>
      <c r="D29" s="115">
        <f t="shared" si="7"/>
        <v>9</v>
      </c>
      <c r="E29" s="116">
        <f t="shared" si="2"/>
        <v>46175</v>
      </c>
      <c r="F29" s="116"/>
      <c r="G29" s="115">
        <f t="shared" si="8"/>
        <v>15</v>
      </c>
      <c r="H29" s="187">
        <f t="shared" si="9"/>
        <v>23.68</v>
      </c>
      <c r="I29" s="187">
        <f t="shared" si="10"/>
        <v>10.29</v>
      </c>
      <c r="J29" s="187">
        <f t="shared" si="3"/>
        <v>1.75</v>
      </c>
      <c r="K29" s="187">
        <f t="shared" si="14"/>
        <v>35.72</v>
      </c>
      <c r="L29" s="142">
        <f t="shared" si="11"/>
        <v>319.41</v>
      </c>
      <c r="M29" s="183">
        <f t="shared" si="4"/>
        <v>1.75</v>
      </c>
      <c r="N29" s="142">
        <f t="shared" si="5"/>
        <v>0</v>
      </c>
      <c r="O29" s="142" t="str">
        <f t="shared" si="6"/>
        <v> </v>
      </c>
      <c r="P29" s="142" t="str">
        <f t="shared" si="12"/>
        <v> </v>
      </c>
      <c r="Q29" s="115">
        <f t="shared" si="13"/>
        <v>16</v>
      </c>
      <c r="R29" s="116">
        <f t="array" ref="R29">IF(D29=" ","",IF($G$13="Catorcenal",R28+14,XLOOKUP(D29,Calendario!G:G,Calendario!F:F)))</f>
        <v>46175</v>
      </c>
      <c r="S29" s="120"/>
      <c r="T29" s="149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</row>
    <row r="30" ht="18.0" customHeight="1">
      <c r="A30" s="114">
        <f t="shared" si="15"/>
        <v>10</v>
      </c>
      <c r="B30" s="115" t="str">
        <f t="shared" si="1"/>
        <v>mié</v>
      </c>
      <c r="C30" s="116">
        <f t="array" ref="C30">IF($G$13="Catorcenal",C29+14,XLOOKUP(A30,Calendario!G:G,Calendario!F:F))</f>
        <v>46190</v>
      </c>
      <c r="D30" s="115">
        <f t="shared" si="7"/>
        <v>10</v>
      </c>
      <c r="E30" s="116">
        <f t="shared" si="2"/>
        <v>46190</v>
      </c>
      <c r="F30" s="116"/>
      <c r="G30" s="115">
        <f t="shared" si="8"/>
        <v>15</v>
      </c>
      <c r="H30" s="187">
        <f t="shared" si="9"/>
        <v>24.39</v>
      </c>
      <c r="I30" s="187">
        <f t="shared" si="10"/>
        <v>9.58</v>
      </c>
      <c r="J30" s="187">
        <f t="shared" si="3"/>
        <v>1.75</v>
      </c>
      <c r="K30" s="187">
        <f t="shared" si="14"/>
        <v>35.72</v>
      </c>
      <c r="L30" s="142">
        <f t="shared" si="11"/>
        <v>295.02</v>
      </c>
      <c r="M30" s="183">
        <f t="shared" si="4"/>
        <v>1.75</v>
      </c>
      <c r="N30" s="142">
        <f t="shared" si="5"/>
        <v>0</v>
      </c>
      <c r="O30" s="142" t="str">
        <f t="shared" si="6"/>
        <v> </v>
      </c>
      <c r="P30" s="142" t="str">
        <f t="shared" si="12"/>
        <v> </v>
      </c>
      <c r="Q30" s="115">
        <f t="shared" si="13"/>
        <v>15</v>
      </c>
      <c r="R30" s="116">
        <f t="array" ref="R30">IF(D30=" ","",IF($G$13="Catorcenal",R29+14,XLOOKUP(D30,Calendario!G:G,Calendario!F:F)))</f>
        <v>46190</v>
      </c>
      <c r="S30" s="120"/>
      <c r="T30" s="149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</row>
    <row r="31" ht="18.0" customHeight="1">
      <c r="A31" s="114">
        <f t="shared" si="15"/>
        <v>11</v>
      </c>
      <c r="B31" s="115" t="str">
        <f t="shared" si="1"/>
        <v>jue</v>
      </c>
      <c r="C31" s="116">
        <f t="array" ref="C31">IF($G$13="Catorcenal",C30+14,XLOOKUP(A31,Calendario!G:G,Calendario!F:F))</f>
        <v>46205</v>
      </c>
      <c r="D31" s="115">
        <f t="shared" si="7"/>
        <v>11</v>
      </c>
      <c r="E31" s="116">
        <f t="shared" si="2"/>
        <v>46205</v>
      </c>
      <c r="F31" s="116"/>
      <c r="G31" s="115">
        <f t="shared" si="8"/>
        <v>15</v>
      </c>
      <c r="H31" s="187">
        <f t="shared" si="9"/>
        <v>25.12</v>
      </c>
      <c r="I31" s="187">
        <f t="shared" si="10"/>
        <v>8.85</v>
      </c>
      <c r="J31" s="187">
        <f t="shared" si="3"/>
        <v>1.75</v>
      </c>
      <c r="K31" s="187">
        <f t="shared" si="14"/>
        <v>35.72</v>
      </c>
      <c r="L31" s="142">
        <f t="shared" si="11"/>
        <v>269.9</v>
      </c>
      <c r="M31" s="183">
        <f t="shared" si="4"/>
        <v>1.75</v>
      </c>
      <c r="N31" s="142">
        <f t="shared" si="5"/>
        <v>0</v>
      </c>
      <c r="O31" s="142" t="str">
        <f t="shared" si="6"/>
        <v> </v>
      </c>
      <c r="P31" s="142" t="str">
        <f t="shared" si="12"/>
        <v> </v>
      </c>
      <c r="Q31" s="115">
        <f t="shared" si="13"/>
        <v>15</v>
      </c>
      <c r="R31" s="116">
        <f t="array" ref="R31">IF(D31=" ","",IF($G$13="Catorcenal",R30+14,XLOOKUP(D31,Calendario!G:G,Calendario!F:F)))</f>
        <v>46205</v>
      </c>
      <c r="S31" s="120"/>
      <c r="T31" s="149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</row>
    <row r="32" ht="18.0" customHeight="1">
      <c r="A32" s="114">
        <f t="shared" si="15"/>
        <v>12</v>
      </c>
      <c r="B32" s="115" t="str">
        <f t="shared" si="1"/>
        <v>vie</v>
      </c>
      <c r="C32" s="116">
        <f t="array" ref="C32">IF($G$13="Catorcenal",C31+14,XLOOKUP(A32,Calendario!G:G,Calendario!F:F))</f>
        <v>46220</v>
      </c>
      <c r="D32" s="115">
        <f t="shared" si="7"/>
        <v>12</v>
      </c>
      <c r="E32" s="116">
        <f t="shared" si="2"/>
        <v>46220</v>
      </c>
      <c r="F32" s="116"/>
      <c r="G32" s="115">
        <f t="shared" si="8"/>
        <v>15</v>
      </c>
      <c r="H32" s="187">
        <f t="shared" si="9"/>
        <v>25.87</v>
      </c>
      <c r="I32" s="187">
        <f t="shared" si="10"/>
        <v>8.1</v>
      </c>
      <c r="J32" s="187">
        <f t="shared" si="3"/>
        <v>1.75</v>
      </c>
      <c r="K32" s="187">
        <f t="shared" si="14"/>
        <v>35.72</v>
      </c>
      <c r="L32" s="142">
        <f t="shared" si="11"/>
        <v>244.03</v>
      </c>
      <c r="M32" s="183">
        <f t="shared" si="4"/>
        <v>1.75</v>
      </c>
      <c r="N32" s="142">
        <f t="shared" si="5"/>
        <v>0</v>
      </c>
      <c r="O32" s="142" t="str">
        <f t="shared" si="6"/>
        <v> </v>
      </c>
      <c r="P32" s="142" t="str">
        <f t="shared" si="12"/>
        <v> </v>
      </c>
      <c r="Q32" s="115">
        <f t="shared" si="13"/>
        <v>15</v>
      </c>
      <c r="R32" s="116">
        <f t="array" ref="R32">IF(D32=" ","",IF($G$13="Catorcenal",R31+14,XLOOKUP(D32,Calendario!G:G,Calendario!F:F)))</f>
        <v>46220</v>
      </c>
      <c r="S32" s="120"/>
      <c r="T32" s="149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</row>
    <row r="33" ht="18.0" customHeight="1">
      <c r="A33" s="114">
        <f t="shared" si="15"/>
        <v>13</v>
      </c>
      <c r="B33" s="115" t="str">
        <f t="shared" si="1"/>
        <v>dom</v>
      </c>
      <c r="C33" s="116">
        <f t="array" ref="C33">IF($G$13="Catorcenal",C32+14,XLOOKUP(A33,Calendario!G:G,Calendario!F:F))</f>
        <v>46236</v>
      </c>
      <c r="D33" s="115">
        <f t="shared" si="7"/>
        <v>13</v>
      </c>
      <c r="E33" s="116">
        <f t="shared" si="2"/>
        <v>46237</v>
      </c>
      <c r="F33" s="116"/>
      <c r="G33" s="115">
        <f t="shared" si="8"/>
        <v>17</v>
      </c>
      <c r="H33" s="187">
        <f t="shared" si="9"/>
        <v>25.67</v>
      </c>
      <c r="I33" s="187">
        <f t="shared" si="10"/>
        <v>8.3</v>
      </c>
      <c r="J33" s="187">
        <f t="shared" si="3"/>
        <v>1.75</v>
      </c>
      <c r="K33" s="187">
        <f t="shared" si="14"/>
        <v>35.72</v>
      </c>
      <c r="L33" s="142">
        <f t="shared" si="11"/>
        <v>218.36</v>
      </c>
      <c r="M33" s="183">
        <f t="shared" si="4"/>
        <v>1.75</v>
      </c>
      <c r="N33" s="142">
        <f t="shared" si="5"/>
        <v>0</v>
      </c>
      <c r="O33" s="142" t="str">
        <f t="shared" si="6"/>
        <v> </v>
      </c>
      <c r="P33" s="142" t="str">
        <f t="shared" si="12"/>
        <v> </v>
      </c>
      <c r="Q33" s="115">
        <f t="shared" si="13"/>
        <v>16</v>
      </c>
      <c r="R33" s="116">
        <f t="array" ref="R33">IF(D33=" ","",IF($G$13="Catorcenal",R32+14,XLOOKUP(D33,Calendario!G:G,Calendario!F:F)))</f>
        <v>46236</v>
      </c>
      <c r="S33" s="120"/>
      <c r="T33" s="149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</row>
    <row r="34" ht="18.0" customHeight="1">
      <c r="A34" s="114">
        <f t="shared" si="15"/>
        <v>14</v>
      </c>
      <c r="B34" s="115" t="str">
        <f t="shared" si="1"/>
        <v>lun</v>
      </c>
      <c r="C34" s="116">
        <f t="array" ref="C34">IF($G$13="Catorcenal",C33+14,XLOOKUP(A34,Calendario!G:G,Calendario!F:F))</f>
        <v>46251</v>
      </c>
      <c r="D34" s="115">
        <f t="shared" si="7"/>
        <v>14</v>
      </c>
      <c r="E34" s="116">
        <f t="shared" si="2"/>
        <v>46251</v>
      </c>
      <c r="F34" s="116"/>
      <c r="G34" s="115">
        <f t="shared" si="8"/>
        <v>14</v>
      </c>
      <c r="H34" s="187">
        <f t="shared" si="9"/>
        <v>27.86</v>
      </c>
      <c r="I34" s="187">
        <f t="shared" si="10"/>
        <v>6.11</v>
      </c>
      <c r="J34" s="187">
        <f t="shared" si="3"/>
        <v>1.75</v>
      </c>
      <c r="K34" s="187">
        <f t="shared" si="14"/>
        <v>35.72</v>
      </c>
      <c r="L34" s="142">
        <f t="shared" si="11"/>
        <v>190.5</v>
      </c>
      <c r="M34" s="183">
        <f t="shared" si="4"/>
        <v>1.75</v>
      </c>
      <c r="N34" s="142">
        <f t="shared" si="5"/>
        <v>0</v>
      </c>
      <c r="O34" s="142" t="str">
        <f t="shared" si="6"/>
        <v> </v>
      </c>
      <c r="P34" s="142" t="str">
        <f t="shared" si="12"/>
        <v> </v>
      </c>
      <c r="Q34" s="115">
        <f t="shared" si="13"/>
        <v>15</v>
      </c>
      <c r="R34" s="116">
        <f t="array" ref="R34">IF(D34=" ","",IF($G$13="Catorcenal",R33+14,XLOOKUP(D34,Calendario!G:G,Calendario!F:F)))</f>
        <v>46251</v>
      </c>
      <c r="S34" s="120"/>
      <c r="T34" s="149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</row>
    <row r="35" ht="18.0" customHeight="1">
      <c r="A35" s="114">
        <f t="shared" si="15"/>
        <v>15</v>
      </c>
      <c r="B35" s="115" t="str">
        <f t="shared" si="1"/>
        <v>mié</v>
      </c>
      <c r="C35" s="116">
        <f t="array" ref="C35">IF($G$13="Catorcenal",C34+14,XLOOKUP(A35,Calendario!G:G,Calendario!F:F))</f>
        <v>46267</v>
      </c>
      <c r="D35" s="115">
        <f t="shared" si="7"/>
        <v>15</v>
      </c>
      <c r="E35" s="116">
        <f t="shared" si="2"/>
        <v>46267</v>
      </c>
      <c r="F35" s="116"/>
      <c r="G35" s="115">
        <f t="shared" si="8"/>
        <v>16</v>
      </c>
      <c r="H35" s="187">
        <f t="shared" si="9"/>
        <v>27.87</v>
      </c>
      <c r="I35" s="187">
        <f t="shared" si="10"/>
        <v>6.1</v>
      </c>
      <c r="J35" s="187">
        <f t="shared" si="3"/>
        <v>1.75</v>
      </c>
      <c r="K35" s="187">
        <f t="shared" si="14"/>
        <v>35.72</v>
      </c>
      <c r="L35" s="142">
        <f t="shared" si="11"/>
        <v>162.63</v>
      </c>
      <c r="M35" s="183">
        <f t="shared" si="4"/>
        <v>1.75</v>
      </c>
      <c r="N35" s="142">
        <f t="shared" si="5"/>
        <v>0</v>
      </c>
      <c r="O35" s="142" t="str">
        <f t="shared" si="6"/>
        <v> </v>
      </c>
      <c r="P35" s="142" t="str">
        <f t="shared" si="12"/>
        <v> </v>
      </c>
      <c r="Q35" s="115">
        <f t="shared" si="13"/>
        <v>16</v>
      </c>
      <c r="R35" s="116">
        <f t="array" ref="R35">IF(D35=" ","",IF($G$13="Catorcenal",R34+14,XLOOKUP(D35,Calendario!G:G,Calendario!F:F)))</f>
        <v>46267</v>
      </c>
      <c r="S35" s="120"/>
      <c r="T35" s="149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</row>
    <row r="36" ht="18.0" customHeight="1">
      <c r="A36" s="114">
        <f t="shared" si="15"/>
        <v>16</v>
      </c>
      <c r="B36" s="115" t="str">
        <f t="shared" si="1"/>
        <v>jue</v>
      </c>
      <c r="C36" s="116">
        <f t="array" ref="C36">IF($G$13="Catorcenal",C35+14,XLOOKUP(A36,Calendario!G:G,Calendario!F:F))</f>
        <v>46282</v>
      </c>
      <c r="D36" s="115">
        <f t="shared" si="7"/>
        <v>16</v>
      </c>
      <c r="E36" s="116">
        <f t="shared" si="2"/>
        <v>46282</v>
      </c>
      <c r="F36" s="116"/>
      <c r="G36" s="115">
        <f t="shared" si="8"/>
        <v>15</v>
      </c>
      <c r="H36" s="187">
        <f t="shared" si="9"/>
        <v>29.09</v>
      </c>
      <c r="I36" s="187">
        <f t="shared" si="10"/>
        <v>4.88</v>
      </c>
      <c r="J36" s="187">
        <f t="shared" si="3"/>
        <v>1.75</v>
      </c>
      <c r="K36" s="187">
        <f t="shared" si="14"/>
        <v>35.72</v>
      </c>
      <c r="L36" s="142">
        <f t="shared" si="11"/>
        <v>133.54</v>
      </c>
      <c r="M36" s="183">
        <f t="shared" si="4"/>
        <v>1.75</v>
      </c>
      <c r="N36" s="142">
        <f t="shared" si="5"/>
        <v>0</v>
      </c>
      <c r="O36" s="142" t="str">
        <f t="shared" si="6"/>
        <v> </v>
      </c>
      <c r="P36" s="142" t="str">
        <f t="shared" si="12"/>
        <v> </v>
      </c>
      <c r="Q36" s="115">
        <f t="shared" si="13"/>
        <v>15</v>
      </c>
      <c r="R36" s="116">
        <f t="array" ref="R36">IF(D36=" ","",IF($G$13="Catorcenal",R35+14,XLOOKUP(D36,Calendario!G:G,Calendario!F:F)))</f>
        <v>46282</v>
      </c>
      <c r="S36" s="120"/>
      <c r="T36" s="149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</row>
    <row r="37" ht="18.0" customHeight="1">
      <c r="A37" s="114">
        <f t="shared" si="15"/>
        <v>17</v>
      </c>
      <c r="B37" s="115" t="str">
        <f t="shared" si="1"/>
        <v>vie</v>
      </c>
      <c r="C37" s="116">
        <f t="array" ref="C37">IF($G$13="Catorcenal",C36+14,XLOOKUP(A37,Calendario!G:G,Calendario!F:F))</f>
        <v>46297</v>
      </c>
      <c r="D37" s="115">
        <f t="shared" si="7"/>
        <v>17</v>
      </c>
      <c r="E37" s="116">
        <f t="shared" si="2"/>
        <v>46297</v>
      </c>
      <c r="F37" s="116"/>
      <c r="G37" s="115">
        <f t="shared" si="8"/>
        <v>15</v>
      </c>
      <c r="H37" s="187">
        <f t="shared" si="9"/>
        <v>29.96</v>
      </c>
      <c r="I37" s="187">
        <f t="shared" si="10"/>
        <v>4.01</v>
      </c>
      <c r="J37" s="187">
        <f t="shared" si="3"/>
        <v>1.75</v>
      </c>
      <c r="K37" s="187">
        <f t="shared" si="14"/>
        <v>35.72</v>
      </c>
      <c r="L37" s="142">
        <f t="shared" si="11"/>
        <v>103.58</v>
      </c>
      <c r="M37" s="183">
        <f t="shared" si="4"/>
        <v>1.75</v>
      </c>
      <c r="N37" s="142">
        <f t="shared" si="5"/>
        <v>0</v>
      </c>
      <c r="O37" s="142" t="str">
        <f t="shared" si="6"/>
        <v> </v>
      </c>
      <c r="P37" s="142" t="str">
        <f t="shared" si="12"/>
        <v> </v>
      </c>
      <c r="Q37" s="115">
        <f t="shared" si="13"/>
        <v>15</v>
      </c>
      <c r="R37" s="116">
        <f t="array" ref="R37">IF(D37=" ","",IF($G$13="Catorcenal",R36+14,XLOOKUP(D37,Calendario!G:G,Calendario!F:F)))</f>
        <v>46297</v>
      </c>
      <c r="S37" s="120"/>
      <c r="T37" s="149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</row>
    <row r="38" ht="18.0" customHeight="1">
      <c r="A38" s="114">
        <f t="shared" si="15"/>
        <v>18</v>
      </c>
      <c r="B38" s="115" t="str">
        <f t="shared" si="1"/>
        <v>sáb</v>
      </c>
      <c r="C38" s="116">
        <f t="array" ref="C38">IF($G$13="Catorcenal",C37+14,XLOOKUP(A38,Calendario!G:G,Calendario!F:F))</f>
        <v>46312</v>
      </c>
      <c r="D38" s="115">
        <f t="shared" si="7"/>
        <v>18</v>
      </c>
      <c r="E38" s="116">
        <f t="shared" si="2"/>
        <v>46312</v>
      </c>
      <c r="F38" s="116"/>
      <c r="G38" s="115">
        <f t="shared" si="8"/>
        <v>15</v>
      </c>
      <c r="H38" s="187">
        <f t="shared" si="9"/>
        <v>30.86</v>
      </c>
      <c r="I38" s="187">
        <f t="shared" si="10"/>
        <v>3.11</v>
      </c>
      <c r="J38" s="187">
        <f t="shared" si="3"/>
        <v>1.75</v>
      </c>
      <c r="K38" s="187">
        <f t="shared" si="14"/>
        <v>35.72</v>
      </c>
      <c r="L38" s="142">
        <f t="shared" si="11"/>
        <v>72.72</v>
      </c>
      <c r="M38" s="183">
        <f t="shared" si="4"/>
        <v>1.75</v>
      </c>
      <c r="N38" s="142">
        <f t="shared" si="5"/>
        <v>0</v>
      </c>
      <c r="O38" s="142" t="str">
        <f t="shared" si="6"/>
        <v> </v>
      </c>
      <c r="P38" s="142" t="str">
        <f t="shared" si="12"/>
        <v> </v>
      </c>
      <c r="Q38" s="115">
        <f t="shared" si="13"/>
        <v>15</v>
      </c>
      <c r="R38" s="116">
        <f t="array" ref="R38">IF(D38=" ","",IF($G$13="Catorcenal",R37+14,XLOOKUP(D38,Calendario!G:G,Calendario!F:F)))</f>
        <v>46312</v>
      </c>
      <c r="S38" s="120"/>
      <c r="T38" s="149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</row>
    <row r="39" ht="18.0" customHeight="1">
      <c r="A39" s="114">
        <f t="shared" si="15"/>
        <v>19</v>
      </c>
      <c r="B39" s="115" t="str">
        <f t="shared" si="1"/>
        <v>lun</v>
      </c>
      <c r="C39" s="116">
        <f t="array" ref="C39">IF($G$13="Catorcenal",C38+14,XLOOKUP(A39,Calendario!G:G,Calendario!F:F))</f>
        <v>46328</v>
      </c>
      <c r="D39" s="115">
        <f t="shared" si="7"/>
        <v>19</v>
      </c>
      <c r="E39" s="116">
        <f t="shared" si="2"/>
        <v>46328</v>
      </c>
      <c r="F39" s="116"/>
      <c r="G39" s="115">
        <f t="shared" si="8"/>
        <v>16</v>
      </c>
      <c r="H39" s="187">
        <f t="shared" si="9"/>
        <v>31.64</v>
      </c>
      <c r="I39" s="187">
        <f t="shared" si="10"/>
        <v>2.33</v>
      </c>
      <c r="J39" s="187">
        <f t="shared" si="3"/>
        <v>1.75</v>
      </c>
      <c r="K39" s="187">
        <f t="shared" si="14"/>
        <v>35.72</v>
      </c>
      <c r="L39" s="142">
        <f t="shared" si="11"/>
        <v>41.08</v>
      </c>
      <c r="M39" s="183">
        <f t="shared" si="4"/>
        <v>1.75</v>
      </c>
      <c r="N39" s="142">
        <f t="shared" si="5"/>
        <v>0</v>
      </c>
      <c r="O39" s="142" t="str">
        <f t="shared" si="6"/>
        <v> </v>
      </c>
      <c r="P39" s="142" t="str">
        <f t="shared" si="12"/>
        <v> </v>
      </c>
      <c r="Q39" s="115">
        <f t="shared" si="13"/>
        <v>16</v>
      </c>
      <c r="R39" s="116">
        <f t="array" ref="R39">IF(D39=" ","",IF($G$13="Catorcenal",R38+14,XLOOKUP(D39,Calendario!G:G,Calendario!F:F)))</f>
        <v>46328</v>
      </c>
      <c r="S39" s="120"/>
      <c r="T39" s="149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</row>
    <row r="40" ht="18.0" customHeight="1">
      <c r="A40" s="114">
        <f t="shared" si="15"/>
        <v>20</v>
      </c>
      <c r="B40" s="115" t="str">
        <f t="shared" si="1"/>
        <v>mar</v>
      </c>
      <c r="C40" s="116">
        <f t="array" ref="C40">IF($G$13="Catorcenal",C39+14,XLOOKUP(A40,Calendario!G:G,Calendario!F:F))</f>
        <v>46343</v>
      </c>
      <c r="D40" s="115">
        <f t="shared" si="7"/>
        <v>20</v>
      </c>
      <c r="E40" s="116">
        <f t="shared" si="2"/>
        <v>46343</v>
      </c>
      <c r="F40" s="116"/>
      <c r="G40" s="115">
        <f t="shared" si="8"/>
        <v>15</v>
      </c>
      <c r="H40" s="187">
        <f t="shared" si="9"/>
        <v>41.08</v>
      </c>
      <c r="I40" s="187">
        <f t="shared" si="10"/>
        <v>1.23</v>
      </c>
      <c r="J40" s="187">
        <f t="shared" si="3"/>
        <v>1.75</v>
      </c>
      <c r="K40" s="188">
        <v>44.06</v>
      </c>
      <c r="L40" s="142">
        <f t="shared" si="11"/>
        <v>0</v>
      </c>
      <c r="M40" s="183">
        <f t="shared" si="4"/>
        <v>1.75</v>
      </c>
      <c r="N40" s="142">
        <f t="shared" si="5"/>
        <v>0</v>
      </c>
      <c r="O40" s="142" t="str">
        <f t="shared" si="6"/>
        <v>min</v>
      </c>
      <c r="P40" s="142">
        <f t="shared" si="12"/>
        <v>44.06</v>
      </c>
      <c r="Q40" s="115">
        <f t="shared" si="13"/>
        <v>15</v>
      </c>
      <c r="R40" s="116">
        <f t="array" ref="R40">IF(D40=" ","",IF($G$13="Catorcenal",R39+14,XLOOKUP(D40,Calendario!G:G,Calendario!F:F)))</f>
        <v>46343</v>
      </c>
      <c r="S40" s="120"/>
      <c r="T40" s="149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</row>
    <row r="41" ht="18.0" customHeight="1">
      <c r="A41" s="114" t="str">
        <f t="shared" si="15"/>
        <v> </v>
      </c>
      <c r="B41" s="115" t="str">
        <f t="shared" si="1"/>
        <v/>
      </c>
      <c r="C41" s="116" t="str">
        <f t="array" ref="C41">IF($G$13="Catorcenal",C40+14,XLOOKUP(A41,Calendario!G:G,Calendario!F:F))</f>
        <v>#N/A</v>
      </c>
      <c r="D41" s="115" t="str">
        <f t="shared" si="7"/>
        <v> </v>
      </c>
      <c r="E41" s="116" t="str">
        <f t="shared" si="2"/>
        <v/>
      </c>
      <c r="F41" s="116"/>
      <c r="G41" s="115">
        <f t="shared" si="8"/>
        <v>-46343</v>
      </c>
      <c r="H41" s="187">
        <f t="shared" si="9"/>
        <v>0</v>
      </c>
      <c r="I41" s="187">
        <f t="shared" si="10"/>
        <v>0</v>
      </c>
      <c r="J41" s="187">
        <f t="shared" si="3"/>
        <v>0</v>
      </c>
      <c r="K41" s="187" t="str">
        <f t="shared" ref="K41:K43" si="16">IF(D41=" "," ",K40)</f>
        <v> </v>
      </c>
      <c r="L41" s="142" t="str">
        <f t="shared" si="11"/>
        <v> </v>
      </c>
      <c r="M41" s="183">
        <f t="shared" si="4"/>
        <v>0</v>
      </c>
      <c r="N41" s="142" t="str">
        <f t="shared" si="5"/>
        <v>#VALUE!</v>
      </c>
      <c r="O41" s="142" t="str">
        <f t="shared" si="6"/>
        <v> </v>
      </c>
      <c r="P41" s="142" t="str">
        <f t="shared" si="12"/>
        <v> </v>
      </c>
      <c r="Q41" s="115">
        <f t="shared" si="13"/>
        <v>-46343</v>
      </c>
      <c r="R41" s="116" t="str">
        <f t="array" ref="R41">IF(D41=" ","",IF($G$13="Catorcenal",R40+14,XLOOKUP(D41,Calendario!G:G,Calendario!F:F)))</f>
        <v/>
      </c>
      <c r="S41" s="120"/>
      <c r="T41" s="149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</row>
    <row r="42" ht="18.0" customHeight="1">
      <c r="A42" s="114" t="str">
        <f t="shared" si="15"/>
        <v> </v>
      </c>
      <c r="B42" s="115" t="str">
        <f t="shared" si="1"/>
        <v/>
      </c>
      <c r="C42" s="116" t="str">
        <f t="array" ref="C42">IF($G$13="Catorcenal",C41+14,XLOOKUP(A42,Calendario!G:G,Calendario!F:F))</f>
        <v>#N/A</v>
      </c>
      <c r="D42" s="115" t="str">
        <f t="shared" si="7"/>
        <v> </v>
      </c>
      <c r="E42" s="116" t="str">
        <f t="shared" si="2"/>
        <v/>
      </c>
      <c r="F42" s="116"/>
      <c r="G42" s="115">
        <f t="shared" si="8"/>
        <v>0</v>
      </c>
      <c r="H42" s="187">
        <f t="shared" si="9"/>
        <v>0</v>
      </c>
      <c r="I42" s="187">
        <f t="shared" si="10"/>
        <v>0</v>
      </c>
      <c r="J42" s="187">
        <f t="shared" si="3"/>
        <v>0</v>
      </c>
      <c r="K42" s="187" t="str">
        <f t="shared" si="16"/>
        <v> </v>
      </c>
      <c r="L42" s="142" t="str">
        <f t="shared" si="11"/>
        <v> </v>
      </c>
      <c r="M42" s="183">
        <f t="shared" si="4"/>
        <v>0</v>
      </c>
      <c r="N42" s="142" t="str">
        <f t="shared" si="5"/>
        <v>#VALUE!</v>
      </c>
      <c r="O42" s="142" t="str">
        <f t="shared" si="6"/>
        <v> </v>
      </c>
      <c r="P42" s="142" t="str">
        <f t="shared" si="12"/>
        <v> </v>
      </c>
      <c r="Q42" s="115">
        <f t="shared" si="13"/>
        <v>0</v>
      </c>
      <c r="R42" s="116" t="str">
        <f t="array" ref="R42">IF(D42=" ","",IF($G$13="Catorcenal",R41+14,XLOOKUP(D42,Calendario!G:G,Calendario!F:F)))</f>
        <v/>
      </c>
      <c r="S42" s="120"/>
      <c r="T42" s="149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</row>
    <row r="43" ht="18.0" customHeight="1">
      <c r="A43" s="114" t="str">
        <f t="shared" si="15"/>
        <v> </v>
      </c>
      <c r="B43" s="115" t="str">
        <f t="shared" si="1"/>
        <v/>
      </c>
      <c r="C43" s="116" t="str">
        <f t="array" ref="C43">IF($G$13="Catorcenal",C42+14,XLOOKUP(A43,Calendario!G:G,Calendario!F:F))</f>
        <v>#N/A</v>
      </c>
      <c r="D43" s="115" t="str">
        <f t="shared" si="7"/>
        <v> </v>
      </c>
      <c r="E43" s="116" t="str">
        <f t="shared" si="2"/>
        <v/>
      </c>
      <c r="F43" s="116"/>
      <c r="G43" s="115">
        <f t="shared" si="8"/>
        <v>0</v>
      </c>
      <c r="H43" s="187">
        <f t="shared" si="9"/>
        <v>0</v>
      </c>
      <c r="I43" s="187">
        <f t="shared" si="10"/>
        <v>0</v>
      </c>
      <c r="J43" s="187">
        <f t="shared" si="3"/>
        <v>0</v>
      </c>
      <c r="K43" s="187" t="str">
        <f t="shared" si="16"/>
        <v> </v>
      </c>
      <c r="L43" s="142" t="str">
        <f t="shared" si="11"/>
        <v> </v>
      </c>
      <c r="M43" s="183">
        <f t="shared" si="4"/>
        <v>0</v>
      </c>
      <c r="N43" s="142"/>
      <c r="O43" s="142" t="str">
        <f t="shared" si="6"/>
        <v> </v>
      </c>
      <c r="P43" s="142" t="str">
        <f t="shared" si="12"/>
        <v> </v>
      </c>
      <c r="Q43" s="115">
        <f t="shared" si="13"/>
        <v>0</v>
      </c>
      <c r="R43" s="116" t="str">
        <f t="array" ref="R43">IF(D43=" ","",IF($G$13="Catorcenal",R42+14,XLOOKUP(D43,Calendario!G:G,Calendario!F:F)))</f>
        <v/>
      </c>
      <c r="S43" s="120"/>
      <c r="T43" s="149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</row>
    <row r="44" ht="18.0" customHeight="1">
      <c r="A44" s="114" t="str">
        <f t="shared" si="15"/>
        <v> </v>
      </c>
      <c r="B44" s="115" t="str">
        <f t="shared" si="1"/>
        <v/>
      </c>
      <c r="C44" s="116" t="str">
        <f t="array" ref="C44">IF($G$13="Catorcenal",C43+14,XLOOKUP(A44,Calendario!G:G,Calendario!F:F))</f>
        <v>#N/A</v>
      </c>
      <c r="D44" s="115" t="str">
        <f t="shared" si="7"/>
        <v> </v>
      </c>
      <c r="E44" s="116" t="str">
        <f t="shared" si="2"/>
        <v/>
      </c>
      <c r="F44" s="116"/>
      <c r="G44" s="115">
        <f t="shared" si="8"/>
        <v>0</v>
      </c>
      <c r="H44" s="187">
        <f t="shared" si="9"/>
        <v>0</v>
      </c>
      <c r="I44" s="187">
        <f t="shared" si="10"/>
        <v>0</v>
      </c>
      <c r="J44" s="187">
        <f t="shared" si="3"/>
        <v>0</v>
      </c>
      <c r="K44" s="187">
        <v>336.89</v>
      </c>
      <c r="L44" s="142" t="str">
        <f t="shared" si="11"/>
        <v> </v>
      </c>
      <c r="M44" s="183">
        <f t="shared" si="4"/>
        <v>0</v>
      </c>
      <c r="N44" s="142"/>
      <c r="O44" s="142" t="str">
        <f t="shared" si="6"/>
        <v> </v>
      </c>
      <c r="P44" s="142" t="str">
        <f t="shared" si="12"/>
        <v> </v>
      </c>
      <c r="Q44" s="115">
        <f t="shared" si="13"/>
        <v>0</v>
      </c>
      <c r="R44" s="116" t="str">
        <f t="array" ref="R44">IF(D44=" ","",IF($G$13="Catorcenal",R43+14,XLOOKUP(D44,Calendario!G:G,Calendario!F:F)))</f>
        <v/>
      </c>
      <c r="S44" s="120"/>
      <c r="T44" s="149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</row>
    <row r="45" ht="18.0" customHeight="1">
      <c r="A45" s="114" t="str">
        <f t="shared" si="15"/>
        <v> </v>
      </c>
      <c r="B45" s="115" t="str">
        <f t="shared" si="1"/>
        <v/>
      </c>
      <c r="C45" s="116" t="str">
        <f t="array" ref="C45">IF($G$13="Catorcenal",C44+14,XLOOKUP(A45,Calendario!G:G,Calendario!F:F))</f>
        <v>#N/A</v>
      </c>
      <c r="D45" s="115" t="str">
        <f t="shared" si="7"/>
        <v> </v>
      </c>
      <c r="E45" s="116" t="str">
        <f t="shared" si="2"/>
        <v/>
      </c>
      <c r="F45" s="116"/>
      <c r="G45" s="115">
        <f t="shared" si="8"/>
        <v>0</v>
      </c>
      <c r="H45" s="187">
        <f t="shared" si="9"/>
        <v>0</v>
      </c>
      <c r="I45" s="187">
        <f t="shared" si="10"/>
        <v>0</v>
      </c>
      <c r="J45" s="187">
        <f t="shared" si="3"/>
        <v>0</v>
      </c>
      <c r="K45" s="187" t="str">
        <f t="shared" ref="K45:K70" si="17">IF(D45=" "," ",K44)</f>
        <v> </v>
      </c>
      <c r="L45" s="142" t="str">
        <f t="shared" si="11"/>
        <v> </v>
      </c>
      <c r="M45" s="183">
        <f t="shared" si="4"/>
        <v>0</v>
      </c>
      <c r="N45" s="142"/>
      <c r="O45" s="142" t="str">
        <f t="shared" si="6"/>
        <v> </v>
      </c>
      <c r="P45" s="142" t="str">
        <f t="shared" si="12"/>
        <v> </v>
      </c>
      <c r="Q45" s="115">
        <f t="shared" si="13"/>
        <v>0</v>
      </c>
      <c r="R45" s="116" t="str">
        <f t="array" ref="R45">IF(D45=" ","",IF($G$13="Catorcenal",R44+14,XLOOKUP(D45,Calendario!G:G,Calendario!F:F)))</f>
        <v/>
      </c>
      <c r="S45" s="120"/>
      <c r="T45" s="149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</row>
    <row r="46" ht="18.0" customHeight="1">
      <c r="A46" s="114" t="str">
        <f t="shared" si="15"/>
        <v> </v>
      </c>
      <c r="B46" s="115" t="str">
        <f t="shared" si="1"/>
        <v/>
      </c>
      <c r="C46" s="116" t="str">
        <f t="array" ref="C46">IF($G$13="Catorcenal",C45+14,XLOOKUP(A46,Calendario!G:G,Calendario!F:F))</f>
        <v>#N/A</v>
      </c>
      <c r="D46" s="115" t="str">
        <f t="shared" si="7"/>
        <v> </v>
      </c>
      <c r="E46" s="116" t="str">
        <f t="shared" si="2"/>
        <v/>
      </c>
      <c r="F46" s="116"/>
      <c r="G46" s="115">
        <f t="shared" si="8"/>
        <v>0</v>
      </c>
      <c r="H46" s="187">
        <f t="shared" si="9"/>
        <v>0</v>
      </c>
      <c r="I46" s="187">
        <f t="shared" si="10"/>
        <v>0</v>
      </c>
      <c r="J46" s="187">
        <f t="shared" si="3"/>
        <v>0</v>
      </c>
      <c r="K46" s="187" t="str">
        <f t="shared" si="17"/>
        <v> </v>
      </c>
      <c r="L46" s="142" t="str">
        <f t="shared" si="11"/>
        <v> </v>
      </c>
      <c r="M46" s="183">
        <f t="shared" si="4"/>
        <v>0</v>
      </c>
      <c r="N46" s="142"/>
      <c r="O46" s="142" t="str">
        <f t="shared" si="6"/>
        <v> </v>
      </c>
      <c r="P46" s="142" t="str">
        <f t="shared" si="12"/>
        <v> </v>
      </c>
      <c r="Q46" s="115">
        <f t="shared" si="13"/>
        <v>0</v>
      </c>
      <c r="R46" s="116" t="str">
        <f t="array" ref="R46">IF(D46=" ","",IF($G$13="Catorcenal",R45+14,XLOOKUP(D46,Calendario!G:G,Calendario!F:F)))</f>
        <v/>
      </c>
      <c r="S46" s="120"/>
      <c r="T46" s="149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</row>
    <row r="47" ht="18.0" customHeight="1">
      <c r="A47" s="114" t="str">
        <f t="shared" si="15"/>
        <v> </v>
      </c>
      <c r="B47" s="115" t="str">
        <f t="shared" si="1"/>
        <v/>
      </c>
      <c r="C47" s="116" t="str">
        <f t="array" ref="C47">IF($G$13="Catorcenal",C46+14,XLOOKUP(A47,Calendario!G:G,Calendario!F:F))</f>
        <v>#N/A</v>
      </c>
      <c r="D47" s="115" t="str">
        <f t="shared" si="7"/>
        <v> </v>
      </c>
      <c r="E47" s="116" t="str">
        <f t="shared" si="2"/>
        <v/>
      </c>
      <c r="F47" s="116"/>
      <c r="G47" s="115">
        <f t="shared" si="8"/>
        <v>0</v>
      </c>
      <c r="H47" s="187">
        <f t="shared" si="9"/>
        <v>0</v>
      </c>
      <c r="I47" s="187">
        <f t="shared" si="10"/>
        <v>0</v>
      </c>
      <c r="J47" s="187">
        <f t="shared" si="3"/>
        <v>0</v>
      </c>
      <c r="K47" s="187" t="str">
        <f t="shared" si="17"/>
        <v> </v>
      </c>
      <c r="L47" s="142" t="str">
        <f t="shared" si="11"/>
        <v> </v>
      </c>
      <c r="M47" s="183">
        <f t="shared" si="4"/>
        <v>0</v>
      </c>
      <c r="N47" s="142"/>
      <c r="O47" s="142" t="str">
        <f t="shared" si="6"/>
        <v> </v>
      </c>
      <c r="P47" s="142" t="str">
        <f t="shared" si="12"/>
        <v> </v>
      </c>
      <c r="Q47" s="115">
        <f t="shared" si="13"/>
        <v>0</v>
      </c>
      <c r="R47" s="116" t="str">
        <f t="array" ref="R47">IF(D47=" ","",IF($G$13="Catorcenal",R46+14,XLOOKUP(D47,Calendario!G:G,Calendario!F:F)))</f>
        <v/>
      </c>
      <c r="S47" s="120"/>
      <c r="T47" s="149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</row>
    <row r="48" ht="18.0" customHeight="1">
      <c r="A48" s="114" t="str">
        <f t="shared" si="15"/>
        <v> </v>
      </c>
      <c r="B48" s="115" t="str">
        <f t="shared" si="1"/>
        <v/>
      </c>
      <c r="C48" s="116" t="str">
        <f t="array" ref="C48">IF($G$13="Catorcenal",C47+14,XLOOKUP(A48,Calendario!G:G,Calendario!F:F))</f>
        <v>#N/A</v>
      </c>
      <c r="D48" s="115" t="str">
        <f t="shared" si="7"/>
        <v> </v>
      </c>
      <c r="E48" s="116" t="str">
        <f t="shared" si="2"/>
        <v/>
      </c>
      <c r="F48" s="116"/>
      <c r="G48" s="115">
        <f t="shared" si="8"/>
        <v>0</v>
      </c>
      <c r="H48" s="187">
        <f t="shared" si="9"/>
        <v>0</v>
      </c>
      <c r="I48" s="187">
        <f t="shared" si="10"/>
        <v>0</v>
      </c>
      <c r="J48" s="187">
        <f t="shared" si="3"/>
        <v>0</v>
      </c>
      <c r="K48" s="187" t="str">
        <f t="shared" si="17"/>
        <v> </v>
      </c>
      <c r="L48" s="142" t="str">
        <f t="shared" si="11"/>
        <v> </v>
      </c>
      <c r="M48" s="183">
        <f t="shared" si="4"/>
        <v>0</v>
      </c>
      <c r="N48" s="142"/>
      <c r="O48" s="142" t="str">
        <f t="shared" si="6"/>
        <v> </v>
      </c>
      <c r="P48" s="142" t="str">
        <f t="shared" si="12"/>
        <v> </v>
      </c>
      <c r="Q48" s="115">
        <f t="shared" si="13"/>
        <v>0</v>
      </c>
      <c r="R48" s="116" t="str">
        <f t="array" ref="R48">IF(D48=" ","",IF($G$13="Catorcenal",R47+14,XLOOKUP(D48,Calendario!G:G,Calendario!F:F)))</f>
        <v/>
      </c>
      <c r="S48" s="120"/>
      <c r="T48" s="149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</row>
    <row r="49" ht="18.0" customHeight="1">
      <c r="A49" s="114" t="str">
        <f t="shared" si="15"/>
        <v> </v>
      </c>
      <c r="B49" s="115" t="str">
        <f t="shared" si="1"/>
        <v/>
      </c>
      <c r="C49" s="116" t="str">
        <f t="array" ref="C49">IF($G$13="Catorcenal",C48+14,XLOOKUP(A49,Calendario!G:G,Calendario!F:F))</f>
        <v>#N/A</v>
      </c>
      <c r="D49" s="115" t="str">
        <f t="shared" si="7"/>
        <v> </v>
      </c>
      <c r="E49" s="116" t="str">
        <f t="shared" si="2"/>
        <v/>
      </c>
      <c r="F49" s="116"/>
      <c r="G49" s="115">
        <f t="shared" si="8"/>
        <v>0</v>
      </c>
      <c r="H49" s="187">
        <f t="shared" si="9"/>
        <v>0</v>
      </c>
      <c r="I49" s="187">
        <f t="shared" si="10"/>
        <v>0</v>
      </c>
      <c r="J49" s="187">
        <f t="shared" si="3"/>
        <v>0</v>
      </c>
      <c r="K49" s="187" t="str">
        <f t="shared" si="17"/>
        <v> </v>
      </c>
      <c r="L49" s="142" t="str">
        <f t="shared" si="11"/>
        <v> </v>
      </c>
      <c r="M49" s="183">
        <f t="shared" si="4"/>
        <v>0</v>
      </c>
      <c r="N49" s="142"/>
      <c r="O49" s="142" t="str">
        <f t="shared" si="6"/>
        <v> </v>
      </c>
      <c r="P49" s="142" t="str">
        <f t="shared" si="12"/>
        <v> </v>
      </c>
      <c r="Q49" s="115">
        <f t="shared" si="13"/>
        <v>0</v>
      </c>
      <c r="R49" s="116" t="str">
        <f t="array" ref="R49">IF(D49=" ","",IF($G$13="Catorcenal",R48+14,XLOOKUP(D49,Calendario!G:G,Calendario!F:F)))</f>
        <v/>
      </c>
      <c r="S49" s="120"/>
      <c r="T49" s="149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</row>
    <row r="50" ht="18.0" customHeight="1">
      <c r="A50" s="114" t="str">
        <f t="shared" si="15"/>
        <v> </v>
      </c>
      <c r="B50" s="115" t="str">
        <f t="shared" si="1"/>
        <v/>
      </c>
      <c r="C50" s="116" t="str">
        <f t="array" ref="C50">IF($G$13="Catorcenal",C49+14,XLOOKUP(A50,Calendario!G:G,Calendario!F:F))</f>
        <v>#N/A</v>
      </c>
      <c r="D50" s="115" t="str">
        <f t="shared" si="7"/>
        <v> </v>
      </c>
      <c r="E50" s="116" t="str">
        <f t="shared" si="2"/>
        <v/>
      </c>
      <c r="F50" s="116"/>
      <c r="G50" s="115">
        <f t="shared" si="8"/>
        <v>0</v>
      </c>
      <c r="H50" s="187">
        <f t="shared" si="9"/>
        <v>0</v>
      </c>
      <c r="I50" s="187">
        <f t="shared" si="10"/>
        <v>0</v>
      </c>
      <c r="J50" s="187">
        <f t="shared" si="3"/>
        <v>0</v>
      </c>
      <c r="K50" s="187" t="str">
        <f t="shared" si="17"/>
        <v> </v>
      </c>
      <c r="L50" s="142" t="str">
        <f t="shared" si="11"/>
        <v> </v>
      </c>
      <c r="M50" s="183">
        <f t="shared" si="4"/>
        <v>0</v>
      </c>
      <c r="N50" s="142"/>
      <c r="O50" s="142" t="str">
        <f t="shared" si="6"/>
        <v> </v>
      </c>
      <c r="P50" s="142" t="str">
        <f t="shared" si="12"/>
        <v> </v>
      </c>
      <c r="Q50" s="115">
        <f t="shared" si="13"/>
        <v>0</v>
      </c>
      <c r="R50" s="116" t="str">
        <f t="array" ref="R50">IF(D50=" ","",IF($G$13="Catorcenal",R49+14,XLOOKUP(D50,Calendario!G:G,Calendario!F:F)))</f>
        <v/>
      </c>
      <c r="S50" s="120"/>
      <c r="T50" s="149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</row>
    <row r="51" ht="18.0" customHeight="1">
      <c r="A51" s="114" t="str">
        <f t="shared" si="15"/>
        <v> </v>
      </c>
      <c r="B51" s="115" t="str">
        <f t="shared" si="1"/>
        <v/>
      </c>
      <c r="C51" s="116" t="str">
        <f t="array" ref="C51">IF($G$13="Catorcenal",C50+14,XLOOKUP(A51,Calendario!G:G,Calendario!F:F))</f>
        <v>#N/A</v>
      </c>
      <c r="D51" s="115" t="str">
        <f t="shared" si="7"/>
        <v> </v>
      </c>
      <c r="E51" s="116" t="str">
        <f t="shared" si="2"/>
        <v/>
      </c>
      <c r="F51" s="116"/>
      <c r="G51" s="115">
        <f t="shared" si="8"/>
        <v>0</v>
      </c>
      <c r="H51" s="187">
        <f t="shared" si="9"/>
        <v>0</v>
      </c>
      <c r="I51" s="187">
        <f t="shared" si="10"/>
        <v>0</v>
      </c>
      <c r="J51" s="187">
        <f t="shared" si="3"/>
        <v>0</v>
      </c>
      <c r="K51" s="187" t="str">
        <f t="shared" si="17"/>
        <v> </v>
      </c>
      <c r="L51" s="142" t="str">
        <f t="shared" si="11"/>
        <v> </v>
      </c>
      <c r="M51" s="183">
        <f t="shared" si="4"/>
        <v>0</v>
      </c>
      <c r="N51" s="142"/>
      <c r="O51" s="142" t="str">
        <f t="shared" si="6"/>
        <v> </v>
      </c>
      <c r="P51" s="142" t="str">
        <f t="shared" si="12"/>
        <v> </v>
      </c>
      <c r="Q51" s="115">
        <f t="shared" si="13"/>
        <v>0</v>
      </c>
      <c r="R51" s="116" t="str">
        <f t="array" ref="R51">IF(D51=" ","",IF($G$13="Catorcenal",R50+14,XLOOKUP(D51,Calendario!G:G,Calendario!F:F)))</f>
        <v/>
      </c>
      <c r="S51" s="120"/>
      <c r="T51" s="149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</row>
    <row r="52" ht="18.0" customHeight="1">
      <c r="A52" s="114" t="str">
        <f t="shared" si="15"/>
        <v> </v>
      </c>
      <c r="B52" s="115" t="str">
        <f t="shared" si="1"/>
        <v/>
      </c>
      <c r="C52" s="116" t="str">
        <f t="array" ref="C52">IF($G$13="Catorcenal",C51+14,XLOOKUP(A52,Calendario!G:G,Calendario!F:F))</f>
        <v>#N/A</v>
      </c>
      <c r="D52" s="115" t="str">
        <f t="shared" si="7"/>
        <v> </v>
      </c>
      <c r="E52" s="116" t="str">
        <f t="shared" si="2"/>
        <v/>
      </c>
      <c r="F52" s="116"/>
      <c r="G52" s="115">
        <f t="shared" si="8"/>
        <v>0</v>
      </c>
      <c r="H52" s="187">
        <f t="shared" si="9"/>
        <v>0</v>
      </c>
      <c r="I52" s="187">
        <f t="shared" si="10"/>
        <v>0</v>
      </c>
      <c r="J52" s="187">
        <f t="shared" si="3"/>
        <v>0</v>
      </c>
      <c r="K52" s="187" t="str">
        <f t="shared" si="17"/>
        <v> </v>
      </c>
      <c r="L52" s="142" t="str">
        <f t="shared" si="11"/>
        <v> </v>
      </c>
      <c r="M52" s="183">
        <f t="shared" si="4"/>
        <v>0</v>
      </c>
      <c r="N52" s="142"/>
      <c r="O52" s="142" t="str">
        <f t="shared" si="6"/>
        <v> </v>
      </c>
      <c r="P52" s="142" t="str">
        <f t="shared" si="12"/>
        <v> </v>
      </c>
      <c r="Q52" s="115">
        <f t="shared" si="13"/>
        <v>0</v>
      </c>
      <c r="R52" s="116" t="str">
        <f t="array" ref="R52">IF(D52=" ","",IF($G$13="Catorcenal",R51+14,XLOOKUP(D52,Calendario!G:G,Calendario!F:F)))</f>
        <v/>
      </c>
      <c r="S52" s="120"/>
      <c r="T52" s="149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</row>
    <row r="53" ht="18.0" customHeight="1">
      <c r="A53" s="114" t="str">
        <f t="shared" si="15"/>
        <v> </v>
      </c>
      <c r="B53" s="115" t="str">
        <f t="shared" si="1"/>
        <v/>
      </c>
      <c r="C53" s="116" t="str">
        <f t="array" ref="C53">IF($G$13="Catorcenal",C52+14,XLOOKUP(A53,Calendario!G:G,Calendario!F:F))</f>
        <v>#N/A</v>
      </c>
      <c r="D53" s="115" t="str">
        <f t="shared" si="7"/>
        <v> </v>
      </c>
      <c r="E53" s="116" t="str">
        <f t="shared" si="2"/>
        <v/>
      </c>
      <c r="F53" s="116"/>
      <c r="G53" s="115">
        <f t="shared" si="8"/>
        <v>0</v>
      </c>
      <c r="H53" s="187">
        <f t="shared" si="9"/>
        <v>0</v>
      </c>
      <c r="I53" s="187">
        <f t="shared" si="10"/>
        <v>0</v>
      </c>
      <c r="J53" s="187">
        <f t="shared" si="3"/>
        <v>0</v>
      </c>
      <c r="K53" s="187" t="str">
        <f t="shared" si="17"/>
        <v> </v>
      </c>
      <c r="L53" s="142" t="str">
        <f t="shared" si="11"/>
        <v> </v>
      </c>
      <c r="M53" s="183">
        <f t="shared" si="4"/>
        <v>0</v>
      </c>
      <c r="N53" s="142"/>
      <c r="O53" s="142" t="str">
        <f t="shared" si="6"/>
        <v> </v>
      </c>
      <c r="P53" s="142" t="str">
        <f t="shared" si="12"/>
        <v> </v>
      </c>
      <c r="Q53" s="115">
        <f t="shared" si="13"/>
        <v>0</v>
      </c>
      <c r="R53" s="116" t="str">
        <f t="array" ref="R53">IF(D53=" ","",IF($G$13="Catorcenal",R52+14,XLOOKUP(D53,Calendario!G:G,Calendario!F:F)))</f>
        <v/>
      </c>
      <c r="S53" s="120"/>
      <c r="T53" s="149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</row>
    <row r="54" ht="18.0" customHeight="1">
      <c r="A54" s="114" t="str">
        <f t="shared" si="15"/>
        <v> </v>
      </c>
      <c r="B54" s="115" t="str">
        <f t="shared" si="1"/>
        <v/>
      </c>
      <c r="C54" s="116" t="str">
        <f t="array" ref="C54">IF($G$13="Catorcenal",C53+14,XLOOKUP(A54,Calendario!G:G,Calendario!F:F))</f>
        <v>#N/A</v>
      </c>
      <c r="D54" s="115" t="str">
        <f t="shared" si="7"/>
        <v> </v>
      </c>
      <c r="E54" s="116" t="str">
        <f t="shared" si="2"/>
        <v/>
      </c>
      <c r="F54" s="116"/>
      <c r="G54" s="115">
        <f t="shared" si="8"/>
        <v>0</v>
      </c>
      <c r="H54" s="187">
        <f t="shared" si="9"/>
        <v>0</v>
      </c>
      <c r="I54" s="187">
        <f t="shared" si="10"/>
        <v>0</v>
      </c>
      <c r="J54" s="187">
        <f t="shared" si="3"/>
        <v>0</v>
      </c>
      <c r="K54" s="187" t="str">
        <f t="shared" si="17"/>
        <v> </v>
      </c>
      <c r="L54" s="142" t="str">
        <f t="shared" si="11"/>
        <v> </v>
      </c>
      <c r="M54" s="183">
        <f t="shared" si="4"/>
        <v>0</v>
      </c>
      <c r="N54" s="142"/>
      <c r="O54" s="142" t="str">
        <f t="shared" si="6"/>
        <v> </v>
      </c>
      <c r="P54" s="142" t="str">
        <f t="shared" si="12"/>
        <v> </v>
      </c>
      <c r="Q54" s="115">
        <f t="shared" si="13"/>
        <v>0</v>
      </c>
      <c r="R54" s="116" t="str">
        <f t="array" ref="R54">IF(D54=" ","",IF($G$13="Catorcenal",R53+14,XLOOKUP(D54,Calendario!G:G,Calendario!F:F)))</f>
        <v/>
      </c>
      <c r="S54" s="120"/>
      <c r="T54" s="149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</row>
    <row r="55" ht="18.0" customHeight="1">
      <c r="A55" s="114" t="str">
        <f t="shared" si="15"/>
        <v> </v>
      </c>
      <c r="B55" s="115" t="str">
        <f t="shared" si="1"/>
        <v/>
      </c>
      <c r="C55" s="116" t="str">
        <f t="array" ref="C55">IF($G$13="Catorcenal",C54+14,XLOOKUP(A55,Calendario!G:G,Calendario!F:F))</f>
        <v>#N/A</v>
      </c>
      <c r="D55" s="115" t="str">
        <f t="shared" si="7"/>
        <v> </v>
      </c>
      <c r="E55" s="116" t="str">
        <f t="shared" si="2"/>
        <v/>
      </c>
      <c r="F55" s="116"/>
      <c r="G55" s="115">
        <f t="shared" si="8"/>
        <v>0</v>
      </c>
      <c r="H55" s="187">
        <f t="shared" si="9"/>
        <v>0</v>
      </c>
      <c r="I55" s="187">
        <f t="shared" si="10"/>
        <v>0</v>
      </c>
      <c r="J55" s="187">
        <f t="shared" si="3"/>
        <v>0</v>
      </c>
      <c r="K55" s="187" t="str">
        <f t="shared" si="17"/>
        <v> </v>
      </c>
      <c r="L55" s="142" t="str">
        <f t="shared" si="11"/>
        <v> </v>
      </c>
      <c r="M55" s="183">
        <f t="shared" si="4"/>
        <v>0</v>
      </c>
      <c r="N55" s="142"/>
      <c r="O55" s="142" t="str">
        <f t="shared" si="6"/>
        <v> </v>
      </c>
      <c r="P55" s="142" t="str">
        <f t="shared" si="12"/>
        <v> </v>
      </c>
      <c r="Q55" s="115">
        <f t="shared" si="13"/>
        <v>0</v>
      </c>
      <c r="R55" s="116" t="str">
        <f t="array" ref="R55">IF(D55=" ","",IF($G$13="Catorcenal",R54+14,XLOOKUP(D55,Calendario!G:G,Calendario!F:F)))</f>
        <v/>
      </c>
      <c r="S55" s="120"/>
      <c r="T55" s="149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</row>
    <row r="56" ht="18.0" customHeight="1">
      <c r="A56" s="114" t="str">
        <f t="shared" si="15"/>
        <v> </v>
      </c>
      <c r="B56" s="115" t="str">
        <f t="shared" si="1"/>
        <v/>
      </c>
      <c r="C56" s="116" t="str">
        <f t="array" ref="C56">IF($G$13="Catorcenal",C55+14,XLOOKUP(A56,Calendario!G:G,Calendario!F:F))</f>
        <v>#N/A</v>
      </c>
      <c r="D56" s="115" t="str">
        <f t="shared" si="7"/>
        <v> </v>
      </c>
      <c r="E56" s="116" t="str">
        <f t="shared" si="2"/>
        <v/>
      </c>
      <c r="F56" s="116"/>
      <c r="G56" s="115">
        <f t="shared" si="8"/>
        <v>0</v>
      </c>
      <c r="H56" s="187">
        <f t="shared" si="9"/>
        <v>0</v>
      </c>
      <c r="I56" s="187">
        <f t="shared" si="10"/>
        <v>0</v>
      </c>
      <c r="J56" s="187">
        <f t="shared" si="3"/>
        <v>0</v>
      </c>
      <c r="K56" s="187" t="str">
        <f t="shared" si="17"/>
        <v> </v>
      </c>
      <c r="L56" s="142" t="str">
        <f t="shared" si="11"/>
        <v> </v>
      </c>
      <c r="M56" s="183">
        <f t="shared" si="4"/>
        <v>0</v>
      </c>
      <c r="N56" s="142"/>
      <c r="O56" s="142" t="str">
        <f t="shared" si="6"/>
        <v> </v>
      </c>
      <c r="P56" s="142" t="str">
        <f t="shared" si="12"/>
        <v> </v>
      </c>
      <c r="Q56" s="115">
        <f t="shared" si="13"/>
        <v>0</v>
      </c>
      <c r="R56" s="116" t="str">
        <f t="array" ref="R56">IF(D56=" ","",IF($G$13="Catorcenal",R55+14,XLOOKUP(D56,Calendario!G:G,Calendario!F:F)))</f>
        <v/>
      </c>
      <c r="S56" s="120"/>
      <c r="T56" s="149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</row>
    <row r="57" ht="18.0" customHeight="1">
      <c r="A57" s="114" t="str">
        <f t="shared" si="15"/>
        <v> </v>
      </c>
      <c r="B57" s="115" t="str">
        <f t="shared" si="1"/>
        <v/>
      </c>
      <c r="C57" s="116" t="str">
        <f t="array" ref="C57">IF($G$13="Catorcenal",C56+14,XLOOKUP(A57,Calendario!G:G,Calendario!F:F))</f>
        <v>#N/A</v>
      </c>
      <c r="D57" s="115" t="str">
        <f t="shared" si="7"/>
        <v> </v>
      </c>
      <c r="E57" s="116" t="str">
        <f t="shared" si="2"/>
        <v/>
      </c>
      <c r="F57" s="116"/>
      <c r="G57" s="115">
        <f t="shared" si="8"/>
        <v>0</v>
      </c>
      <c r="H57" s="187">
        <f t="shared" si="9"/>
        <v>0</v>
      </c>
      <c r="I57" s="187">
        <f t="shared" si="10"/>
        <v>0</v>
      </c>
      <c r="J57" s="187">
        <f t="shared" si="3"/>
        <v>0</v>
      </c>
      <c r="K57" s="187" t="str">
        <f t="shared" si="17"/>
        <v> </v>
      </c>
      <c r="L57" s="142" t="str">
        <f t="shared" si="11"/>
        <v> </v>
      </c>
      <c r="M57" s="183">
        <f t="shared" si="4"/>
        <v>0</v>
      </c>
      <c r="N57" s="142"/>
      <c r="O57" s="142" t="str">
        <f t="shared" si="6"/>
        <v> </v>
      </c>
      <c r="P57" s="142" t="str">
        <f t="shared" si="12"/>
        <v> </v>
      </c>
      <c r="Q57" s="115">
        <f t="shared" si="13"/>
        <v>0</v>
      </c>
      <c r="R57" s="116" t="str">
        <f t="array" ref="R57">IF(D57=" ","",IF($G$13="Catorcenal",R56+14,XLOOKUP(D57,Calendario!G:G,Calendario!F:F)))</f>
        <v/>
      </c>
      <c r="S57" s="120"/>
      <c r="T57" s="149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</row>
    <row r="58" ht="18.0" customHeight="1">
      <c r="A58" s="114" t="str">
        <f t="shared" si="15"/>
        <v> </v>
      </c>
      <c r="B58" s="115" t="str">
        <f t="shared" si="1"/>
        <v/>
      </c>
      <c r="C58" s="116" t="str">
        <f t="array" ref="C58">IF($G$13="Catorcenal",C57+14,XLOOKUP(A58,Calendario!G:G,Calendario!F:F))</f>
        <v>#N/A</v>
      </c>
      <c r="D58" s="115" t="str">
        <f t="shared" si="7"/>
        <v> </v>
      </c>
      <c r="E58" s="116" t="str">
        <f t="shared" si="2"/>
        <v/>
      </c>
      <c r="F58" s="116"/>
      <c r="G58" s="115">
        <f t="shared" si="8"/>
        <v>0</v>
      </c>
      <c r="H58" s="187">
        <f t="shared" si="9"/>
        <v>0</v>
      </c>
      <c r="I58" s="187">
        <f t="shared" si="10"/>
        <v>0</v>
      </c>
      <c r="J58" s="187">
        <f t="shared" si="3"/>
        <v>0</v>
      </c>
      <c r="K58" s="187" t="str">
        <f t="shared" si="17"/>
        <v> </v>
      </c>
      <c r="L58" s="142" t="str">
        <f t="shared" si="11"/>
        <v> </v>
      </c>
      <c r="M58" s="183">
        <f t="shared" si="4"/>
        <v>0</v>
      </c>
      <c r="N58" s="142"/>
      <c r="O58" s="142" t="str">
        <f t="shared" si="6"/>
        <v> </v>
      </c>
      <c r="P58" s="142" t="str">
        <f t="shared" si="12"/>
        <v> </v>
      </c>
      <c r="Q58" s="115">
        <f t="shared" si="13"/>
        <v>0</v>
      </c>
      <c r="R58" s="116" t="str">
        <f t="array" ref="R58">IF(D58=" ","",IF($G$13="Catorcenal",R57+14,XLOOKUP(D58,Calendario!G:G,Calendario!F:F)))</f>
        <v/>
      </c>
      <c r="S58" s="120"/>
      <c r="T58" s="149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</row>
    <row r="59" ht="18.0" customHeight="1">
      <c r="A59" s="114" t="str">
        <f t="shared" si="15"/>
        <v> </v>
      </c>
      <c r="B59" s="115" t="str">
        <f t="shared" si="1"/>
        <v/>
      </c>
      <c r="C59" s="116" t="str">
        <f t="array" ref="C59">IF($G$13="Catorcenal",C58+14,XLOOKUP(A59,Calendario!G:G,Calendario!F:F))</f>
        <v>#N/A</v>
      </c>
      <c r="D59" s="115" t="str">
        <f t="shared" si="7"/>
        <v> </v>
      </c>
      <c r="E59" s="116" t="str">
        <f t="shared" si="2"/>
        <v/>
      </c>
      <c r="F59" s="116"/>
      <c r="G59" s="115">
        <f t="shared" si="8"/>
        <v>0</v>
      </c>
      <c r="H59" s="187">
        <f t="shared" si="9"/>
        <v>0</v>
      </c>
      <c r="I59" s="187">
        <f t="shared" si="10"/>
        <v>0</v>
      </c>
      <c r="J59" s="187">
        <f t="shared" si="3"/>
        <v>0</v>
      </c>
      <c r="K59" s="187" t="str">
        <f t="shared" si="17"/>
        <v> </v>
      </c>
      <c r="L59" s="142" t="str">
        <f t="shared" si="11"/>
        <v> </v>
      </c>
      <c r="M59" s="183">
        <f t="shared" si="4"/>
        <v>0</v>
      </c>
      <c r="N59" s="142"/>
      <c r="O59" s="142" t="str">
        <f t="shared" si="6"/>
        <v> </v>
      </c>
      <c r="P59" s="142" t="str">
        <f t="shared" si="12"/>
        <v> </v>
      </c>
      <c r="Q59" s="115">
        <f t="shared" si="13"/>
        <v>0</v>
      </c>
      <c r="R59" s="116" t="str">
        <f t="array" ref="R59">IF(D59=" ","",IF($G$13="Catorcenal",R58+14,XLOOKUP(D59,Calendario!G:G,Calendario!F:F)))</f>
        <v/>
      </c>
      <c r="S59" s="120"/>
      <c r="T59" s="149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</row>
    <row r="60" ht="18.0" customHeight="1">
      <c r="A60" s="114" t="str">
        <f t="shared" si="15"/>
        <v> </v>
      </c>
      <c r="B60" s="115" t="str">
        <f t="shared" si="1"/>
        <v/>
      </c>
      <c r="C60" s="116" t="str">
        <f t="array" ref="C60">IF($G$13="Catorcenal",C59+14,XLOOKUP(A60,Calendario!G:G,Calendario!F:F))</f>
        <v>#N/A</v>
      </c>
      <c r="D60" s="115" t="str">
        <f t="shared" si="7"/>
        <v> </v>
      </c>
      <c r="E60" s="116" t="str">
        <f t="shared" si="2"/>
        <v/>
      </c>
      <c r="F60" s="116"/>
      <c r="G60" s="115">
        <f t="shared" si="8"/>
        <v>0</v>
      </c>
      <c r="H60" s="187">
        <f t="shared" si="9"/>
        <v>0</v>
      </c>
      <c r="I60" s="187">
        <f t="shared" si="10"/>
        <v>0</v>
      </c>
      <c r="J60" s="187">
        <f t="shared" si="3"/>
        <v>0</v>
      </c>
      <c r="K60" s="187" t="str">
        <f t="shared" si="17"/>
        <v> </v>
      </c>
      <c r="L60" s="142" t="str">
        <f t="shared" si="11"/>
        <v> </v>
      </c>
      <c r="M60" s="183">
        <f t="shared" si="4"/>
        <v>0</v>
      </c>
      <c r="N60" s="142"/>
      <c r="O60" s="142" t="str">
        <f t="shared" si="6"/>
        <v> </v>
      </c>
      <c r="P60" s="142" t="str">
        <f t="shared" si="12"/>
        <v> </v>
      </c>
      <c r="Q60" s="115">
        <f t="shared" si="13"/>
        <v>0</v>
      </c>
      <c r="R60" s="116" t="str">
        <f t="array" ref="R60">IF(D60=" ","",IF($G$13="Catorcenal",R59+14,XLOOKUP(D60,Calendario!G:G,Calendario!F:F)))</f>
        <v/>
      </c>
      <c r="S60" s="120"/>
      <c r="T60" s="149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</row>
    <row r="61" ht="18.0" customHeight="1">
      <c r="A61" s="114" t="str">
        <f t="shared" si="15"/>
        <v> </v>
      </c>
      <c r="B61" s="115" t="str">
        <f t="shared" si="1"/>
        <v/>
      </c>
      <c r="C61" s="116" t="str">
        <f t="array" ref="C61">IF($G$13="Catorcenal",C60+14,XLOOKUP(A61,Calendario!G:G,Calendario!F:F))</f>
        <v>#N/A</v>
      </c>
      <c r="D61" s="115" t="str">
        <f t="shared" si="7"/>
        <v> </v>
      </c>
      <c r="E61" s="116" t="str">
        <f t="shared" si="2"/>
        <v/>
      </c>
      <c r="F61" s="116"/>
      <c r="G61" s="115">
        <f t="shared" si="8"/>
        <v>0</v>
      </c>
      <c r="H61" s="187">
        <f t="shared" si="9"/>
        <v>0</v>
      </c>
      <c r="I61" s="187">
        <f t="shared" si="10"/>
        <v>0</v>
      </c>
      <c r="J61" s="187">
        <f t="shared" si="3"/>
        <v>0</v>
      </c>
      <c r="K61" s="187" t="str">
        <f t="shared" si="17"/>
        <v> </v>
      </c>
      <c r="L61" s="142" t="str">
        <f t="shared" si="11"/>
        <v> </v>
      </c>
      <c r="M61" s="183">
        <f t="shared" si="4"/>
        <v>0</v>
      </c>
      <c r="N61" s="142"/>
      <c r="O61" s="142" t="str">
        <f t="shared" si="6"/>
        <v> </v>
      </c>
      <c r="P61" s="142" t="str">
        <f t="shared" si="12"/>
        <v> </v>
      </c>
      <c r="Q61" s="115">
        <f t="shared" si="13"/>
        <v>0</v>
      </c>
      <c r="R61" s="116" t="str">
        <f t="array" ref="R61">IF(D61=" ","",IF($G$13="Catorcenal",R60+14,XLOOKUP(D61,Calendario!G:G,Calendario!F:F)))</f>
        <v/>
      </c>
      <c r="S61" s="120"/>
      <c r="T61" s="149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</row>
    <row r="62" ht="18.0" customHeight="1">
      <c r="A62" s="114" t="str">
        <f t="shared" si="15"/>
        <v> </v>
      </c>
      <c r="B62" s="115" t="str">
        <f t="shared" si="1"/>
        <v/>
      </c>
      <c r="C62" s="116" t="str">
        <f t="array" ref="C62">IF($G$13="Catorcenal",C61+14,XLOOKUP(A62,Calendario!G:G,Calendario!F:F))</f>
        <v>#N/A</v>
      </c>
      <c r="D62" s="115" t="str">
        <f t="shared" si="7"/>
        <v> </v>
      </c>
      <c r="E62" s="116" t="str">
        <f t="shared" si="2"/>
        <v/>
      </c>
      <c r="F62" s="116"/>
      <c r="G62" s="115">
        <f t="shared" si="8"/>
        <v>0</v>
      </c>
      <c r="H62" s="187">
        <f t="shared" si="9"/>
        <v>0</v>
      </c>
      <c r="I62" s="187">
        <f t="shared" si="10"/>
        <v>0</v>
      </c>
      <c r="J62" s="187">
        <f t="shared" si="3"/>
        <v>0</v>
      </c>
      <c r="K62" s="187" t="str">
        <f t="shared" si="17"/>
        <v> </v>
      </c>
      <c r="L62" s="142" t="str">
        <f t="shared" si="11"/>
        <v> </v>
      </c>
      <c r="M62" s="183">
        <f t="shared" si="4"/>
        <v>0</v>
      </c>
      <c r="N62" s="142"/>
      <c r="O62" s="142" t="str">
        <f t="shared" si="6"/>
        <v> </v>
      </c>
      <c r="P62" s="142" t="str">
        <f t="shared" si="12"/>
        <v> </v>
      </c>
      <c r="Q62" s="115">
        <f t="shared" si="13"/>
        <v>0</v>
      </c>
      <c r="R62" s="116" t="str">
        <f t="array" ref="R62">IF(D62=" ","",IF($G$13="Catorcenal",R61+14,XLOOKUP(D62,Calendario!G:G,Calendario!F:F)))</f>
        <v/>
      </c>
      <c r="S62" s="120"/>
      <c r="T62" s="149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</row>
    <row r="63" ht="18.0" customHeight="1">
      <c r="A63" s="114" t="str">
        <f t="shared" si="15"/>
        <v> </v>
      </c>
      <c r="B63" s="115" t="str">
        <f t="shared" si="1"/>
        <v/>
      </c>
      <c r="C63" s="116" t="str">
        <f t="array" ref="C63">IF($G$13="Catorcenal",C62+14,XLOOKUP(A63,Calendario!G:G,Calendario!F:F))</f>
        <v>#N/A</v>
      </c>
      <c r="D63" s="115" t="str">
        <f t="shared" si="7"/>
        <v> </v>
      </c>
      <c r="E63" s="116" t="str">
        <f t="shared" si="2"/>
        <v/>
      </c>
      <c r="F63" s="116"/>
      <c r="G63" s="115">
        <f t="shared" si="8"/>
        <v>0</v>
      </c>
      <c r="H63" s="187">
        <f t="shared" si="9"/>
        <v>0</v>
      </c>
      <c r="I63" s="187">
        <f t="shared" si="10"/>
        <v>0</v>
      </c>
      <c r="J63" s="187">
        <f t="shared" si="3"/>
        <v>0</v>
      </c>
      <c r="K63" s="187" t="str">
        <f t="shared" si="17"/>
        <v> </v>
      </c>
      <c r="L63" s="142" t="str">
        <f t="shared" si="11"/>
        <v> </v>
      </c>
      <c r="M63" s="183">
        <f t="shared" si="4"/>
        <v>0</v>
      </c>
      <c r="N63" s="142"/>
      <c r="O63" s="142" t="str">
        <f t="shared" si="6"/>
        <v> </v>
      </c>
      <c r="P63" s="142" t="str">
        <f t="shared" si="12"/>
        <v> </v>
      </c>
      <c r="Q63" s="115">
        <f t="shared" si="13"/>
        <v>0</v>
      </c>
      <c r="R63" s="116" t="str">
        <f t="array" ref="R63">IF(D63=" ","",IF($G$13="Catorcenal",R62+14,XLOOKUP(D63,Calendario!G:G,Calendario!F:F)))</f>
        <v/>
      </c>
      <c r="S63" s="120"/>
      <c r="T63" s="149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</row>
    <row r="64" ht="18.0" customHeight="1">
      <c r="A64" s="114" t="str">
        <f t="shared" si="15"/>
        <v> </v>
      </c>
      <c r="B64" s="115" t="str">
        <f t="shared" si="1"/>
        <v/>
      </c>
      <c r="C64" s="116" t="str">
        <f t="array" ref="C64">IF($G$13="Catorcenal",C63+14,XLOOKUP(A64,Calendario!G:G,Calendario!F:F))</f>
        <v>#N/A</v>
      </c>
      <c r="D64" s="115" t="str">
        <f t="shared" si="7"/>
        <v> </v>
      </c>
      <c r="E64" s="116" t="str">
        <f t="shared" si="2"/>
        <v/>
      </c>
      <c r="F64" s="116"/>
      <c r="G64" s="115">
        <f t="shared" si="8"/>
        <v>0</v>
      </c>
      <c r="H64" s="187">
        <f t="shared" si="9"/>
        <v>0</v>
      </c>
      <c r="I64" s="187">
        <f t="shared" si="10"/>
        <v>0</v>
      </c>
      <c r="J64" s="187">
        <f t="shared" si="3"/>
        <v>0</v>
      </c>
      <c r="K64" s="187" t="str">
        <f t="shared" si="17"/>
        <v> </v>
      </c>
      <c r="L64" s="142" t="str">
        <f t="shared" si="11"/>
        <v> </v>
      </c>
      <c r="M64" s="183">
        <f t="shared" si="4"/>
        <v>0</v>
      </c>
      <c r="N64" s="142"/>
      <c r="O64" s="142" t="str">
        <f t="shared" si="6"/>
        <v> </v>
      </c>
      <c r="P64" s="142" t="str">
        <f t="shared" si="12"/>
        <v> </v>
      </c>
      <c r="Q64" s="115">
        <f t="shared" si="13"/>
        <v>0</v>
      </c>
      <c r="R64" s="116" t="str">
        <f t="array" ref="R64">IF(D64=" ","",IF($G$13="Catorcenal",R63+14,XLOOKUP(D64,Calendario!G:G,Calendario!F:F)))</f>
        <v/>
      </c>
      <c r="S64" s="120"/>
      <c r="T64" s="149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</row>
    <row r="65" ht="18.0" customHeight="1">
      <c r="A65" s="114" t="str">
        <f t="shared" si="15"/>
        <v> </v>
      </c>
      <c r="B65" s="115" t="str">
        <f t="shared" si="1"/>
        <v/>
      </c>
      <c r="C65" s="116" t="str">
        <f t="array" ref="C65">IF($G$13="Catorcenal",C64+14,XLOOKUP(A65,Calendario!G:G,Calendario!F:F))</f>
        <v>#N/A</v>
      </c>
      <c r="D65" s="115" t="str">
        <f t="shared" si="7"/>
        <v> </v>
      </c>
      <c r="E65" s="116" t="str">
        <f t="shared" si="2"/>
        <v/>
      </c>
      <c r="F65" s="116"/>
      <c r="G65" s="115">
        <f t="shared" si="8"/>
        <v>0</v>
      </c>
      <c r="H65" s="187">
        <f t="shared" si="9"/>
        <v>0</v>
      </c>
      <c r="I65" s="187">
        <f t="shared" si="10"/>
        <v>0</v>
      </c>
      <c r="J65" s="187">
        <f t="shared" si="3"/>
        <v>0</v>
      </c>
      <c r="K65" s="187" t="str">
        <f t="shared" si="17"/>
        <v> </v>
      </c>
      <c r="L65" s="142" t="str">
        <f t="shared" si="11"/>
        <v> </v>
      </c>
      <c r="M65" s="183">
        <f t="shared" si="4"/>
        <v>0</v>
      </c>
      <c r="N65" s="142"/>
      <c r="O65" s="142" t="str">
        <f t="shared" si="6"/>
        <v> </v>
      </c>
      <c r="P65" s="142" t="str">
        <f t="shared" si="12"/>
        <v> </v>
      </c>
      <c r="Q65" s="115">
        <f t="shared" si="13"/>
        <v>0</v>
      </c>
      <c r="R65" s="116" t="str">
        <f t="array" ref="R65">IF(D65=" ","",IF($G$13="Catorcenal",R64+14,XLOOKUP(D65,Calendario!G:G,Calendario!F:F)))</f>
        <v/>
      </c>
      <c r="S65" s="120"/>
      <c r="T65" s="149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</row>
    <row r="66" ht="18.0" customHeight="1">
      <c r="A66" s="114" t="str">
        <f t="shared" si="15"/>
        <v> </v>
      </c>
      <c r="B66" s="115" t="str">
        <f t="shared" si="1"/>
        <v/>
      </c>
      <c r="C66" s="116" t="str">
        <f t="array" ref="C66">IF($G$13="Catorcenal",C65+14,XLOOKUP(A66,Calendario!G:G,Calendario!F:F))</f>
        <v>#N/A</v>
      </c>
      <c r="D66" s="115" t="str">
        <f t="shared" si="7"/>
        <v> </v>
      </c>
      <c r="E66" s="116" t="str">
        <f t="shared" si="2"/>
        <v/>
      </c>
      <c r="F66" s="116"/>
      <c r="G66" s="115">
        <f t="shared" si="8"/>
        <v>0</v>
      </c>
      <c r="H66" s="187">
        <f t="shared" si="9"/>
        <v>0</v>
      </c>
      <c r="I66" s="187">
        <f t="shared" si="10"/>
        <v>0</v>
      </c>
      <c r="J66" s="187">
        <f t="shared" si="3"/>
        <v>0</v>
      </c>
      <c r="K66" s="187" t="str">
        <f t="shared" si="17"/>
        <v> </v>
      </c>
      <c r="L66" s="142" t="str">
        <f t="shared" si="11"/>
        <v> </v>
      </c>
      <c r="M66" s="183">
        <f t="shared" si="4"/>
        <v>0</v>
      </c>
      <c r="N66" s="142"/>
      <c r="O66" s="142" t="str">
        <f t="shared" si="6"/>
        <v> </v>
      </c>
      <c r="P66" s="142" t="str">
        <f t="shared" si="12"/>
        <v> </v>
      </c>
      <c r="Q66" s="115">
        <f t="shared" si="13"/>
        <v>0</v>
      </c>
      <c r="R66" s="116" t="str">
        <f t="array" ref="R66">IF(D66=" ","",IF($G$13="Catorcenal",R65+14,XLOOKUP(D66,Calendario!G:G,Calendario!F:F)))</f>
        <v/>
      </c>
      <c r="S66" s="120"/>
      <c r="T66" s="149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</row>
    <row r="67" ht="18.0" customHeight="1">
      <c r="A67" s="114"/>
      <c r="B67" s="115" t="str">
        <f t="shared" si="1"/>
        <v/>
      </c>
      <c r="C67" s="116" t="str">
        <f t="array" ref="C67">IF($G$13="Catorcenal",C66+14,XLOOKUP(A67,Calendario!G:G,Calendario!F:F))</f>
        <v>#N/A</v>
      </c>
      <c r="D67" s="115" t="str">
        <f t="shared" si="7"/>
        <v> </v>
      </c>
      <c r="E67" s="116" t="str">
        <f t="shared" si="2"/>
        <v/>
      </c>
      <c r="F67" s="116"/>
      <c r="G67" s="115">
        <f t="shared" si="8"/>
        <v>0</v>
      </c>
      <c r="H67" s="187">
        <f t="shared" si="9"/>
        <v>0</v>
      </c>
      <c r="I67" s="187">
        <f t="shared" si="10"/>
        <v>0</v>
      </c>
      <c r="J67" s="187">
        <f t="shared" si="3"/>
        <v>0</v>
      </c>
      <c r="K67" s="187" t="str">
        <f t="shared" si="17"/>
        <v> </v>
      </c>
      <c r="L67" s="142" t="str">
        <f t="shared" si="11"/>
        <v> </v>
      </c>
      <c r="M67" s="183">
        <f t="shared" si="4"/>
        <v>0</v>
      </c>
      <c r="N67" s="142"/>
      <c r="O67" s="142" t="str">
        <f t="shared" si="6"/>
        <v> </v>
      </c>
      <c r="P67" s="142" t="str">
        <f t="shared" si="12"/>
        <v> </v>
      </c>
      <c r="Q67" s="115">
        <f t="shared" si="13"/>
        <v>0</v>
      </c>
      <c r="R67" s="116" t="str">
        <f t="array" ref="R67">IF(D67=" ","",IF($G$13="Catorcenal",R66+14,XLOOKUP(D67,Calendario!G:G,Calendario!F:F)))</f>
        <v/>
      </c>
      <c r="S67" s="120"/>
      <c r="T67" s="149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</row>
    <row r="68" ht="18.0" customHeight="1">
      <c r="A68" s="114"/>
      <c r="B68" s="115" t="str">
        <f t="shared" si="1"/>
        <v/>
      </c>
      <c r="C68" s="116" t="str">
        <f t="array" ref="C68">IF($G$13="Catorcenal",C67+14,XLOOKUP(A68,Calendario!G:G,Calendario!F:F))</f>
        <v>#N/A</v>
      </c>
      <c r="D68" s="115" t="str">
        <f t="shared" si="7"/>
        <v> </v>
      </c>
      <c r="E68" s="116" t="str">
        <f t="shared" si="2"/>
        <v/>
      </c>
      <c r="F68" s="116"/>
      <c r="G68" s="115">
        <f t="shared" si="8"/>
        <v>0</v>
      </c>
      <c r="H68" s="187">
        <f t="shared" si="9"/>
        <v>0</v>
      </c>
      <c r="I68" s="187">
        <f t="shared" si="10"/>
        <v>0</v>
      </c>
      <c r="J68" s="187">
        <f t="shared" si="3"/>
        <v>0</v>
      </c>
      <c r="K68" s="187" t="str">
        <f t="shared" si="17"/>
        <v> </v>
      </c>
      <c r="L68" s="142" t="str">
        <f t="shared" si="11"/>
        <v> </v>
      </c>
      <c r="M68" s="183">
        <f t="shared" si="4"/>
        <v>0</v>
      </c>
      <c r="N68" s="142"/>
      <c r="O68" s="142" t="str">
        <f t="shared" si="6"/>
        <v> </v>
      </c>
      <c r="P68" s="142" t="str">
        <f t="shared" si="12"/>
        <v> </v>
      </c>
      <c r="Q68" s="115">
        <f t="shared" si="13"/>
        <v>0</v>
      </c>
      <c r="R68" s="116" t="str">
        <f t="array" ref="R68">IF(D68=" ","",IF($G$13="Catorcenal",R67+14,XLOOKUP(D68,Calendario!G:G,Calendario!F:F)))</f>
        <v/>
      </c>
      <c r="S68" s="120"/>
      <c r="T68" s="149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</row>
    <row r="69" ht="18.0" customHeight="1">
      <c r="A69" s="114"/>
      <c r="B69" s="115"/>
      <c r="C69" s="116"/>
      <c r="D69" s="115" t="str">
        <f t="shared" si="7"/>
        <v> </v>
      </c>
      <c r="E69" s="116"/>
      <c r="F69" s="116"/>
      <c r="G69" s="115">
        <f t="shared" si="8"/>
        <v>0</v>
      </c>
      <c r="H69" s="187">
        <f t="shared" si="9"/>
        <v>0</v>
      </c>
      <c r="I69" s="187">
        <f t="shared" si="10"/>
        <v>0</v>
      </c>
      <c r="J69" s="187">
        <f t="shared" si="3"/>
        <v>0</v>
      </c>
      <c r="K69" s="187" t="str">
        <f t="shared" si="17"/>
        <v> </v>
      </c>
      <c r="L69" s="142" t="str">
        <f t="shared" si="11"/>
        <v> </v>
      </c>
      <c r="M69" s="183">
        <f t="shared" si="4"/>
        <v>0</v>
      </c>
      <c r="N69" s="142"/>
      <c r="O69" s="142"/>
      <c r="P69" s="142" t="str">
        <f t="shared" si="12"/>
        <v> </v>
      </c>
      <c r="Q69" s="115"/>
      <c r="R69" s="116"/>
      <c r="S69" s="120"/>
      <c r="T69" s="149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</row>
    <row r="70" ht="18.0" customHeight="1">
      <c r="A70" s="114"/>
      <c r="B70" s="115"/>
      <c r="C70" s="115"/>
      <c r="D70" s="115" t="str">
        <f t="shared" si="7"/>
        <v> </v>
      </c>
      <c r="E70" s="116"/>
      <c r="F70" s="116"/>
      <c r="G70" s="115">
        <f t="shared" si="8"/>
        <v>0</v>
      </c>
      <c r="H70" s="187">
        <f t="shared" si="9"/>
        <v>0</v>
      </c>
      <c r="I70" s="187">
        <f t="shared" si="10"/>
        <v>0</v>
      </c>
      <c r="J70" s="187">
        <f t="shared" si="3"/>
        <v>0</v>
      </c>
      <c r="K70" s="187" t="str">
        <f t="shared" si="17"/>
        <v> </v>
      </c>
      <c r="L70" s="142" t="str">
        <f t="shared" si="11"/>
        <v> </v>
      </c>
      <c r="M70" s="183">
        <f t="shared" si="4"/>
        <v>0</v>
      </c>
      <c r="N70" s="142"/>
      <c r="O70" s="115"/>
      <c r="P70" s="142" t="str">
        <f t="shared" si="12"/>
        <v> </v>
      </c>
      <c r="Q70" s="115"/>
      <c r="R70" s="116" t="str">
        <f t="array" ref="R70">IF(D70=" ","",IF($G$13="Catorcenal",R66+14,XLOOKUP(D70,Calendario!G:G,Calendario!F:F)))</f>
        <v/>
      </c>
      <c r="S70" s="120"/>
      <c r="T70" s="149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</row>
    <row r="71" ht="18.0" customHeight="1">
      <c r="A71" s="114"/>
      <c r="B71" s="115"/>
      <c r="C71" s="115"/>
      <c r="D71" s="115"/>
      <c r="E71" s="116"/>
      <c r="F71" s="116"/>
      <c r="G71" s="115"/>
      <c r="H71" s="187"/>
      <c r="I71" s="187"/>
      <c r="J71" s="187"/>
      <c r="K71" s="187"/>
      <c r="L71" s="189"/>
      <c r="M71" s="183"/>
      <c r="N71" s="142"/>
      <c r="O71" s="115"/>
      <c r="P71" s="115"/>
      <c r="Q71" s="115"/>
      <c r="R71" s="115"/>
      <c r="S71" s="120"/>
      <c r="T71" s="149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</row>
    <row r="72" ht="36.0" customHeight="1">
      <c r="A72" s="115"/>
      <c r="C72" s="115"/>
      <c r="D72" s="190" t="s">
        <v>129</v>
      </c>
      <c r="E72" s="191" t="s">
        <v>130</v>
      </c>
      <c r="H72" s="192" t="s">
        <v>131</v>
      </c>
      <c r="I72" s="192" t="s">
        <v>132</v>
      </c>
      <c r="J72" s="192" t="s">
        <v>133</v>
      </c>
      <c r="K72" s="193" t="s">
        <v>134</v>
      </c>
      <c r="L72" s="193"/>
      <c r="M72" s="194"/>
      <c r="N72" s="195"/>
      <c r="O72" s="115"/>
      <c r="P72" s="115"/>
      <c r="Q72" s="115"/>
      <c r="R72" s="115"/>
      <c r="S72" s="120"/>
      <c r="T72" s="149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</row>
    <row r="73" ht="18.0" customHeight="1">
      <c r="A73" s="114"/>
      <c r="B73" s="115"/>
      <c r="C73" s="115"/>
      <c r="D73" s="115"/>
      <c r="E73" s="116"/>
      <c r="F73" s="116"/>
      <c r="G73" s="115"/>
      <c r="H73" s="196">
        <f t="shared" ref="H73:K73" si="18">+SUM(H21:H71)</f>
        <v>500</v>
      </c>
      <c r="I73" s="196">
        <f t="shared" si="18"/>
        <v>187.74</v>
      </c>
      <c r="J73" s="196">
        <f t="shared" si="18"/>
        <v>35</v>
      </c>
      <c r="K73" s="196">
        <f t="shared" si="18"/>
        <v>1059.63</v>
      </c>
      <c r="L73" s="196"/>
      <c r="M73" s="197"/>
      <c r="N73" s="196"/>
      <c r="O73" s="115"/>
      <c r="P73" s="115"/>
      <c r="Q73" s="115"/>
      <c r="R73" s="115"/>
      <c r="S73" s="120"/>
      <c r="T73" s="149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</row>
    <row r="74" ht="18.0" customHeight="1">
      <c r="A74" s="114"/>
      <c r="B74" s="115"/>
      <c r="C74" s="115"/>
      <c r="D74" s="115"/>
      <c r="E74" s="116"/>
      <c r="F74" s="116"/>
      <c r="G74" s="115"/>
      <c r="H74" s="187"/>
      <c r="I74" s="187"/>
      <c r="J74" s="187"/>
      <c r="K74" s="187"/>
      <c r="L74" s="189"/>
      <c r="M74" s="183"/>
      <c r="N74" s="142"/>
      <c r="O74" s="115"/>
      <c r="P74" s="115"/>
      <c r="Q74" s="115"/>
      <c r="R74" s="115"/>
      <c r="S74" s="120"/>
      <c r="T74" s="149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</row>
    <row r="75" ht="18.0" customHeight="1">
      <c r="A75" s="114"/>
      <c r="B75" s="115"/>
      <c r="C75" s="115"/>
      <c r="D75" s="115" t="s">
        <v>129</v>
      </c>
      <c r="E75" s="116" t="s">
        <v>135</v>
      </c>
      <c r="H75" s="187"/>
      <c r="I75" s="187"/>
      <c r="J75" s="187"/>
      <c r="K75" s="187"/>
      <c r="L75" s="189"/>
      <c r="M75" s="183"/>
      <c r="N75" s="142"/>
      <c r="O75" s="115"/>
      <c r="P75" s="115"/>
      <c r="Q75" s="115"/>
      <c r="R75" s="115"/>
      <c r="S75" s="120"/>
      <c r="T75" s="149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</row>
    <row r="76" ht="18.0" customHeight="1">
      <c r="A76" s="114"/>
      <c r="B76" s="115"/>
      <c r="C76" s="115"/>
      <c r="D76" s="115"/>
      <c r="E76" s="116"/>
      <c r="F76" s="116"/>
      <c r="G76" s="115"/>
      <c r="H76" s="187"/>
      <c r="I76" s="187"/>
      <c r="J76" s="187"/>
      <c r="K76" s="187"/>
      <c r="L76" s="189"/>
      <c r="M76" s="183"/>
      <c r="N76" s="142"/>
      <c r="O76" s="115"/>
      <c r="P76" s="115"/>
      <c r="Q76" s="115"/>
      <c r="R76" s="115"/>
      <c r="S76" s="120"/>
      <c r="T76" s="149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</row>
    <row r="77" ht="18.0" customHeight="1">
      <c r="A77" s="114"/>
      <c r="B77" s="115"/>
      <c r="C77" s="115"/>
      <c r="D77" s="115"/>
      <c r="E77" s="116"/>
      <c r="F77" s="116"/>
      <c r="G77" s="115"/>
      <c r="H77" s="187"/>
      <c r="I77" s="187"/>
      <c r="J77" s="187"/>
      <c r="K77" s="187"/>
      <c r="L77" s="189"/>
      <c r="M77" s="183"/>
      <c r="N77" s="142"/>
      <c r="O77" s="115"/>
      <c r="P77" s="115"/>
      <c r="Q77" s="115"/>
      <c r="R77" s="115"/>
      <c r="S77" s="120"/>
      <c r="T77" s="149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</row>
    <row r="78" ht="18.0" customHeight="1">
      <c r="A78" s="114"/>
      <c r="B78" s="115"/>
      <c r="C78" s="115"/>
      <c r="D78" s="115"/>
      <c r="E78" s="116"/>
      <c r="F78" s="116"/>
      <c r="G78" s="115"/>
      <c r="H78" s="187"/>
      <c r="I78" s="187"/>
      <c r="J78" s="187"/>
      <c r="K78" s="187"/>
      <c r="L78" s="189"/>
      <c r="M78" s="183"/>
      <c r="N78" s="142"/>
      <c r="O78" s="115"/>
      <c r="P78" s="115"/>
      <c r="Q78" s="115"/>
      <c r="R78" s="115"/>
      <c r="S78" s="120"/>
      <c r="T78" s="149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</row>
    <row r="79" ht="18.0" customHeight="1">
      <c r="A79" s="114"/>
      <c r="B79" s="115"/>
      <c r="C79" s="115"/>
      <c r="D79" s="115"/>
      <c r="E79" s="116"/>
      <c r="F79" s="116"/>
      <c r="G79" s="115"/>
      <c r="H79" s="187"/>
      <c r="I79" s="187"/>
      <c r="J79" s="187"/>
      <c r="K79" s="187"/>
      <c r="L79" s="189"/>
      <c r="M79" s="183"/>
      <c r="N79" s="142"/>
      <c r="O79" s="115"/>
      <c r="P79" s="115"/>
      <c r="Q79" s="115"/>
      <c r="R79" s="115"/>
      <c r="S79" s="120"/>
      <c r="T79" s="120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</row>
    <row r="80" ht="18.0" customHeight="1">
      <c r="A80" s="114"/>
      <c r="B80" s="115"/>
      <c r="C80" s="115"/>
      <c r="D80" s="115"/>
      <c r="E80" s="116"/>
      <c r="F80" s="116"/>
      <c r="G80" s="115"/>
      <c r="H80" s="187"/>
      <c r="I80" s="187"/>
      <c r="J80" s="187"/>
      <c r="K80" s="187"/>
      <c r="L80" s="189"/>
      <c r="M80" s="183"/>
      <c r="N80" s="142"/>
      <c r="O80" s="115"/>
      <c r="P80" s="115"/>
      <c r="Q80" s="115"/>
      <c r="R80" s="115"/>
      <c r="S80" s="120"/>
      <c r="T80" s="120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</row>
    <row r="81" ht="18.0" customHeight="1">
      <c r="A81" s="114"/>
      <c r="B81" s="115"/>
      <c r="C81" s="115"/>
      <c r="D81" s="115"/>
      <c r="E81" s="116"/>
      <c r="F81" s="116"/>
      <c r="G81" s="115"/>
      <c r="H81" s="187"/>
      <c r="I81" s="187"/>
      <c r="J81" s="187"/>
      <c r="K81" s="187"/>
      <c r="L81" s="189"/>
      <c r="M81" s="183"/>
      <c r="N81" s="142"/>
      <c r="O81" s="115"/>
      <c r="P81" s="115"/>
      <c r="Q81" s="115"/>
      <c r="R81" s="115"/>
      <c r="S81" s="120"/>
      <c r="T81" s="120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</row>
    <row r="82" ht="18.0" customHeight="1">
      <c r="A82" s="114"/>
      <c r="B82" s="115"/>
      <c r="C82" s="115"/>
      <c r="D82" s="115"/>
      <c r="E82" s="116"/>
      <c r="F82" s="116"/>
      <c r="G82" s="115"/>
      <c r="H82" s="187"/>
      <c r="I82" s="187"/>
      <c r="J82" s="187"/>
      <c r="K82" s="187"/>
      <c r="L82" s="189"/>
      <c r="M82" s="183"/>
      <c r="N82" s="142"/>
      <c r="O82" s="115"/>
      <c r="P82" s="115"/>
      <c r="Q82" s="115"/>
      <c r="R82" s="115"/>
      <c r="S82" s="120"/>
      <c r="T82" s="120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</row>
    <row r="83" ht="18.0" customHeight="1">
      <c r="A83" s="114"/>
      <c r="B83" s="115"/>
      <c r="C83" s="115"/>
      <c r="D83" s="115"/>
      <c r="E83" s="116"/>
      <c r="F83" s="116"/>
      <c r="G83" s="115"/>
      <c r="H83" s="187"/>
      <c r="I83" s="187"/>
      <c r="J83" s="187"/>
      <c r="K83" s="187"/>
      <c r="L83" s="189"/>
      <c r="M83" s="183"/>
      <c r="N83" s="142"/>
      <c r="O83" s="115"/>
      <c r="P83" s="115"/>
      <c r="Q83" s="115"/>
      <c r="R83" s="115"/>
      <c r="S83" s="120"/>
      <c r="T83" s="120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</row>
    <row r="84" ht="18.0" customHeight="1">
      <c r="A84" s="114"/>
      <c r="B84" s="115"/>
      <c r="C84" s="115"/>
      <c r="D84" s="115"/>
      <c r="E84" s="116"/>
      <c r="F84" s="116"/>
      <c r="G84" s="115"/>
      <c r="H84" s="187"/>
      <c r="I84" s="187"/>
      <c r="J84" s="187"/>
      <c r="K84" s="187"/>
      <c r="L84" s="189"/>
      <c r="M84" s="183"/>
      <c r="N84" s="142"/>
      <c r="O84" s="115"/>
      <c r="P84" s="115"/>
      <c r="Q84" s="115"/>
      <c r="R84" s="115"/>
      <c r="S84" s="120"/>
      <c r="T84" s="120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</row>
    <row r="85" ht="18.0" customHeight="1">
      <c r="A85" s="114"/>
      <c r="B85" s="115"/>
      <c r="C85" s="115"/>
      <c r="D85" s="115"/>
      <c r="E85" s="116"/>
      <c r="F85" s="116"/>
      <c r="G85" s="115"/>
      <c r="H85" s="187"/>
      <c r="I85" s="187"/>
      <c r="J85" s="187"/>
      <c r="K85" s="187"/>
      <c r="L85" s="189"/>
      <c r="M85" s="183"/>
      <c r="N85" s="142"/>
      <c r="O85" s="115"/>
      <c r="P85" s="115"/>
      <c r="Q85" s="115"/>
      <c r="R85" s="115"/>
      <c r="S85" s="120"/>
      <c r="T85" s="120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</row>
    <row r="86" ht="18.0" customHeight="1">
      <c r="A86" s="114"/>
      <c r="B86" s="115"/>
      <c r="C86" s="115"/>
      <c r="D86" s="115"/>
      <c r="E86" s="116"/>
      <c r="F86" s="116"/>
      <c r="G86" s="115"/>
      <c r="H86" s="187"/>
      <c r="I86" s="187"/>
      <c r="J86" s="187"/>
      <c r="K86" s="187"/>
      <c r="L86" s="189"/>
      <c r="M86" s="183"/>
      <c r="N86" s="142"/>
      <c r="O86" s="115"/>
      <c r="P86" s="115"/>
      <c r="Q86" s="115"/>
      <c r="R86" s="115"/>
      <c r="S86" s="120"/>
      <c r="T86" s="120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</row>
    <row r="87" ht="18.0" customHeight="1">
      <c r="A87" s="114"/>
      <c r="B87" s="115"/>
      <c r="C87" s="115"/>
      <c r="D87" s="115"/>
      <c r="E87" s="116"/>
      <c r="F87" s="116"/>
      <c r="G87" s="115"/>
      <c r="H87" s="187"/>
      <c r="I87" s="187"/>
      <c r="J87" s="187"/>
      <c r="K87" s="187"/>
      <c r="L87" s="189"/>
      <c r="M87" s="183"/>
      <c r="N87" s="142"/>
      <c r="O87" s="115"/>
      <c r="P87" s="115"/>
      <c r="Q87" s="115"/>
      <c r="R87" s="115"/>
      <c r="S87" s="120"/>
      <c r="T87" s="120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</row>
    <row r="88" ht="18.0" customHeight="1">
      <c r="A88" s="114"/>
      <c r="B88" s="115"/>
      <c r="C88" s="115"/>
      <c r="D88" s="115"/>
      <c r="E88" s="116"/>
      <c r="F88" s="116"/>
      <c r="G88" s="115"/>
      <c r="H88" s="187"/>
      <c r="I88" s="187"/>
      <c r="J88" s="187"/>
      <c r="K88" s="187"/>
      <c r="L88" s="189"/>
      <c r="M88" s="183"/>
      <c r="N88" s="142"/>
      <c r="O88" s="115"/>
      <c r="P88" s="115"/>
      <c r="Q88" s="115"/>
      <c r="R88" s="115"/>
      <c r="S88" s="120"/>
      <c r="T88" s="120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</row>
    <row r="89" ht="18.0" customHeight="1">
      <c r="A89" s="114"/>
      <c r="B89" s="115"/>
      <c r="C89" s="115"/>
      <c r="D89" s="115"/>
      <c r="E89" s="116"/>
      <c r="F89" s="116"/>
      <c r="G89" s="115"/>
      <c r="H89" s="187"/>
      <c r="I89" s="187"/>
      <c r="J89" s="187"/>
      <c r="K89" s="187"/>
      <c r="L89" s="189"/>
      <c r="M89" s="183"/>
      <c r="N89" s="142"/>
      <c r="O89" s="115"/>
      <c r="P89" s="115"/>
      <c r="Q89" s="115"/>
      <c r="R89" s="115"/>
      <c r="S89" s="120"/>
      <c r="T89" s="120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</row>
    <row r="90" ht="18.0" customHeight="1">
      <c r="A90" s="114"/>
      <c r="B90" s="115"/>
      <c r="C90" s="115"/>
      <c r="D90" s="115"/>
      <c r="E90" s="116"/>
      <c r="F90" s="116"/>
      <c r="G90" s="115"/>
      <c r="H90" s="187"/>
      <c r="I90" s="187"/>
      <c r="J90" s="187"/>
      <c r="K90" s="187"/>
      <c r="L90" s="189"/>
      <c r="M90" s="183"/>
      <c r="N90" s="142"/>
      <c r="O90" s="115"/>
      <c r="P90" s="115"/>
      <c r="Q90" s="115"/>
      <c r="R90" s="115"/>
      <c r="S90" s="120"/>
      <c r="T90" s="120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</row>
    <row r="91" ht="18.0" customHeight="1">
      <c r="A91" s="114"/>
      <c r="B91" s="115"/>
      <c r="C91" s="115"/>
      <c r="D91" s="115"/>
      <c r="E91" s="116"/>
      <c r="F91" s="116"/>
      <c r="G91" s="115"/>
      <c r="H91" s="187"/>
      <c r="I91" s="187"/>
      <c r="J91" s="187"/>
      <c r="K91" s="187"/>
      <c r="L91" s="189"/>
      <c r="M91" s="183"/>
      <c r="N91" s="142"/>
      <c r="O91" s="115"/>
      <c r="P91" s="115"/>
      <c r="Q91" s="115"/>
      <c r="R91" s="115"/>
      <c r="S91" s="120"/>
      <c r="T91" s="120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</row>
    <row r="92" ht="18.0" customHeight="1">
      <c r="A92" s="114"/>
      <c r="B92" s="115"/>
      <c r="C92" s="115"/>
      <c r="D92" s="115"/>
      <c r="E92" s="116"/>
      <c r="F92" s="116"/>
      <c r="G92" s="115"/>
      <c r="H92" s="187"/>
      <c r="I92" s="187"/>
      <c r="J92" s="187"/>
      <c r="K92" s="187"/>
      <c r="L92" s="189"/>
      <c r="M92" s="183"/>
      <c r="N92" s="142"/>
      <c r="O92" s="115"/>
      <c r="P92" s="115"/>
      <c r="Q92" s="115"/>
      <c r="R92" s="115"/>
      <c r="S92" s="120"/>
      <c r="T92" s="120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</row>
    <row r="93" ht="18.0" customHeight="1">
      <c r="A93" s="114"/>
      <c r="B93" s="115"/>
      <c r="C93" s="115"/>
      <c r="D93" s="115"/>
      <c r="E93" s="116"/>
      <c r="F93" s="116"/>
      <c r="G93" s="115"/>
      <c r="H93" s="187"/>
      <c r="I93" s="187"/>
      <c r="J93" s="187"/>
      <c r="K93" s="187"/>
      <c r="L93" s="189"/>
      <c r="M93" s="183"/>
      <c r="N93" s="142"/>
      <c r="O93" s="115"/>
      <c r="P93" s="115"/>
      <c r="Q93" s="115"/>
      <c r="R93" s="115"/>
      <c r="S93" s="120"/>
      <c r="T93" s="120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</row>
    <row r="94" ht="18.0" customHeight="1">
      <c r="A94" s="114"/>
      <c r="B94" s="115"/>
      <c r="C94" s="115"/>
      <c r="D94" s="115"/>
      <c r="E94" s="116"/>
      <c r="F94" s="116"/>
      <c r="G94" s="115"/>
      <c r="H94" s="187"/>
      <c r="I94" s="187"/>
      <c r="J94" s="187"/>
      <c r="K94" s="187"/>
      <c r="L94" s="189"/>
      <c r="M94" s="183"/>
      <c r="N94" s="142"/>
      <c r="O94" s="115"/>
      <c r="P94" s="115"/>
      <c r="Q94" s="115"/>
      <c r="R94" s="115"/>
      <c r="S94" s="120"/>
      <c r="T94" s="120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</row>
    <row r="95" ht="18.0" customHeight="1">
      <c r="A95" s="114"/>
      <c r="B95" s="115"/>
      <c r="C95" s="115"/>
      <c r="D95" s="115"/>
      <c r="E95" s="116"/>
      <c r="F95" s="116"/>
      <c r="G95" s="115"/>
      <c r="H95" s="187"/>
      <c r="I95" s="187"/>
      <c r="J95" s="187"/>
      <c r="K95" s="187"/>
      <c r="L95" s="189"/>
      <c r="M95" s="183"/>
      <c r="N95" s="142"/>
      <c r="O95" s="115"/>
      <c r="P95" s="115"/>
      <c r="Q95" s="115"/>
      <c r="R95" s="115"/>
      <c r="S95" s="120"/>
      <c r="T95" s="120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</row>
    <row r="96" ht="18.0" customHeight="1">
      <c r="A96" s="114"/>
      <c r="B96" s="115"/>
      <c r="C96" s="115"/>
      <c r="D96" s="115"/>
      <c r="E96" s="116"/>
      <c r="F96" s="116"/>
      <c r="G96" s="115"/>
      <c r="H96" s="187"/>
      <c r="I96" s="187"/>
      <c r="J96" s="187"/>
      <c r="K96" s="187"/>
      <c r="L96" s="189"/>
      <c r="M96" s="183"/>
      <c r="N96" s="142"/>
      <c r="O96" s="115"/>
      <c r="P96" s="115"/>
      <c r="Q96" s="115"/>
      <c r="R96" s="115"/>
      <c r="S96" s="120"/>
      <c r="T96" s="120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</row>
    <row r="97" ht="18.0" customHeight="1">
      <c r="A97" s="114"/>
      <c r="B97" s="115"/>
      <c r="C97" s="115"/>
      <c r="D97" s="115"/>
      <c r="E97" s="116"/>
      <c r="F97" s="116"/>
      <c r="G97" s="115"/>
      <c r="H97" s="187"/>
      <c r="I97" s="187"/>
      <c r="J97" s="187"/>
      <c r="K97" s="187"/>
      <c r="L97" s="189"/>
      <c r="M97" s="183"/>
      <c r="N97" s="142"/>
      <c r="O97" s="115"/>
      <c r="P97" s="115"/>
      <c r="Q97" s="115"/>
      <c r="R97" s="115"/>
      <c r="S97" s="120"/>
      <c r="T97" s="120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</row>
    <row r="98" ht="18.0" customHeight="1">
      <c r="A98" s="114"/>
      <c r="B98" s="115"/>
      <c r="C98" s="115"/>
      <c r="D98" s="115"/>
      <c r="E98" s="116"/>
      <c r="F98" s="116"/>
      <c r="G98" s="115"/>
      <c r="H98" s="187"/>
      <c r="I98" s="187"/>
      <c r="J98" s="187"/>
      <c r="K98" s="187"/>
      <c r="L98" s="189"/>
      <c r="M98" s="183"/>
      <c r="N98" s="142"/>
      <c r="O98" s="115"/>
      <c r="P98" s="115"/>
      <c r="Q98" s="115"/>
      <c r="R98" s="115"/>
      <c r="S98" s="120"/>
      <c r="T98" s="120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</row>
    <row r="99" ht="18.0" customHeight="1">
      <c r="A99" s="114"/>
      <c r="B99" s="115"/>
      <c r="C99" s="115"/>
      <c r="D99" s="115"/>
      <c r="E99" s="116"/>
      <c r="F99" s="116"/>
      <c r="G99" s="115"/>
      <c r="H99" s="115"/>
      <c r="I99" s="115"/>
      <c r="J99" s="115"/>
      <c r="K99" s="115"/>
      <c r="L99" s="127"/>
      <c r="M99" s="128"/>
      <c r="N99" s="127"/>
      <c r="O99" s="115"/>
      <c r="P99" s="115"/>
      <c r="Q99" s="115"/>
      <c r="R99" s="115"/>
      <c r="S99" s="120"/>
      <c r="T99" s="120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</row>
    <row r="100" ht="18.0" customHeight="1">
      <c r="A100" s="114"/>
      <c r="B100" s="115"/>
      <c r="C100" s="115"/>
      <c r="D100" s="115"/>
      <c r="E100" s="116"/>
      <c r="F100" s="116"/>
      <c r="G100" s="115"/>
      <c r="H100" s="115"/>
      <c r="I100" s="115"/>
      <c r="J100" s="115"/>
      <c r="K100" s="115"/>
      <c r="L100" s="127"/>
      <c r="M100" s="128"/>
      <c r="N100" s="127"/>
      <c r="O100" s="115"/>
      <c r="P100" s="115"/>
      <c r="Q100" s="115"/>
      <c r="R100" s="115"/>
      <c r="S100" s="120"/>
      <c r="T100" s="120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</row>
    <row r="101" ht="18.0" customHeight="1">
      <c r="A101" s="114"/>
      <c r="B101" s="115"/>
      <c r="C101" s="115"/>
      <c r="D101" s="115"/>
      <c r="E101" s="116"/>
      <c r="F101" s="116"/>
      <c r="G101" s="115"/>
      <c r="H101" s="115"/>
      <c r="I101" s="115"/>
      <c r="J101" s="115"/>
      <c r="K101" s="115"/>
      <c r="L101" s="127"/>
      <c r="M101" s="128"/>
      <c r="N101" s="127"/>
      <c r="O101" s="115"/>
      <c r="P101" s="115"/>
      <c r="Q101" s="115"/>
      <c r="R101" s="115"/>
      <c r="S101" s="120"/>
      <c r="T101" s="120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</row>
    <row r="102" ht="18.0" customHeight="1">
      <c r="A102" s="114"/>
      <c r="B102" s="115"/>
      <c r="C102" s="115"/>
      <c r="D102" s="115"/>
      <c r="E102" s="116"/>
      <c r="F102" s="116"/>
      <c r="G102" s="115"/>
      <c r="H102" s="115"/>
      <c r="I102" s="115"/>
      <c r="J102" s="115"/>
      <c r="K102" s="115"/>
      <c r="L102" s="127"/>
      <c r="M102" s="128"/>
      <c r="N102" s="127"/>
      <c r="O102" s="115"/>
      <c r="P102" s="115"/>
      <c r="Q102" s="115"/>
      <c r="R102" s="115"/>
      <c r="S102" s="120"/>
      <c r="T102" s="120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</row>
    <row r="103" ht="18.0" customHeight="1">
      <c r="A103" s="114"/>
      <c r="B103" s="115"/>
      <c r="C103" s="115"/>
      <c r="D103" s="115"/>
      <c r="E103" s="116"/>
      <c r="F103" s="116"/>
      <c r="G103" s="115"/>
      <c r="H103" s="115"/>
      <c r="I103" s="115"/>
      <c r="J103" s="115"/>
      <c r="K103" s="115"/>
      <c r="L103" s="127"/>
      <c r="M103" s="128"/>
      <c r="N103" s="127"/>
      <c r="O103" s="115"/>
      <c r="P103" s="115"/>
      <c r="Q103" s="115"/>
      <c r="R103" s="115"/>
      <c r="S103" s="120"/>
      <c r="T103" s="120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</row>
    <row r="104" ht="18.0" customHeight="1">
      <c r="A104" s="114"/>
      <c r="B104" s="115"/>
      <c r="C104" s="115"/>
      <c r="D104" s="115"/>
      <c r="E104" s="116"/>
      <c r="F104" s="116"/>
      <c r="G104" s="115"/>
      <c r="H104" s="115"/>
      <c r="I104" s="115"/>
      <c r="J104" s="115"/>
      <c r="K104" s="115"/>
      <c r="L104" s="127"/>
      <c r="M104" s="128"/>
      <c r="N104" s="127"/>
      <c r="O104" s="115"/>
      <c r="P104" s="115"/>
      <c r="Q104" s="115"/>
      <c r="R104" s="115"/>
      <c r="S104" s="120"/>
      <c r="T104" s="120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</row>
    <row r="105" ht="18.0" customHeight="1">
      <c r="A105" s="114"/>
      <c r="B105" s="115"/>
      <c r="C105" s="115"/>
      <c r="D105" s="115"/>
      <c r="E105" s="116"/>
      <c r="F105" s="116"/>
      <c r="G105" s="115"/>
      <c r="H105" s="115"/>
      <c r="I105" s="115"/>
      <c r="J105" s="115"/>
      <c r="K105" s="115"/>
      <c r="L105" s="127"/>
      <c r="M105" s="128"/>
      <c r="N105" s="127"/>
      <c r="O105" s="115"/>
      <c r="P105" s="115"/>
      <c r="Q105" s="115"/>
      <c r="R105" s="115"/>
      <c r="S105" s="120"/>
      <c r="T105" s="120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</row>
    <row r="106" ht="18.0" customHeight="1">
      <c r="A106" s="114"/>
      <c r="B106" s="115"/>
      <c r="C106" s="115"/>
      <c r="D106" s="115"/>
      <c r="E106" s="116"/>
      <c r="F106" s="116"/>
      <c r="G106" s="115"/>
      <c r="H106" s="115"/>
      <c r="I106" s="115"/>
      <c r="J106" s="115"/>
      <c r="K106" s="115"/>
      <c r="L106" s="127"/>
      <c r="M106" s="128"/>
      <c r="N106" s="127"/>
      <c r="O106" s="115"/>
      <c r="P106" s="115"/>
      <c r="Q106" s="115"/>
      <c r="R106" s="115"/>
      <c r="S106" s="120"/>
      <c r="T106" s="120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</row>
    <row r="107" ht="18.0" customHeight="1">
      <c r="A107" s="114"/>
      <c r="B107" s="115"/>
      <c r="C107" s="115"/>
      <c r="D107" s="115"/>
      <c r="E107" s="116"/>
      <c r="F107" s="116"/>
      <c r="G107" s="115"/>
      <c r="H107" s="115"/>
      <c r="I107" s="115"/>
      <c r="J107" s="115"/>
      <c r="K107" s="115"/>
      <c r="L107" s="127"/>
      <c r="M107" s="128"/>
      <c r="N107" s="127"/>
      <c r="O107" s="115"/>
      <c r="P107" s="115"/>
      <c r="Q107" s="115"/>
      <c r="R107" s="115"/>
      <c r="S107" s="120"/>
      <c r="T107" s="120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</row>
    <row r="108" ht="18.0" customHeight="1">
      <c r="A108" s="114"/>
      <c r="B108" s="115"/>
      <c r="C108" s="115"/>
      <c r="D108" s="115"/>
      <c r="E108" s="116"/>
      <c r="F108" s="116"/>
      <c r="G108" s="115"/>
      <c r="H108" s="115"/>
      <c r="I108" s="115"/>
      <c r="J108" s="115"/>
      <c r="K108" s="115"/>
      <c r="L108" s="127"/>
      <c r="M108" s="128"/>
      <c r="N108" s="127"/>
      <c r="O108" s="115"/>
      <c r="P108" s="115"/>
      <c r="Q108" s="115"/>
      <c r="R108" s="115"/>
      <c r="S108" s="120"/>
      <c r="T108" s="120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</row>
    <row r="109" ht="18.0" customHeight="1">
      <c r="A109" s="114"/>
      <c r="B109" s="115"/>
      <c r="C109" s="115"/>
      <c r="D109" s="115"/>
      <c r="E109" s="116"/>
      <c r="F109" s="116"/>
      <c r="G109" s="115"/>
      <c r="H109" s="115"/>
      <c r="I109" s="115"/>
      <c r="J109" s="115"/>
      <c r="K109" s="115"/>
      <c r="L109" s="127"/>
      <c r="M109" s="128"/>
      <c r="N109" s="127"/>
      <c r="O109" s="115"/>
      <c r="P109" s="115"/>
      <c r="Q109" s="115"/>
      <c r="R109" s="115"/>
      <c r="S109" s="120"/>
      <c r="T109" s="120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</row>
    <row r="110" ht="18.0" customHeight="1">
      <c r="A110" s="114"/>
      <c r="B110" s="115"/>
      <c r="C110" s="115"/>
      <c r="D110" s="115"/>
      <c r="E110" s="116"/>
      <c r="F110" s="116"/>
      <c r="G110" s="115"/>
      <c r="H110" s="115"/>
      <c r="I110" s="115"/>
      <c r="J110" s="115"/>
      <c r="K110" s="115"/>
      <c r="L110" s="127"/>
      <c r="M110" s="128"/>
      <c r="N110" s="127"/>
      <c r="O110" s="115"/>
      <c r="P110" s="115"/>
      <c r="Q110" s="115"/>
      <c r="R110" s="115"/>
      <c r="S110" s="120"/>
      <c r="T110" s="120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</row>
    <row r="111" ht="18.0" customHeight="1">
      <c r="A111" s="114"/>
      <c r="B111" s="115"/>
      <c r="C111" s="115"/>
      <c r="D111" s="115"/>
      <c r="E111" s="116"/>
      <c r="F111" s="116"/>
      <c r="G111" s="115"/>
      <c r="H111" s="115"/>
      <c r="I111" s="115"/>
      <c r="J111" s="115"/>
      <c r="K111" s="115"/>
      <c r="L111" s="127"/>
      <c r="M111" s="128"/>
      <c r="N111" s="127"/>
      <c r="O111" s="115"/>
      <c r="P111" s="115"/>
      <c r="Q111" s="115"/>
      <c r="R111" s="115"/>
      <c r="S111" s="120"/>
      <c r="T111" s="120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</row>
    <row r="112" ht="18.0" customHeight="1">
      <c r="A112" s="114"/>
      <c r="B112" s="115"/>
      <c r="C112" s="115"/>
      <c r="D112" s="115"/>
      <c r="E112" s="116"/>
      <c r="F112" s="116"/>
      <c r="G112" s="115"/>
      <c r="H112" s="115"/>
      <c r="I112" s="115"/>
      <c r="J112" s="115"/>
      <c r="K112" s="115"/>
      <c r="L112" s="127"/>
      <c r="M112" s="128"/>
      <c r="N112" s="127"/>
      <c r="O112" s="115"/>
      <c r="P112" s="115"/>
      <c r="Q112" s="115"/>
      <c r="R112" s="115"/>
      <c r="S112" s="120"/>
      <c r="T112" s="120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</row>
    <row r="113" ht="18.0" customHeight="1">
      <c r="A113" s="114"/>
      <c r="B113" s="115"/>
      <c r="C113" s="115"/>
      <c r="D113" s="115"/>
      <c r="E113" s="116"/>
      <c r="F113" s="116"/>
      <c r="G113" s="115"/>
      <c r="H113" s="115"/>
      <c r="I113" s="115"/>
      <c r="J113" s="115"/>
      <c r="K113" s="115"/>
      <c r="L113" s="127"/>
      <c r="M113" s="128"/>
      <c r="N113" s="127"/>
      <c r="O113" s="115"/>
      <c r="P113" s="115"/>
      <c r="Q113" s="115"/>
      <c r="R113" s="115"/>
      <c r="S113" s="120"/>
      <c r="T113" s="120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</row>
    <row r="114" ht="18.0" customHeight="1">
      <c r="A114" s="114"/>
      <c r="B114" s="115"/>
      <c r="C114" s="115"/>
      <c r="D114" s="115"/>
      <c r="E114" s="116"/>
      <c r="F114" s="116"/>
      <c r="G114" s="115"/>
      <c r="H114" s="115"/>
      <c r="I114" s="115"/>
      <c r="J114" s="115"/>
      <c r="K114" s="115"/>
      <c r="L114" s="127"/>
      <c r="M114" s="128"/>
      <c r="N114" s="127"/>
      <c r="O114" s="115"/>
      <c r="P114" s="115"/>
      <c r="Q114" s="115"/>
      <c r="R114" s="115"/>
      <c r="S114" s="120"/>
      <c r="T114" s="120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</row>
    <row r="115" ht="18.0" customHeight="1">
      <c r="A115" s="114"/>
      <c r="B115" s="115"/>
      <c r="C115" s="115"/>
      <c r="D115" s="115"/>
      <c r="E115" s="116"/>
      <c r="F115" s="116"/>
      <c r="G115" s="115"/>
      <c r="H115" s="115"/>
      <c r="I115" s="115"/>
      <c r="J115" s="115"/>
      <c r="K115" s="115"/>
      <c r="L115" s="127"/>
      <c r="M115" s="128"/>
      <c r="N115" s="127"/>
      <c r="O115" s="115"/>
      <c r="P115" s="115"/>
      <c r="Q115" s="115"/>
      <c r="R115" s="115"/>
      <c r="S115" s="120"/>
      <c r="T115" s="120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</row>
    <row r="116" ht="18.0" customHeight="1">
      <c r="A116" s="114"/>
      <c r="B116" s="115"/>
      <c r="C116" s="115"/>
      <c r="D116" s="115"/>
      <c r="E116" s="116"/>
      <c r="F116" s="116"/>
      <c r="G116" s="115"/>
      <c r="H116" s="115"/>
      <c r="I116" s="115"/>
      <c r="J116" s="115"/>
      <c r="K116" s="115"/>
      <c r="L116" s="127"/>
      <c r="M116" s="128"/>
      <c r="N116" s="127"/>
      <c r="O116" s="115"/>
      <c r="P116" s="115"/>
      <c r="Q116" s="115"/>
      <c r="R116" s="115"/>
      <c r="S116" s="120"/>
      <c r="T116" s="120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</row>
    <row r="117" ht="18.0" customHeight="1">
      <c r="A117" s="114"/>
      <c r="B117" s="115"/>
      <c r="C117" s="115"/>
      <c r="D117" s="115"/>
      <c r="E117" s="116"/>
      <c r="F117" s="116"/>
      <c r="G117" s="115"/>
      <c r="H117" s="115"/>
      <c r="I117" s="115"/>
      <c r="J117" s="115"/>
      <c r="K117" s="115"/>
      <c r="L117" s="127"/>
      <c r="M117" s="128"/>
      <c r="N117" s="127"/>
      <c r="O117" s="115"/>
      <c r="P117" s="115"/>
      <c r="Q117" s="115"/>
      <c r="R117" s="115"/>
      <c r="S117" s="120"/>
      <c r="T117" s="120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</row>
    <row r="118" ht="18.0" customHeight="1">
      <c r="A118" s="114"/>
      <c r="B118" s="115"/>
      <c r="C118" s="115"/>
      <c r="D118" s="115"/>
      <c r="E118" s="116"/>
      <c r="F118" s="116"/>
      <c r="G118" s="115"/>
      <c r="H118" s="115"/>
      <c r="I118" s="115"/>
      <c r="J118" s="115"/>
      <c r="K118" s="115"/>
      <c r="L118" s="127"/>
      <c r="M118" s="128"/>
      <c r="N118" s="127"/>
      <c r="O118" s="115"/>
      <c r="P118" s="115"/>
      <c r="Q118" s="115"/>
      <c r="R118" s="115"/>
      <c r="S118" s="120"/>
      <c r="T118" s="120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</row>
    <row r="119" ht="18.0" customHeight="1">
      <c r="A119" s="114"/>
      <c r="B119" s="115"/>
      <c r="C119" s="115"/>
      <c r="D119" s="115"/>
      <c r="E119" s="116"/>
      <c r="F119" s="116"/>
      <c r="G119" s="115"/>
      <c r="H119" s="115"/>
      <c r="I119" s="115"/>
      <c r="J119" s="115"/>
      <c r="K119" s="115"/>
      <c r="L119" s="127"/>
      <c r="M119" s="128"/>
      <c r="N119" s="127"/>
      <c r="O119" s="115"/>
      <c r="P119" s="115"/>
      <c r="Q119" s="115"/>
      <c r="R119" s="115"/>
      <c r="S119" s="120"/>
      <c r="T119" s="120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</row>
    <row r="120" ht="18.0" customHeight="1">
      <c r="A120" s="114"/>
      <c r="B120" s="115"/>
      <c r="C120" s="115"/>
      <c r="D120" s="115"/>
      <c r="E120" s="116"/>
      <c r="F120" s="116"/>
      <c r="G120" s="115"/>
      <c r="H120" s="115"/>
      <c r="I120" s="115"/>
      <c r="J120" s="115"/>
      <c r="K120" s="115"/>
      <c r="L120" s="127"/>
      <c r="M120" s="128"/>
      <c r="N120" s="127"/>
      <c r="O120" s="115"/>
      <c r="P120" s="115"/>
      <c r="Q120" s="115"/>
      <c r="R120" s="115"/>
      <c r="S120" s="120"/>
      <c r="T120" s="120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</row>
    <row r="121" ht="18.0" customHeight="1">
      <c r="A121" s="114"/>
      <c r="B121" s="115"/>
      <c r="C121" s="115"/>
      <c r="D121" s="115"/>
      <c r="E121" s="116"/>
      <c r="F121" s="116"/>
      <c r="G121" s="115"/>
      <c r="H121" s="115"/>
      <c r="I121" s="115"/>
      <c r="J121" s="115"/>
      <c r="K121" s="115"/>
      <c r="L121" s="127"/>
      <c r="M121" s="128"/>
      <c r="N121" s="127"/>
      <c r="O121" s="115"/>
      <c r="P121" s="115"/>
      <c r="Q121" s="115"/>
      <c r="R121" s="115"/>
      <c r="S121" s="120"/>
      <c r="T121" s="120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</row>
    <row r="122" ht="18.0" customHeight="1">
      <c r="A122" s="114"/>
      <c r="B122" s="115"/>
      <c r="C122" s="115"/>
      <c r="D122" s="115"/>
      <c r="E122" s="116"/>
      <c r="F122" s="116"/>
      <c r="G122" s="115"/>
      <c r="H122" s="115"/>
      <c r="I122" s="115"/>
      <c r="J122" s="115"/>
      <c r="K122" s="115"/>
      <c r="L122" s="127"/>
      <c r="M122" s="128"/>
      <c r="N122" s="127"/>
      <c r="O122" s="115"/>
      <c r="P122" s="115"/>
      <c r="Q122" s="115"/>
      <c r="R122" s="115"/>
      <c r="S122" s="120"/>
      <c r="T122" s="120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</row>
    <row r="123" ht="18.0" customHeight="1">
      <c r="A123" s="114"/>
      <c r="B123" s="115"/>
      <c r="C123" s="115"/>
      <c r="D123" s="115"/>
      <c r="E123" s="116"/>
      <c r="F123" s="116"/>
      <c r="G123" s="115"/>
      <c r="H123" s="115"/>
      <c r="I123" s="115"/>
      <c r="J123" s="115"/>
      <c r="K123" s="115"/>
      <c r="L123" s="127"/>
      <c r="M123" s="128"/>
      <c r="N123" s="127"/>
      <c r="O123" s="115"/>
      <c r="P123" s="115"/>
      <c r="Q123" s="115"/>
      <c r="R123" s="115"/>
      <c r="S123" s="120"/>
      <c r="T123" s="120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</row>
    <row r="124" ht="18.0" customHeight="1">
      <c r="A124" s="114"/>
      <c r="B124" s="115"/>
      <c r="C124" s="115"/>
      <c r="D124" s="115"/>
      <c r="E124" s="116"/>
      <c r="F124" s="116"/>
      <c r="G124" s="115"/>
      <c r="H124" s="115"/>
      <c r="I124" s="115"/>
      <c r="J124" s="115"/>
      <c r="K124" s="115"/>
      <c r="L124" s="127"/>
      <c r="M124" s="128"/>
      <c r="N124" s="127"/>
      <c r="O124" s="115"/>
      <c r="P124" s="115"/>
      <c r="Q124" s="115"/>
      <c r="R124" s="115"/>
      <c r="S124" s="120"/>
      <c r="T124" s="120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</row>
    <row r="125" ht="18.0" customHeight="1">
      <c r="A125" s="114"/>
      <c r="B125" s="115"/>
      <c r="C125" s="115"/>
      <c r="D125" s="115"/>
      <c r="E125" s="116"/>
      <c r="F125" s="116"/>
      <c r="G125" s="115"/>
      <c r="H125" s="115"/>
      <c r="I125" s="115"/>
      <c r="J125" s="115"/>
      <c r="K125" s="115"/>
      <c r="L125" s="127"/>
      <c r="M125" s="128"/>
      <c r="N125" s="127"/>
      <c r="O125" s="115"/>
      <c r="P125" s="115"/>
      <c r="Q125" s="115"/>
      <c r="R125" s="115"/>
      <c r="S125" s="120"/>
      <c r="T125" s="120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</row>
    <row r="126" ht="18.0" customHeight="1">
      <c r="A126" s="114"/>
      <c r="B126" s="115"/>
      <c r="C126" s="115"/>
      <c r="D126" s="115"/>
      <c r="E126" s="116"/>
      <c r="F126" s="116"/>
      <c r="G126" s="115"/>
      <c r="H126" s="115"/>
      <c r="I126" s="115"/>
      <c r="J126" s="115"/>
      <c r="K126" s="115"/>
      <c r="L126" s="127"/>
      <c r="M126" s="128"/>
      <c r="N126" s="127"/>
      <c r="O126" s="115"/>
      <c r="P126" s="115"/>
      <c r="Q126" s="115"/>
      <c r="R126" s="115"/>
      <c r="S126" s="120"/>
      <c r="T126" s="120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</row>
    <row r="127" ht="18.0" customHeight="1">
      <c r="A127" s="114"/>
      <c r="B127" s="115"/>
      <c r="C127" s="115"/>
      <c r="D127" s="115"/>
      <c r="E127" s="116"/>
      <c r="F127" s="116"/>
      <c r="G127" s="115"/>
      <c r="H127" s="115"/>
      <c r="I127" s="115"/>
      <c r="J127" s="115"/>
      <c r="K127" s="115"/>
      <c r="L127" s="127"/>
      <c r="M127" s="128"/>
      <c r="N127" s="127"/>
      <c r="O127" s="115"/>
      <c r="P127" s="115"/>
      <c r="Q127" s="115"/>
      <c r="R127" s="115"/>
      <c r="S127" s="120"/>
      <c r="T127" s="120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</row>
    <row r="128" ht="18.0" customHeight="1">
      <c r="A128" s="114"/>
      <c r="B128" s="115"/>
      <c r="C128" s="115"/>
      <c r="D128" s="115"/>
      <c r="E128" s="116"/>
      <c r="F128" s="116"/>
      <c r="G128" s="115"/>
      <c r="H128" s="115"/>
      <c r="I128" s="115"/>
      <c r="J128" s="115"/>
      <c r="K128" s="115"/>
      <c r="L128" s="127"/>
      <c r="M128" s="128"/>
      <c r="N128" s="127"/>
      <c r="O128" s="115"/>
      <c r="P128" s="115"/>
      <c r="Q128" s="115"/>
      <c r="R128" s="115"/>
      <c r="S128" s="120"/>
      <c r="T128" s="120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</row>
    <row r="129" ht="18.0" customHeight="1">
      <c r="A129" s="114"/>
      <c r="B129" s="115"/>
      <c r="C129" s="115"/>
      <c r="D129" s="115"/>
      <c r="E129" s="116"/>
      <c r="F129" s="116"/>
      <c r="G129" s="115"/>
      <c r="H129" s="115"/>
      <c r="I129" s="115"/>
      <c r="J129" s="115"/>
      <c r="K129" s="115"/>
      <c r="L129" s="127"/>
      <c r="M129" s="128"/>
      <c r="N129" s="127"/>
      <c r="O129" s="115"/>
      <c r="P129" s="115"/>
      <c r="Q129" s="115"/>
      <c r="R129" s="115"/>
      <c r="S129" s="120"/>
      <c r="T129" s="120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</row>
    <row r="130" ht="18.0" customHeight="1">
      <c r="A130" s="114"/>
      <c r="B130" s="115"/>
      <c r="C130" s="115"/>
      <c r="D130" s="115"/>
      <c r="E130" s="116"/>
      <c r="F130" s="116"/>
      <c r="G130" s="115"/>
      <c r="H130" s="115"/>
      <c r="I130" s="115"/>
      <c r="J130" s="115"/>
      <c r="K130" s="115"/>
      <c r="L130" s="127"/>
      <c r="M130" s="128"/>
      <c r="N130" s="127"/>
      <c r="O130" s="115"/>
      <c r="P130" s="115"/>
      <c r="Q130" s="115"/>
      <c r="R130" s="115"/>
      <c r="S130" s="120"/>
      <c r="T130" s="120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</row>
    <row r="131" ht="18.0" customHeight="1">
      <c r="A131" s="114"/>
      <c r="B131" s="115"/>
      <c r="C131" s="115"/>
      <c r="D131" s="115"/>
      <c r="E131" s="116"/>
      <c r="F131" s="116"/>
      <c r="G131" s="115"/>
      <c r="H131" s="115"/>
      <c r="I131" s="115"/>
      <c r="J131" s="115"/>
      <c r="K131" s="115"/>
      <c r="L131" s="127"/>
      <c r="M131" s="128"/>
      <c r="N131" s="127"/>
      <c r="O131" s="115"/>
      <c r="P131" s="115"/>
      <c r="Q131" s="115"/>
      <c r="R131" s="115"/>
      <c r="S131" s="120"/>
      <c r="T131" s="120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</row>
    <row r="132" ht="18.0" customHeight="1">
      <c r="A132" s="114"/>
      <c r="B132" s="115"/>
      <c r="C132" s="115"/>
      <c r="D132" s="115"/>
      <c r="E132" s="116"/>
      <c r="F132" s="116"/>
      <c r="G132" s="115"/>
      <c r="H132" s="115"/>
      <c r="I132" s="115"/>
      <c r="J132" s="115"/>
      <c r="K132" s="115"/>
      <c r="L132" s="127"/>
      <c r="M132" s="128"/>
      <c r="N132" s="127"/>
      <c r="O132" s="115"/>
      <c r="P132" s="115"/>
      <c r="Q132" s="115"/>
      <c r="R132" s="115"/>
      <c r="S132" s="120"/>
      <c r="T132" s="120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</row>
    <row r="133" ht="18.0" customHeight="1">
      <c r="A133" s="114"/>
      <c r="B133" s="115"/>
      <c r="C133" s="115"/>
      <c r="D133" s="115"/>
      <c r="E133" s="116"/>
      <c r="F133" s="116"/>
      <c r="G133" s="115"/>
      <c r="H133" s="115"/>
      <c r="I133" s="115"/>
      <c r="J133" s="115"/>
      <c r="K133" s="115"/>
      <c r="L133" s="127"/>
      <c r="M133" s="128"/>
      <c r="N133" s="127"/>
      <c r="O133" s="115"/>
      <c r="P133" s="115"/>
      <c r="Q133" s="115"/>
      <c r="R133" s="115"/>
      <c r="S133" s="120"/>
      <c r="T133" s="120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</row>
    <row r="134" ht="18.0" customHeight="1">
      <c r="A134" s="114"/>
      <c r="B134" s="115"/>
      <c r="C134" s="115"/>
      <c r="D134" s="115"/>
      <c r="E134" s="116"/>
      <c r="F134" s="116"/>
      <c r="G134" s="115"/>
      <c r="H134" s="115"/>
      <c r="I134" s="115"/>
      <c r="J134" s="115"/>
      <c r="K134" s="115"/>
      <c r="L134" s="127"/>
      <c r="M134" s="128"/>
      <c r="N134" s="127"/>
      <c r="O134" s="115"/>
      <c r="P134" s="115"/>
      <c r="Q134" s="115"/>
      <c r="R134" s="115"/>
      <c r="S134" s="120"/>
      <c r="T134" s="120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</row>
    <row r="135" ht="18.0" customHeight="1">
      <c r="A135" s="114"/>
      <c r="B135" s="115"/>
      <c r="C135" s="115"/>
      <c r="D135" s="115"/>
      <c r="E135" s="116"/>
      <c r="F135" s="116"/>
      <c r="G135" s="115"/>
      <c r="H135" s="115"/>
      <c r="I135" s="115"/>
      <c r="J135" s="115"/>
      <c r="K135" s="115"/>
      <c r="L135" s="127"/>
      <c r="M135" s="128"/>
      <c r="N135" s="127"/>
      <c r="O135" s="115"/>
      <c r="P135" s="115"/>
      <c r="Q135" s="115"/>
      <c r="R135" s="115"/>
      <c r="S135" s="120"/>
      <c r="T135" s="120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</row>
    <row r="136" ht="18.0" customHeight="1">
      <c r="A136" s="114"/>
      <c r="B136" s="115"/>
      <c r="C136" s="115"/>
      <c r="D136" s="115"/>
      <c r="E136" s="116"/>
      <c r="F136" s="116"/>
      <c r="G136" s="115"/>
      <c r="H136" s="115"/>
      <c r="I136" s="115"/>
      <c r="J136" s="115"/>
      <c r="K136" s="115"/>
      <c r="L136" s="127"/>
      <c r="M136" s="128"/>
      <c r="N136" s="127"/>
      <c r="O136" s="115"/>
      <c r="P136" s="115"/>
      <c r="Q136" s="115"/>
      <c r="R136" s="115"/>
      <c r="S136" s="120"/>
      <c r="T136" s="120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</row>
    <row r="137" ht="18.0" customHeight="1">
      <c r="A137" s="114"/>
      <c r="B137" s="115"/>
      <c r="C137" s="115"/>
      <c r="D137" s="115"/>
      <c r="E137" s="116"/>
      <c r="F137" s="116"/>
      <c r="G137" s="115"/>
      <c r="H137" s="115"/>
      <c r="I137" s="115"/>
      <c r="J137" s="115"/>
      <c r="K137" s="115"/>
      <c r="L137" s="127"/>
      <c r="M137" s="128"/>
      <c r="N137" s="127"/>
      <c r="O137" s="115"/>
      <c r="P137" s="115"/>
      <c r="Q137" s="115"/>
      <c r="R137" s="115"/>
      <c r="S137" s="120"/>
      <c r="T137" s="120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</row>
    <row r="138" ht="18.0" customHeight="1">
      <c r="A138" s="114"/>
      <c r="B138" s="115"/>
      <c r="C138" s="115"/>
      <c r="D138" s="115"/>
      <c r="E138" s="116"/>
      <c r="F138" s="116"/>
      <c r="G138" s="115"/>
      <c r="H138" s="115"/>
      <c r="I138" s="115"/>
      <c r="J138" s="115"/>
      <c r="K138" s="115"/>
      <c r="L138" s="127"/>
      <c r="M138" s="128"/>
      <c r="N138" s="127"/>
      <c r="O138" s="115"/>
      <c r="P138" s="115"/>
      <c r="Q138" s="115"/>
      <c r="R138" s="115"/>
      <c r="S138" s="120"/>
      <c r="T138" s="120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</row>
    <row r="139" ht="18.0" customHeight="1">
      <c r="A139" s="114"/>
      <c r="B139" s="115"/>
      <c r="C139" s="115"/>
      <c r="D139" s="115"/>
      <c r="E139" s="116"/>
      <c r="F139" s="116"/>
      <c r="G139" s="115"/>
      <c r="H139" s="115"/>
      <c r="I139" s="115"/>
      <c r="J139" s="115"/>
      <c r="K139" s="115"/>
      <c r="L139" s="127"/>
      <c r="M139" s="128"/>
      <c r="N139" s="127"/>
      <c r="O139" s="115"/>
      <c r="P139" s="115"/>
      <c r="Q139" s="115"/>
      <c r="R139" s="115"/>
      <c r="S139" s="120"/>
      <c r="T139" s="120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</row>
    <row r="140" ht="18.0" customHeight="1">
      <c r="A140" s="114"/>
      <c r="B140" s="115"/>
      <c r="C140" s="115"/>
      <c r="D140" s="115"/>
      <c r="E140" s="116"/>
      <c r="F140" s="116"/>
      <c r="G140" s="115"/>
      <c r="H140" s="115"/>
      <c r="I140" s="115"/>
      <c r="J140" s="115"/>
      <c r="K140" s="115"/>
      <c r="L140" s="127"/>
      <c r="M140" s="128"/>
      <c r="N140" s="127"/>
      <c r="O140" s="115"/>
      <c r="P140" s="115"/>
      <c r="Q140" s="115"/>
      <c r="R140" s="115"/>
      <c r="S140" s="120"/>
      <c r="T140" s="120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</row>
    <row r="141" ht="18.0" customHeight="1">
      <c r="A141" s="114"/>
      <c r="B141" s="115"/>
      <c r="C141" s="115"/>
      <c r="D141" s="115"/>
      <c r="E141" s="116"/>
      <c r="F141" s="116"/>
      <c r="G141" s="115"/>
      <c r="H141" s="115"/>
      <c r="I141" s="115"/>
      <c r="J141" s="115"/>
      <c r="K141" s="115"/>
      <c r="L141" s="127"/>
      <c r="M141" s="128"/>
      <c r="N141" s="127"/>
      <c r="O141" s="115"/>
      <c r="P141" s="115"/>
      <c r="Q141" s="115"/>
      <c r="R141" s="115"/>
      <c r="S141" s="120"/>
      <c r="T141" s="120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</row>
    <row r="142" ht="18.0" customHeight="1">
      <c r="A142" s="114"/>
      <c r="B142" s="115"/>
      <c r="C142" s="115"/>
      <c r="D142" s="115"/>
      <c r="E142" s="116"/>
      <c r="F142" s="116"/>
      <c r="G142" s="115"/>
      <c r="H142" s="115"/>
      <c r="I142" s="115"/>
      <c r="J142" s="115"/>
      <c r="K142" s="115"/>
      <c r="L142" s="127"/>
      <c r="M142" s="128"/>
      <c r="N142" s="127"/>
      <c r="O142" s="115"/>
      <c r="P142" s="115"/>
      <c r="Q142" s="115"/>
      <c r="R142" s="115"/>
      <c r="S142" s="120"/>
      <c r="T142" s="120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</row>
    <row r="143" ht="18.0" customHeight="1">
      <c r="A143" s="114"/>
      <c r="B143" s="115"/>
      <c r="C143" s="115"/>
      <c r="D143" s="115"/>
      <c r="E143" s="116"/>
      <c r="F143" s="116"/>
      <c r="G143" s="115"/>
      <c r="H143" s="115"/>
      <c r="I143" s="115"/>
      <c r="J143" s="115"/>
      <c r="K143" s="115"/>
      <c r="L143" s="127"/>
      <c r="M143" s="128"/>
      <c r="N143" s="127"/>
      <c r="O143" s="115"/>
      <c r="P143" s="115"/>
      <c r="Q143" s="115"/>
      <c r="R143" s="115"/>
      <c r="S143" s="120"/>
      <c r="T143" s="120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</row>
    <row r="144" ht="18.0" customHeight="1">
      <c r="A144" s="114"/>
      <c r="B144" s="115"/>
      <c r="C144" s="115"/>
      <c r="D144" s="115"/>
      <c r="E144" s="116"/>
      <c r="F144" s="116"/>
      <c r="G144" s="115"/>
      <c r="H144" s="115"/>
      <c r="I144" s="115"/>
      <c r="J144" s="115"/>
      <c r="K144" s="115"/>
      <c r="L144" s="127"/>
      <c r="M144" s="128"/>
      <c r="N144" s="127"/>
      <c r="O144" s="115"/>
      <c r="P144" s="115"/>
      <c r="Q144" s="115"/>
      <c r="R144" s="115"/>
      <c r="S144" s="120"/>
      <c r="T144" s="120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</row>
    <row r="145" ht="18.0" customHeight="1">
      <c r="A145" s="114"/>
      <c r="B145" s="115"/>
      <c r="C145" s="115"/>
      <c r="D145" s="115"/>
      <c r="E145" s="116"/>
      <c r="F145" s="116"/>
      <c r="G145" s="115"/>
      <c r="H145" s="115"/>
      <c r="I145" s="115"/>
      <c r="J145" s="115"/>
      <c r="K145" s="115"/>
      <c r="L145" s="127"/>
      <c r="M145" s="128"/>
      <c r="N145" s="127"/>
      <c r="O145" s="115"/>
      <c r="P145" s="115"/>
      <c r="Q145" s="115"/>
      <c r="R145" s="115"/>
      <c r="S145" s="120"/>
      <c r="T145" s="120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</row>
    <row r="146" ht="18.0" customHeight="1">
      <c r="A146" s="114"/>
      <c r="B146" s="115"/>
      <c r="C146" s="115"/>
      <c r="D146" s="115"/>
      <c r="E146" s="116"/>
      <c r="F146" s="116"/>
      <c r="G146" s="115"/>
      <c r="H146" s="115"/>
      <c r="I146" s="115"/>
      <c r="J146" s="115"/>
      <c r="K146" s="115"/>
      <c r="L146" s="127"/>
      <c r="M146" s="128"/>
      <c r="N146" s="127"/>
      <c r="O146" s="115"/>
      <c r="P146" s="115"/>
      <c r="Q146" s="115"/>
      <c r="R146" s="115"/>
      <c r="S146" s="120"/>
      <c r="T146" s="120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</row>
    <row r="147" ht="18.0" customHeight="1">
      <c r="A147" s="114"/>
      <c r="B147" s="115"/>
      <c r="C147" s="115"/>
      <c r="D147" s="115"/>
      <c r="E147" s="116"/>
      <c r="F147" s="116"/>
      <c r="G147" s="115"/>
      <c r="H147" s="115"/>
      <c r="I147" s="115"/>
      <c r="J147" s="115"/>
      <c r="K147" s="115"/>
      <c r="L147" s="127"/>
      <c r="M147" s="128"/>
      <c r="N147" s="127"/>
      <c r="O147" s="115"/>
      <c r="P147" s="115"/>
      <c r="Q147" s="115"/>
      <c r="R147" s="115"/>
      <c r="S147" s="120"/>
      <c r="T147" s="120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</row>
    <row r="148" ht="18.0" customHeight="1">
      <c r="A148" s="114"/>
      <c r="B148" s="115"/>
      <c r="C148" s="115"/>
      <c r="D148" s="115"/>
      <c r="E148" s="116"/>
      <c r="F148" s="116"/>
      <c r="G148" s="115"/>
      <c r="H148" s="115"/>
      <c r="I148" s="115"/>
      <c r="J148" s="115"/>
      <c r="K148" s="115"/>
      <c r="L148" s="127"/>
      <c r="M148" s="128"/>
      <c r="N148" s="127"/>
      <c r="O148" s="115"/>
      <c r="P148" s="115"/>
      <c r="Q148" s="115"/>
      <c r="R148" s="115"/>
      <c r="S148" s="120"/>
      <c r="T148" s="120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</row>
    <row r="149" ht="18.0" customHeight="1">
      <c r="A149" s="114"/>
      <c r="B149" s="115"/>
      <c r="C149" s="115"/>
      <c r="D149" s="115"/>
      <c r="E149" s="116"/>
      <c r="F149" s="116"/>
      <c r="G149" s="115"/>
      <c r="H149" s="115"/>
      <c r="I149" s="115"/>
      <c r="J149" s="115"/>
      <c r="K149" s="115"/>
      <c r="L149" s="127"/>
      <c r="M149" s="128"/>
      <c r="N149" s="127"/>
      <c r="O149" s="115"/>
      <c r="P149" s="115"/>
      <c r="Q149" s="115"/>
      <c r="R149" s="115"/>
      <c r="S149" s="120"/>
      <c r="T149" s="120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</row>
    <row r="150" ht="18.0" customHeight="1">
      <c r="A150" s="114"/>
      <c r="B150" s="115"/>
      <c r="C150" s="115"/>
      <c r="D150" s="115"/>
      <c r="E150" s="116"/>
      <c r="F150" s="116"/>
      <c r="G150" s="115"/>
      <c r="H150" s="115"/>
      <c r="I150" s="115"/>
      <c r="J150" s="115"/>
      <c r="K150" s="115"/>
      <c r="L150" s="127"/>
      <c r="M150" s="128"/>
      <c r="N150" s="127"/>
      <c r="O150" s="115"/>
      <c r="P150" s="115"/>
      <c r="Q150" s="115"/>
      <c r="R150" s="115"/>
      <c r="S150" s="120"/>
      <c r="T150" s="120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</row>
    <row r="151" ht="18.0" customHeight="1">
      <c r="A151" s="114"/>
      <c r="B151" s="115"/>
      <c r="C151" s="115"/>
      <c r="D151" s="115"/>
      <c r="E151" s="116"/>
      <c r="F151" s="116"/>
      <c r="G151" s="115"/>
      <c r="H151" s="115"/>
      <c r="I151" s="115"/>
      <c r="J151" s="115"/>
      <c r="K151" s="115"/>
      <c r="L151" s="127"/>
      <c r="M151" s="128"/>
      <c r="N151" s="127"/>
      <c r="O151" s="115"/>
      <c r="P151" s="115"/>
      <c r="Q151" s="115"/>
      <c r="R151" s="115"/>
      <c r="S151" s="120"/>
      <c r="T151" s="120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</row>
    <row r="152" ht="18.0" customHeight="1">
      <c r="A152" s="114"/>
      <c r="B152" s="115"/>
      <c r="C152" s="115"/>
      <c r="D152" s="115"/>
      <c r="E152" s="116"/>
      <c r="F152" s="116"/>
      <c r="G152" s="115"/>
      <c r="H152" s="115"/>
      <c r="I152" s="115"/>
      <c r="J152" s="115"/>
      <c r="K152" s="115"/>
      <c r="L152" s="127"/>
      <c r="M152" s="128"/>
      <c r="N152" s="127"/>
      <c r="O152" s="115"/>
      <c r="P152" s="115"/>
      <c r="Q152" s="115"/>
      <c r="R152" s="115"/>
      <c r="S152" s="120"/>
      <c r="T152" s="120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</row>
    <row r="153" ht="18.0" customHeight="1">
      <c r="A153" s="114"/>
      <c r="B153" s="115"/>
      <c r="C153" s="115"/>
      <c r="D153" s="115"/>
      <c r="E153" s="116"/>
      <c r="F153" s="116"/>
      <c r="G153" s="115"/>
      <c r="H153" s="115"/>
      <c r="I153" s="115"/>
      <c r="J153" s="115"/>
      <c r="K153" s="115"/>
      <c r="L153" s="127"/>
      <c r="M153" s="128"/>
      <c r="N153" s="127"/>
      <c r="O153" s="115"/>
      <c r="P153" s="115"/>
      <c r="Q153" s="115"/>
      <c r="R153" s="115"/>
      <c r="S153" s="120"/>
      <c r="T153" s="120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</row>
    <row r="154" ht="18.0" customHeight="1">
      <c r="A154" s="114"/>
      <c r="B154" s="115"/>
      <c r="C154" s="115"/>
      <c r="D154" s="115"/>
      <c r="E154" s="116"/>
      <c r="F154" s="116"/>
      <c r="G154" s="115"/>
      <c r="H154" s="115"/>
      <c r="I154" s="115"/>
      <c r="J154" s="115"/>
      <c r="K154" s="115"/>
      <c r="L154" s="127"/>
      <c r="M154" s="128"/>
      <c r="N154" s="127"/>
      <c r="O154" s="115"/>
      <c r="P154" s="115"/>
      <c r="Q154" s="115"/>
      <c r="R154" s="115"/>
      <c r="S154" s="120"/>
      <c r="T154" s="120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</row>
    <row r="155" ht="18.0" customHeight="1">
      <c r="A155" s="114"/>
      <c r="B155" s="115"/>
      <c r="C155" s="115"/>
      <c r="D155" s="115"/>
      <c r="E155" s="116"/>
      <c r="F155" s="116"/>
      <c r="G155" s="115"/>
      <c r="H155" s="115"/>
      <c r="I155" s="115"/>
      <c r="J155" s="115"/>
      <c r="K155" s="115"/>
      <c r="L155" s="127"/>
      <c r="M155" s="128"/>
      <c r="N155" s="127"/>
      <c r="O155" s="115"/>
      <c r="P155" s="115"/>
      <c r="Q155" s="115"/>
      <c r="R155" s="115"/>
      <c r="S155" s="120"/>
      <c r="T155" s="120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</row>
    <row r="156" ht="18.0" customHeight="1">
      <c r="A156" s="114"/>
      <c r="B156" s="115"/>
      <c r="C156" s="115"/>
      <c r="D156" s="115"/>
      <c r="E156" s="116"/>
      <c r="F156" s="116"/>
      <c r="G156" s="115"/>
      <c r="H156" s="115"/>
      <c r="I156" s="115"/>
      <c r="J156" s="115"/>
      <c r="K156" s="115"/>
      <c r="L156" s="127"/>
      <c r="M156" s="128"/>
      <c r="N156" s="127"/>
      <c r="O156" s="115"/>
      <c r="P156" s="115"/>
      <c r="Q156" s="115"/>
      <c r="R156" s="115"/>
      <c r="S156" s="120"/>
      <c r="T156" s="120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</row>
    <row r="157" ht="18.0" customHeight="1">
      <c r="A157" s="114"/>
      <c r="B157" s="115"/>
      <c r="C157" s="115"/>
      <c r="D157" s="115"/>
      <c r="E157" s="116"/>
      <c r="F157" s="116"/>
      <c r="G157" s="115"/>
      <c r="H157" s="115"/>
      <c r="I157" s="115"/>
      <c r="J157" s="115"/>
      <c r="K157" s="115"/>
      <c r="L157" s="127"/>
      <c r="M157" s="128"/>
      <c r="N157" s="127"/>
      <c r="O157" s="115"/>
      <c r="P157" s="115"/>
      <c r="Q157" s="115"/>
      <c r="R157" s="115"/>
      <c r="S157" s="120"/>
      <c r="T157" s="120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</row>
    <row r="158" ht="18.0" customHeight="1">
      <c r="A158" s="114"/>
      <c r="B158" s="115"/>
      <c r="C158" s="115"/>
      <c r="D158" s="115"/>
      <c r="E158" s="116"/>
      <c r="F158" s="116"/>
      <c r="G158" s="115"/>
      <c r="H158" s="115"/>
      <c r="I158" s="115"/>
      <c r="J158" s="115"/>
      <c r="K158" s="115"/>
      <c r="L158" s="127"/>
      <c r="M158" s="128"/>
      <c r="N158" s="127"/>
      <c r="O158" s="115"/>
      <c r="P158" s="115"/>
      <c r="Q158" s="115"/>
      <c r="R158" s="115"/>
      <c r="S158" s="120"/>
      <c r="T158" s="120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</row>
    <row r="159" ht="18.0" customHeight="1">
      <c r="A159" s="114"/>
      <c r="B159" s="115"/>
      <c r="C159" s="115"/>
      <c r="D159" s="115"/>
      <c r="E159" s="116"/>
      <c r="F159" s="116"/>
      <c r="G159" s="115"/>
      <c r="H159" s="115"/>
      <c r="I159" s="115"/>
      <c r="J159" s="115"/>
      <c r="K159" s="115"/>
      <c r="L159" s="127"/>
      <c r="M159" s="128"/>
      <c r="N159" s="127"/>
      <c r="O159" s="115"/>
      <c r="P159" s="115"/>
      <c r="Q159" s="115"/>
      <c r="R159" s="115"/>
      <c r="S159" s="120"/>
      <c r="T159" s="120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</row>
    <row r="160" ht="18.0" customHeight="1">
      <c r="A160" s="114"/>
      <c r="B160" s="115"/>
      <c r="C160" s="115"/>
      <c r="D160" s="115"/>
      <c r="E160" s="116"/>
      <c r="F160" s="116"/>
      <c r="G160" s="115"/>
      <c r="H160" s="115"/>
      <c r="I160" s="115"/>
      <c r="J160" s="115"/>
      <c r="K160" s="115"/>
      <c r="L160" s="127"/>
      <c r="M160" s="128"/>
      <c r="N160" s="127"/>
      <c r="O160" s="115"/>
      <c r="P160" s="115"/>
      <c r="Q160" s="115"/>
      <c r="R160" s="115"/>
      <c r="S160" s="120"/>
      <c r="T160" s="120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</row>
    <row r="161" ht="18.0" customHeight="1">
      <c r="A161" s="114"/>
      <c r="B161" s="115"/>
      <c r="C161" s="115"/>
      <c r="D161" s="115"/>
      <c r="E161" s="116"/>
      <c r="F161" s="116"/>
      <c r="G161" s="115"/>
      <c r="H161" s="115"/>
      <c r="I161" s="115"/>
      <c r="J161" s="115"/>
      <c r="K161" s="115"/>
      <c r="L161" s="127"/>
      <c r="M161" s="128"/>
      <c r="N161" s="127"/>
      <c r="O161" s="115"/>
      <c r="P161" s="115"/>
      <c r="Q161" s="115"/>
      <c r="R161" s="115"/>
      <c r="S161" s="120"/>
      <c r="T161" s="120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</row>
    <row r="162" ht="18.0" customHeight="1">
      <c r="A162" s="114"/>
      <c r="B162" s="115"/>
      <c r="C162" s="115"/>
      <c r="D162" s="115"/>
      <c r="E162" s="116"/>
      <c r="F162" s="116"/>
      <c r="G162" s="115"/>
      <c r="H162" s="115"/>
      <c r="I162" s="115"/>
      <c r="J162" s="115"/>
      <c r="K162" s="115"/>
      <c r="L162" s="127"/>
      <c r="M162" s="128"/>
      <c r="N162" s="127"/>
      <c r="O162" s="115"/>
      <c r="P162" s="115"/>
      <c r="Q162" s="115"/>
      <c r="R162" s="115"/>
      <c r="S162" s="120"/>
      <c r="T162" s="120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</row>
    <row r="163" ht="18.0" customHeight="1">
      <c r="A163" s="114"/>
      <c r="B163" s="115"/>
      <c r="C163" s="115"/>
      <c r="D163" s="115"/>
      <c r="E163" s="116"/>
      <c r="F163" s="116"/>
      <c r="G163" s="115"/>
      <c r="H163" s="115"/>
      <c r="I163" s="115"/>
      <c r="J163" s="115"/>
      <c r="K163" s="115"/>
      <c r="L163" s="127"/>
      <c r="M163" s="128"/>
      <c r="N163" s="127"/>
      <c r="O163" s="115"/>
      <c r="P163" s="115"/>
      <c r="Q163" s="115"/>
      <c r="R163" s="115"/>
      <c r="S163" s="120"/>
      <c r="T163" s="120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</row>
    <row r="164" ht="18.0" customHeight="1">
      <c r="A164" s="114"/>
      <c r="B164" s="115"/>
      <c r="C164" s="115"/>
      <c r="D164" s="115"/>
      <c r="E164" s="116"/>
      <c r="F164" s="116"/>
      <c r="G164" s="115"/>
      <c r="H164" s="115"/>
      <c r="I164" s="115"/>
      <c r="J164" s="115"/>
      <c r="K164" s="115"/>
      <c r="L164" s="127"/>
      <c r="M164" s="128"/>
      <c r="N164" s="127"/>
      <c r="O164" s="115"/>
      <c r="P164" s="115"/>
      <c r="Q164" s="115"/>
      <c r="R164" s="115"/>
      <c r="S164" s="120"/>
      <c r="T164" s="120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</row>
    <row r="165" ht="18.0" customHeight="1">
      <c r="A165" s="114"/>
      <c r="B165" s="115"/>
      <c r="C165" s="115"/>
      <c r="D165" s="115"/>
      <c r="E165" s="116"/>
      <c r="F165" s="116"/>
      <c r="G165" s="115"/>
      <c r="H165" s="115"/>
      <c r="I165" s="115"/>
      <c r="J165" s="115"/>
      <c r="K165" s="115"/>
      <c r="L165" s="127"/>
      <c r="M165" s="128"/>
      <c r="N165" s="127"/>
      <c r="O165" s="115"/>
      <c r="P165" s="115"/>
      <c r="Q165" s="115"/>
      <c r="R165" s="115"/>
      <c r="S165" s="120"/>
      <c r="T165" s="120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</row>
    <row r="166" ht="18.0" customHeight="1">
      <c r="A166" s="114"/>
      <c r="B166" s="115"/>
      <c r="C166" s="115"/>
      <c r="D166" s="115"/>
      <c r="E166" s="116"/>
      <c r="F166" s="116"/>
      <c r="G166" s="115"/>
      <c r="H166" s="115"/>
      <c r="I166" s="115"/>
      <c r="J166" s="115"/>
      <c r="K166" s="115"/>
      <c r="L166" s="127"/>
      <c r="M166" s="128"/>
      <c r="N166" s="127"/>
      <c r="O166" s="115"/>
      <c r="P166" s="115"/>
      <c r="Q166" s="115"/>
      <c r="R166" s="115"/>
      <c r="S166" s="120"/>
      <c r="T166" s="120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</row>
    <row r="167" ht="18.0" customHeight="1">
      <c r="A167" s="114"/>
      <c r="B167" s="115"/>
      <c r="C167" s="115"/>
      <c r="D167" s="115"/>
      <c r="E167" s="116"/>
      <c r="F167" s="116"/>
      <c r="G167" s="115"/>
      <c r="H167" s="115"/>
      <c r="I167" s="115"/>
      <c r="J167" s="115"/>
      <c r="K167" s="115"/>
      <c r="L167" s="127"/>
      <c r="M167" s="128"/>
      <c r="N167" s="127"/>
      <c r="O167" s="115"/>
      <c r="P167" s="115"/>
      <c r="Q167" s="115"/>
      <c r="R167" s="115"/>
      <c r="S167" s="120"/>
      <c r="T167" s="120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</row>
    <row r="168" ht="18.0" customHeight="1">
      <c r="A168" s="114"/>
      <c r="B168" s="115"/>
      <c r="C168" s="115"/>
      <c r="D168" s="115"/>
      <c r="E168" s="116"/>
      <c r="F168" s="116"/>
      <c r="G168" s="115"/>
      <c r="H168" s="115"/>
      <c r="I168" s="115"/>
      <c r="J168" s="115"/>
      <c r="K168" s="115"/>
      <c r="L168" s="127"/>
      <c r="M168" s="128"/>
      <c r="N168" s="127"/>
      <c r="O168" s="115"/>
      <c r="P168" s="115"/>
      <c r="Q168" s="115"/>
      <c r="R168" s="115"/>
      <c r="S168" s="120"/>
      <c r="T168" s="120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</row>
    <row r="169" ht="18.0" customHeight="1">
      <c r="A169" s="114"/>
      <c r="B169" s="115"/>
      <c r="C169" s="115"/>
      <c r="D169" s="115"/>
      <c r="E169" s="116"/>
      <c r="F169" s="116"/>
      <c r="G169" s="115"/>
      <c r="H169" s="115"/>
      <c r="I169" s="115"/>
      <c r="J169" s="115"/>
      <c r="K169" s="115"/>
      <c r="L169" s="127"/>
      <c r="M169" s="128"/>
      <c r="N169" s="127"/>
      <c r="O169" s="115"/>
      <c r="P169" s="115"/>
      <c r="Q169" s="115"/>
      <c r="R169" s="115"/>
      <c r="S169" s="120"/>
      <c r="T169" s="120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</row>
    <row r="170" ht="18.0" customHeight="1">
      <c r="A170" s="114"/>
      <c r="B170" s="115"/>
      <c r="C170" s="115"/>
      <c r="D170" s="115"/>
      <c r="E170" s="116"/>
      <c r="F170" s="116"/>
      <c r="G170" s="115"/>
      <c r="H170" s="115"/>
      <c r="I170" s="115"/>
      <c r="J170" s="115"/>
      <c r="K170" s="115"/>
      <c r="L170" s="127"/>
      <c r="M170" s="128"/>
      <c r="N170" s="127"/>
      <c r="O170" s="115"/>
      <c r="P170" s="115"/>
      <c r="Q170" s="115"/>
      <c r="R170" s="115"/>
      <c r="S170" s="120"/>
      <c r="T170" s="120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</row>
    <row r="171" ht="18.0" customHeight="1">
      <c r="A171" s="114"/>
      <c r="B171" s="115"/>
      <c r="C171" s="115"/>
      <c r="D171" s="115"/>
      <c r="E171" s="116"/>
      <c r="F171" s="116"/>
      <c r="G171" s="115"/>
      <c r="H171" s="115"/>
      <c r="I171" s="115"/>
      <c r="J171" s="115"/>
      <c r="K171" s="115"/>
      <c r="L171" s="127"/>
      <c r="M171" s="128"/>
      <c r="N171" s="127"/>
      <c r="O171" s="115"/>
      <c r="P171" s="115"/>
      <c r="Q171" s="115"/>
      <c r="R171" s="115"/>
      <c r="S171" s="120"/>
      <c r="T171" s="120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</row>
    <row r="172" ht="18.0" customHeight="1">
      <c r="A172" s="114"/>
      <c r="B172" s="115"/>
      <c r="C172" s="115"/>
      <c r="D172" s="115"/>
      <c r="E172" s="116"/>
      <c r="F172" s="116"/>
      <c r="G172" s="115"/>
      <c r="H172" s="115"/>
      <c r="I172" s="115"/>
      <c r="J172" s="115"/>
      <c r="K172" s="115"/>
      <c r="L172" s="127"/>
      <c r="M172" s="128"/>
      <c r="N172" s="127"/>
      <c r="O172" s="115"/>
      <c r="P172" s="115"/>
      <c r="Q172" s="115"/>
      <c r="R172" s="115"/>
      <c r="S172" s="120"/>
      <c r="T172" s="120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</row>
    <row r="173" ht="18.0" customHeight="1">
      <c r="A173" s="114"/>
      <c r="B173" s="115"/>
      <c r="C173" s="115"/>
      <c r="D173" s="115"/>
      <c r="E173" s="116"/>
      <c r="F173" s="116"/>
      <c r="G173" s="115"/>
      <c r="H173" s="115"/>
      <c r="I173" s="115"/>
      <c r="J173" s="115"/>
      <c r="K173" s="115"/>
      <c r="L173" s="127"/>
      <c r="M173" s="128"/>
      <c r="N173" s="127"/>
      <c r="O173" s="115"/>
      <c r="P173" s="115"/>
      <c r="Q173" s="115"/>
      <c r="R173" s="115"/>
      <c r="S173" s="120"/>
      <c r="T173" s="120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</row>
    <row r="174" ht="18.0" customHeight="1">
      <c r="A174" s="114"/>
      <c r="B174" s="115"/>
      <c r="C174" s="115"/>
      <c r="D174" s="115"/>
      <c r="E174" s="116"/>
      <c r="F174" s="116"/>
      <c r="G174" s="115"/>
      <c r="H174" s="115"/>
      <c r="I174" s="115"/>
      <c r="J174" s="115"/>
      <c r="K174" s="115"/>
      <c r="L174" s="127"/>
      <c r="M174" s="128"/>
      <c r="N174" s="127"/>
      <c r="O174" s="115"/>
      <c r="P174" s="115"/>
      <c r="Q174" s="115"/>
      <c r="R174" s="115"/>
      <c r="S174" s="120"/>
      <c r="T174" s="120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</row>
    <row r="175" ht="18.0" customHeight="1">
      <c r="A175" s="114"/>
      <c r="B175" s="115"/>
      <c r="C175" s="115"/>
      <c r="D175" s="115"/>
      <c r="E175" s="116"/>
      <c r="F175" s="116"/>
      <c r="G175" s="115"/>
      <c r="H175" s="115"/>
      <c r="I175" s="115"/>
      <c r="J175" s="115"/>
      <c r="K175" s="115"/>
      <c r="L175" s="127"/>
      <c r="M175" s="128"/>
      <c r="N175" s="127"/>
      <c r="O175" s="115"/>
      <c r="P175" s="115"/>
      <c r="Q175" s="115"/>
      <c r="R175" s="115"/>
      <c r="S175" s="120"/>
      <c r="T175" s="120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</row>
    <row r="176" ht="18.0" customHeight="1">
      <c r="A176" s="114"/>
      <c r="B176" s="115"/>
      <c r="C176" s="115"/>
      <c r="D176" s="115"/>
      <c r="E176" s="116"/>
      <c r="F176" s="116"/>
      <c r="G176" s="115"/>
      <c r="H176" s="115"/>
      <c r="I176" s="115"/>
      <c r="J176" s="115"/>
      <c r="K176" s="115"/>
      <c r="L176" s="127"/>
      <c r="M176" s="128"/>
      <c r="N176" s="127"/>
      <c r="O176" s="115"/>
      <c r="P176" s="115"/>
      <c r="Q176" s="115"/>
      <c r="R176" s="115"/>
      <c r="S176" s="120"/>
      <c r="T176" s="120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</row>
    <row r="177" ht="18.0" customHeight="1">
      <c r="A177" s="114"/>
      <c r="B177" s="115"/>
      <c r="C177" s="115"/>
      <c r="D177" s="115"/>
      <c r="E177" s="116"/>
      <c r="F177" s="116"/>
      <c r="G177" s="115"/>
      <c r="H177" s="115"/>
      <c r="I177" s="115"/>
      <c r="J177" s="115"/>
      <c r="K177" s="115"/>
      <c r="L177" s="127"/>
      <c r="M177" s="128"/>
      <c r="N177" s="127"/>
      <c r="O177" s="115"/>
      <c r="P177" s="115"/>
      <c r="Q177" s="115"/>
      <c r="R177" s="115"/>
      <c r="S177" s="120"/>
      <c r="T177" s="120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</row>
    <row r="178" ht="18.0" customHeight="1">
      <c r="A178" s="114"/>
      <c r="B178" s="115"/>
      <c r="C178" s="115"/>
      <c r="D178" s="115"/>
      <c r="E178" s="116"/>
      <c r="F178" s="116"/>
      <c r="G178" s="115"/>
      <c r="H178" s="115"/>
      <c r="I178" s="115"/>
      <c r="J178" s="115"/>
      <c r="K178" s="115"/>
      <c r="L178" s="127"/>
      <c r="M178" s="128"/>
      <c r="N178" s="127"/>
      <c r="O178" s="115"/>
      <c r="P178" s="115"/>
      <c r="Q178" s="115"/>
      <c r="R178" s="115"/>
      <c r="S178" s="120"/>
      <c r="T178" s="120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</row>
    <row r="179" ht="18.0" customHeight="1">
      <c r="A179" s="114"/>
      <c r="B179" s="115"/>
      <c r="C179" s="115"/>
      <c r="D179" s="115"/>
      <c r="E179" s="116"/>
      <c r="F179" s="116"/>
      <c r="G179" s="115"/>
      <c r="H179" s="115"/>
      <c r="I179" s="115"/>
      <c r="J179" s="115"/>
      <c r="K179" s="115"/>
      <c r="L179" s="127"/>
      <c r="M179" s="128"/>
      <c r="N179" s="127"/>
      <c r="O179" s="115"/>
      <c r="P179" s="115"/>
      <c r="Q179" s="115"/>
      <c r="R179" s="115"/>
      <c r="S179" s="120"/>
      <c r="T179" s="120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</row>
    <row r="180" ht="18.0" customHeight="1">
      <c r="A180" s="114"/>
      <c r="B180" s="115"/>
      <c r="C180" s="115"/>
      <c r="D180" s="115"/>
      <c r="E180" s="116"/>
      <c r="F180" s="116"/>
      <c r="G180" s="115"/>
      <c r="H180" s="115"/>
      <c r="I180" s="115"/>
      <c r="J180" s="115"/>
      <c r="K180" s="115"/>
      <c r="L180" s="127"/>
      <c r="M180" s="128"/>
      <c r="N180" s="127"/>
      <c r="O180" s="115"/>
      <c r="P180" s="115"/>
      <c r="Q180" s="115"/>
      <c r="R180" s="115"/>
      <c r="S180" s="120"/>
      <c r="T180" s="120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</row>
    <row r="181" ht="18.0" customHeight="1">
      <c r="A181" s="114"/>
      <c r="B181" s="115"/>
      <c r="C181" s="115"/>
      <c r="D181" s="115"/>
      <c r="E181" s="116"/>
      <c r="F181" s="116"/>
      <c r="G181" s="115"/>
      <c r="H181" s="115"/>
      <c r="I181" s="115"/>
      <c r="J181" s="115"/>
      <c r="K181" s="115"/>
      <c r="L181" s="127"/>
      <c r="M181" s="128"/>
      <c r="N181" s="127"/>
      <c r="O181" s="115"/>
      <c r="P181" s="115"/>
      <c r="Q181" s="115"/>
      <c r="R181" s="115"/>
      <c r="S181" s="120"/>
      <c r="T181" s="120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</row>
    <row r="182" ht="18.0" customHeight="1">
      <c r="A182" s="114"/>
      <c r="B182" s="115"/>
      <c r="C182" s="115"/>
      <c r="D182" s="115"/>
      <c r="E182" s="116"/>
      <c r="F182" s="116"/>
      <c r="G182" s="115"/>
      <c r="H182" s="115"/>
      <c r="I182" s="115"/>
      <c r="J182" s="115"/>
      <c r="K182" s="115"/>
      <c r="L182" s="127"/>
      <c r="M182" s="128"/>
      <c r="N182" s="127"/>
      <c r="O182" s="115"/>
      <c r="P182" s="115"/>
      <c r="Q182" s="115"/>
      <c r="R182" s="115"/>
      <c r="S182" s="120"/>
      <c r="T182" s="120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</row>
    <row r="183" ht="18.0" customHeight="1">
      <c r="A183" s="114"/>
      <c r="B183" s="115"/>
      <c r="C183" s="115"/>
      <c r="D183" s="115"/>
      <c r="E183" s="116"/>
      <c r="F183" s="116"/>
      <c r="G183" s="115"/>
      <c r="H183" s="115"/>
      <c r="I183" s="115"/>
      <c r="J183" s="115"/>
      <c r="K183" s="115"/>
      <c r="L183" s="127"/>
      <c r="M183" s="128"/>
      <c r="N183" s="127"/>
      <c r="O183" s="115"/>
      <c r="P183" s="115"/>
      <c r="Q183" s="115"/>
      <c r="R183" s="115"/>
      <c r="S183" s="120"/>
      <c r="T183" s="120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</row>
    <row r="184" ht="18.0" customHeight="1">
      <c r="A184" s="114"/>
      <c r="B184" s="115"/>
      <c r="C184" s="115"/>
      <c r="D184" s="115"/>
      <c r="E184" s="116"/>
      <c r="F184" s="116"/>
      <c r="G184" s="115"/>
      <c r="H184" s="115"/>
      <c r="I184" s="115"/>
      <c r="J184" s="115"/>
      <c r="K184" s="115"/>
      <c r="L184" s="127"/>
      <c r="M184" s="128"/>
      <c r="N184" s="127"/>
      <c r="O184" s="115"/>
      <c r="P184" s="115"/>
      <c r="Q184" s="115"/>
      <c r="R184" s="115"/>
      <c r="S184" s="120"/>
      <c r="T184" s="120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</row>
    <row r="185" ht="18.0" customHeight="1">
      <c r="A185" s="114"/>
      <c r="B185" s="115"/>
      <c r="C185" s="115"/>
      <c r="D185" s="115"/>
      <c r="E185" s="116"/>
      <c r="F185" s="116"/>
      <c r="G185" s="115"/>
      <c r="H185" s="115"/>
      <c r="I185" s="115"/>
      <c r="J185" s="115"/>
      <c r="K185" s="115"/>
      <c r="L185" s="127"/>
      <c r="M185" s="128"/>
      <c r="N185" s="127"/>
      <c r="O185" s="115"/>
      <c r="P185" s="115"/>
      <c r="Q185" s="115"/>
      <c r="R185" s="115"/>
      <c r="S185" s="120"/>
      <c r="T185" s="120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</row>
    <row r="186" ht="18.0" customHeight="1">
      <c r="A186" s="114"/>
      <c r="B186" s="115"/>
      <c r="C186" s="115"/>
      <c r="D186" s="115"/>
      <c r="E186" s="116"/>
      <c r="F186" s="116"/>
      <c r="G186" s="115"/>
      <c r="H186" s="115"/>
      <c r="I186" s="115"/>
      <c r="J186" s="115"/>
      <c r="K186" s="115"/>
      <c r="L186" s="127"/>
      <c r="M186" s="128"/>
      <c r="N186" s="127"/>
      <c r="O186" s="115"/>
      <c r="P186" s="115"/>
      <c r="Q186" s="115"/>
      <c r="R186" s="115"/>
      <c r="S186" s="120"/>
      <c r="T186" s="120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</row>
    <row r="187" ht="18.0" customHeight="1">
      <c r="A187" s="114"/>
      <c r="B187" s="115"/>
      <c r="C187" s="115"/>
      <c r="D187" s="115"/>
      <c r="E187" s="116"/>
      <c r="F187" s="116"/>
      <c r="G187" s="115"/>
      <c r="H187" s="115"/>
      <c r="I187" s="115"/>
      <c r="J187" s="115"/>
      <c r="K187" s="115"/>
      <c r="L187" s="127"/>
      <c r="M187" s="128"/>
      <c r="N187" s="127"/>
      <c r="O187" s="115"/>
      <c r="P187" s="115"/>
      <c r="Q187" s="115"/>
      <c r="R187" s="115"/>
      <c r="S187" s="120"/>
      <c r="T187" s="120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</row>
    <row r="188" ht="18.0" customHeight="1">
      <c r="A188" s="114"/>
      <c r="B188" s="115"/>
      <c r="C188" s="115"/>
      <c r="D188" s="115"/>
      <c r="E188" s="116"/>
      <c r="F188" s="116"/>
      <c r="G188" s="115"/>
      <c r="H188" s="115"/>
      <c r="I188" s="115"/>
      <c r="J188" s="115"/>
      <c r="K188" s="115"/>
      <c r="L188" s="127"/>
      <c r="M188" s="128"/>
      <c r="N188" s="127"/>
      <c r="O188" s="115"/>
      <c r="P188" s="115"/>
      <c r="Q188" s="115"/>
      <c r="R188" s="115"/>
      <c r="S188" s="120"/>
      <c r="T188" s="120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</row>
    <row r="189" ht="18.0" customHeight="1">
      <c r="A189" s="114"/>
      <c r="B189" s="115"/>
      <c r="C189" s="115"/>
      <c r="D189" s="115"/>
      <c r="E189" s="116"/>
      <c r="F189" s="116"/>
      <c r="G189" s="115"/>
      <c r="H189" s="115"/>
      <c r="I189" s="115"/>
      <c r="J189" s="115"/>
      <c r="K189" s="115"/>
      <c r="L189" s="127"/>
      <c r="M189" s="128"/>
      <c r="N189" s="127"/>
      <c r="O189" s="115"/>
      <c r="P189" s="115"/>
      <c r="Q189" s="115"/>
      <c r="R189" s="115"/>
      <c r="S189" s="120"/>
      <c r="T189" s="120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</row>
    <row r="190" ht="18.0" customHeight="1">
      <c r="A190" s="114"/>
      <c r="B190" s="115"/>
      <c r="C190" s="115"/>
      <c r="D190" s="115"/>
      <c r="E190" s="116"/>
      <c r="F190" s="116"/>
      <c r="G190" s="115"/>
      <c r="H190" s="115"/>
      <c r="I190" s="115"/>
      <c r="J190" s="115"/>
      <c r="K190" s="115"/>
      <c r="L190" s="127"/>
      <c r="M190" s="128"/>
      <c r="N190" s="127"/>
      <c r="O190" s="115"/>
      <c r="P190" s="115"/>
      <c r="Q190" s="115"/>
      <c r="R190" s="115"/>
      <c r="S190" s="120"/>
      <c r="T190" s="120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</row>
    <row r="191" ht="18.0" customHeight="1">
      <c r="A191" s="114"/>
      <c r="B191" s="115"/>
      <c r="C191" s="115"/>
      <c r="D191" s="115"/>
      <c r="E191" s="116"/>
      <c r="F191" s="116"/>
      <c r="G191" s="115"/>
      <c r="H191" s="115"/>
      <c r="I191" s="115"/>
      <c r="J191" s="115"/>
      <c r="K191" s="115"/>
      <c r="L191" s="127"/>
      <c r="M191" s="128"/>
      <c r="N191" s="127"/>
      <c r="O191" s="115"/>
      <c r="P191" s="115"/>
      <c r="Q191" s="115"/>
      <c r="R191" s="115"/>
      <c r="S191" s="120"/>
      <c r="T191" s="120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</row>
    <row r="192" ht="18.0" customHeight="1">
      <c r="A192" s="114"/>
      <c r="B192" s="115"/>
      <c r="C192" s="115"/>
      <c r="D192" s="115"/>
      <c r="E192" s="116"/>
      <c r="F192" s="116"/>
      <c r="G192" s="115"/>
      <c r="H192" s="115"/>
      <c r="I192" s="115"/>
      <c r="J192" s="115"/>
      <c r="K192" s="115"/>
      <c r="L192" s="127"/>
      <c r="M192" s="128"/>
      <c r="N192" s="127"/>
      <c r="O192" s="115"/>
      <c r="P192" s="115"/>
      <c r="Q192" s="115"/>
      <c r="R192" s="115"/>
      <c r="S192" s="120"/>
      <c r="T192" s="120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</row>
    <row r="193" ht="18.0" customHeight="1">
      <c r="A193" s="114"/>
      <c r="B193" s="115"/>
      <c r="C193" s="115"/>
      <c r="D193" s="115"/>
      <c r="E193" s="116"/>
      <c r="F193" s="116"/>
      <c r="G193" s="115"/>
      <c r="H193" s="115"/>
      <c r="I193" s="115"/>
      <c r="J193" s="115"/>
      <c r="K193" s="115"/>
      <c r="L193" s="127"/>
      <c r="M193" s="128"/>
      <c r="N193" s="127"/>
      <c r="O193" s="115"/>
      <c r="P193" s="115"/>
      <c r="Q193" s="115"/>
      <c r="R193" s="115"/>
      <c r="S193" s="120"/>
      <c r="T193" s="120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</row>
    <row r="194" ht="18.0" customHeight="1">
      <c r="A194" s="114"/>
      <c r="B194" s="115"/>
      <c r="C194" s="115"/>
      <c r="D194" s="115"/>
      <c r="E194" s="116"/>
      <c r="F194" s="116"/>
      <c r="G194" s="115"/>
      <c r="H194" s="115"/>
      <c r="I194" s="115"/>
      <c r="J194" s="115"/>
      <c r="K194" s="115"/>
      <c r="L194" s="127"/>
      <c r="M194" s="128"/>
      <c r="N194" s="127"/>
      <c r="O194" s="115"/>
      <c r="P194" s="115"/>
      <c r="Q194" s="115"/>
      <c r="R194" s="115"/>
      <c r="S194" s="120"/>
      <c r="T194" s="120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</row>
    <row r="195" ht="18.0" customHeight="1">
      <c r="A195" s="114"/>
      <c r="B195" s="115"/>
      <c r="C195" s="115"/>
      <c r="D195" s="115"/>
      <c r="E195" s="116"/>
      <c r="F195" s="116"/>
      <c r="G195" s="115"/>
      <c r="H195" s="115"/>
      <c r="I195" s="115"/>
      <c r="J195" s="115"/>
      <c r="K195" s="115"/>
      <c r="L195" s="127"/>
      <c r="M195" s="128"/>
      <c r="N195" s="127"/>
      <c r="O195" s="115"/>
      <c r="P195" s="115"/>
      <c r="Q195" s="115"/>
      <c r="R195" s="115"/>
      <c r="S195" s="120"/>
      <c r="T195" s="120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</row>
    <row r="196" ht="18.0" customHeight="1">
      <c r="A196" s="114"/>
      <c r="B196" s="115"/>
      <c r="C196" s="115"/>
      <c r="D196" s="115"/>
      <c r="E196" s="116"/>
      <c r="F196" s="116"/>
      <c r="G196" s="115"/>
      <c r="H196" s="115"/>
      <c r="I196" s="115"/>
      <c r="J196" s="115"/>
      <c r="K196" s="115"/>
      <c r="L196" s="127"/>
      <c r="M196" s="128"/>
      <c r="N196" s="127"/>
      <c r="O196" s="115"/>
      <c r="P196" s="115"/>
      <c r="Q196" s="115"/>
      <c r="R196" s="115"/>
      <c r="S196" s="120"/>
      <c r="T196" s="120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</row>
    <row r="197" ht="18.0" customHeight="1">
      <c r="A197" s="114"/>
      <c r="B197" s="115"/>
      <c r="C197" s="115"/>
      <c r="D197" s="115"/>
      <c r="E197" s="116"/>
      <c r="F197" s="116"/>
      <c r="G197" s="115"/>
      <c r="H197" s="115"/>
      <c r="I197" s="115"/>
      <c r="J197" s="115"/>
      <c r="K197" s="115"/>
      <c r="L197" s="127"/>
      <c r="M197" s="128"/>
      <c r="N197" s="127"/>
      <c r="O197" s="115"/>
      <c r="P197" s="115"/>
      <c r="Q197" s="115"/>
      <c r="R197" s="115"/>
      <c r="S197" s="120"/>
      <c r="T197" s="120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</row>
    <row r="198" ht="18.0" customHeight="1">
      <c r="A198" s="114"/>
      <c r="B198" s="115"/>
      <c r="C198" s="115"/>
      <c r="D198" s="115"/>
      <c r="E198" s="116"/>
      <c r="F198" s="116"/>
      <c r="G198" s="115"/>
      <c r="H198" s="115"/>
      <c r="I198" s="115"/>
      <c r="J198" s="115"/>
      <c r="K198" s="115"/>
      <c r="L198" s="127"/>
      <c r="M198" s="128"/>
      <c r="N198" s="127"/>
      <c r="O198" s="115"/>
      <c r="P198" s="115"/>
      <c r="Q198" s="115"/>
      <c r="R198" s="115"/>
      <c r="S198" s="120"/>
      <c r="T198" s="120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</row>
    <row r="199" ht="18.0" customHeight="1">
      <c r="A199" s="114"/>
      <c r="B199" s="115"/>
      <c r="C199" s="115"/>
      <c r="D199" s="115"/>
      <c r="E199" s="116"/>
      <c r="F199" s="116"/>
      <c r="G199" s="115"/>
      <c r="H199" s="115"/>
      <c r="I199" s="115"/>
      <c r="J199" s="115"/>
      <c r="K199" s="115"/>
      <c r="L199" s="127"/>
      <c r="M199" s="128"/>
      <c r="N199" s="127"/>
      <c r="O199" s="115"/>
      <c r="P199" s="115"/>
      <c r="Q199" s="115"/>
      <c r="R199" s="115"/>
      <c r="S199" s="120"/>
      <c r="T199" s="120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</row>
    <row r="200" ht="18.0" customHeight="1">
      <c r="A200" s="114"/>
      <c r="B200" s="115"/>
      <c r="C200" s="115"/>
      <c r="D200" s="115"/>
      <c r="E200" s="116"/>
      <c r="F200" s="116"/>
      <c r="G200" s="115"/>
      <c r="H200" s="115"/>
      <c r="I200" s="115"/>
      <c r="J200" s="115"/>
      <c r="K200" s="115"/>
      <c r="L200" s="127"/>
      <c r="M200" s="128"/>
      <c r="N200" s="127"/>
      <c r="O200" s="115"/>
      <c r="P200" s="115"/>
      <c r="Q200" s="115"/>
      <c r="R200" s="115"/>
      <c r="S200" s="120"/>
      <c r="T200" s="120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</row>
    <row r="201" ht="18.0" customHeight="1">
      <c r="A201" s="114"/>
      <c r="B201" s="115"/>
      <c r="C201" s="115"/>
      <c r="D201" s="115"/>
      <c r="E201" s="116"/>
      <c r="F201" s="116"/>
      <c r="G201" s="115"/>
      <c r="H201" s="115"/>
      <c r="I201" s="115"/>
      <c r="J201" s="115"/>
      <c r="K201" s="115"/>
      <c r="L201" s="127"/>
      <c r="M201" s="128"/>
      <c r="N201" s="127"/>
      <c r="O201" s="115"/>
      <c r="P201" s="115"/>
      <c r="Q201" s="115"/>
      <c r="R201" s="115"/>
      <c r="S201" s="120"/>
      <c r="T201" s="120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</row>
    <row r="202" ht="18.0" customHeight="1">
      <c r="A202" s="114"/>
      <c r="B202" s="115"/>
      <c r="C202" s="115"/>
      <c r="D202" s="115"/>
      <c r="E202" s="116"/>
      <c r="F202" s="116"/>
      <c r="G202" s="115"/>
      <c r="H202" s="115"/>
      <c r="I202" s="115"/>
      <c r="J202" s="115"/>
      <c r="K202" s="115"/>
      <c r="L202" s="127"/>
      <c r="M202" s="128"/>
      <c r="N202" s="127"/>
      <c r="O202" s="115"/>
      <c r="P202" s="115"/>
      <c r="Q202" s="115"/>
      <c r="R202" s="115"/>
      <c r="S202" s="120"/>
      <c r="T202" s="120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</row>
    <row r="203" ht="18.0" customHeight="1">
      <c r="A203" s="114"/>
      <c r="B203" s="115"/>
      <c r="C203" s="115"/>
      <c r="D203" s="115"/>
      <c r="E203" s="116"/>
      <c r="F203" s="116"/>
      <c r="G203" s="115"/>
      <c r="H203" s="115"/>
      <c r="I203" s="115"/>
      <c r="J203" s="115"/>
      <c r="K203" s="115"/>
      <c r="L203" s="127"/>
      <c r="M203" s="128"/>
      <c r="N203" s="127"/>
      <c r="O203" s="115"/>
      <c r="P203" s="115"/>
      <c r="Q203" s="115"/>
      <c r="R203" s="115"/>
      <c r="S203" s="120"/>
      <c r="T203" s="120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</row>
    <row r="204" ht="18.0" customHeight="1">
      <c r="A204" s="114"/>
      <c r="B204" s="115"/>
      <c r="C204" s="115"/>
      <c r="D204" s="115"/>
      <c r="E204" s="116"/>
      <c r="F204" s="116"/>
      <c r="G204" s="115"/>
      <c r="H204" s="115"/>
      <c r="I204" s="115"/>
      <c r="J204" s="115"/>
      <c r="K204" s="115"/>
      <c r="L204" s="127"/>
      <c r="M204" s="128"/>
      <c r="N204" s="127"/>
      <c r="O204" s="115"/>
      <c r="P204" s="115"/>
      <c r="Q204" s="115"/>
      <c r="R204" s="115"/>
      <c r="S204" s="120"/>
      <c r="T204" s="120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</row>
    <row r="205" ht="18.0" customHeight="1">
      <c r="A205" s="114"/>
      <c r="B205" s="115"/>
      <c r="C205" s="115"/>
      <c r="D205" s="115"/>
      <c r="E205" s="116"/>
      <c r="F205" s="116"/>
      <c r="G205" s="115"/>
      <c r="H205" s="115"/>
      <c r="I205" s="115"/>
      <c r="J205" s="115"/>
      <c r="K205" s="115"/>
      <c r="L205" s="127"/>
      <c r="M205" s="128"/>
      <c r="N205" s="127"/>
      <c r="O205" s="115"/>
      <c r="P205" s="115"/>
      <c r="Q205" s="115"/>
      <c r="R205" s="115"/>
      <c r="S205" s="120"/>
      <c r="T205" s="120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</row>
    <row r="206" ht="18.0" customHeight="1">
      <c r="A206" s="114"/>
      <c r="B206" s="115"/>
      <c r="C206" s="115"/>
      <c r="D206" s="115"/>
      <c r="E206" s="116"/>
      <c r="F206" s="116"/>
      <c r="G206" s="115"/>
      <c r="H206" s="115"/>
      <c r="I206" s="115"/>
      <c r="J206" s="115"/>
      <c r="K206" s="115"/>
      <c r="L206" s="127"/>
      <c r="M206" s="128"/>
      <c r="N206" s="127"/>
      <c r="O206" s="115"/>
      <c r="P206" s="115"/>
      <c r="Q206" s="115"/>
      <c r="R206" s="115"/>
      <c r="S206" s="120"/>
      <c r="T206" s="120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</row>
    <row r="207" ht="18.0" customHeight="1">
      <c r="A207" s="114"/>
      <c r="B207" s="115"/>
      <c r="C207" s="115"/>
      <c r="D207" s="115"/>
      <c r="E207" s="116"/>
      <c r="F207" s="116"/>
      <c r="G207" s="115"/>
      <c r="H207" s="115"/>
      <c r="I207" s="115"/>
      <c r="J207" s="115"/>
      <c r="K207" s="115"/>
      <c r="L207" s="127"/>
      <c r="M207" s="128"/>
      <c r="N207" s="127"/>
      <c r="O207" s="115"/>
      <c r="P207" s="115"/>
      <c r="Q207" s="115"/>
      <c r="R207" s="115"/>
      <c r="S207" s="120"/>
      <c r="T207" s="120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</row>
    <row r="208" ht="18.0" customHeight="1">
      <c r="A208" s="114"/>
      <c r="B208" s="115"/>
      <c r="C208" s="115"/>
      <c r="D208" s="115"/>
      <c r="E208" s="116"/>
      <c r="F208" s="116"/>
      <c r="G208" s="115"/>
      <c r="H208" s="115"/>
      <c r="I208" s="115"/>
      <c r="J208" s="115"/>
      <c r="K208" s="115"/>
      <c r="L208" s="127"/>
      <c r="M208" s="128"/>
      <c r="N208" s="127"/>
      <c r="O208" s="115"/>
      <c r="P208" s="115"/>
      <c r="Q208" s="115"/>
      <c r="R208" s="115"/>
      <c r="S208" s="120"/>
      <c r="T208" s="120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</row>
    <row r="209" ht="18.0" customHeight="1">
      <c r="A209" s="114"/>
      <c r="B209" s="115"/>
      <c r="C209" s="115"/>
      <c r="D209" s="115"/>
      <c r="E209" s="116"/>
      <c r="F209" s="116"/>
      <c r="G209" s="115"/>
      <c r="H209" s="115"/>
      <c r="I209" s="115"/>
      <c r="J209" s="115"/>
      <c r="K209" s="115"/>
      <c r="L209" s="127"/>
      <c r="M209" s="128"/>
      <c r="N209" s="127"/>
      <c r="O209" s="115"/>
      <c r="P209" s="115"/>
      <c r="Q209" s="115"/>
      <c r="R209" s="115"/>
      <c r="S209" s="120"/>
      <c r="T209" s="120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</row>
    <row r="210" ht="18.0" customHeight="1">
      <c r="A210" s="114"/>
      <c r="B210" s="115"/>
      <c r="C210" s="115"/>
      <c r="D210" s="115"/>
      <c r="E210" s="116"/>
      <c r="F210" s="116"/>
      <c r="G210" s="115"/>
      <c r="H210" s="115"/>
      <c r="I210" s="115"/>
      <c r="J210" s="115"/>
      <c r="K210" s="115"/>
      <c r="L210" s="127"/>
      <c r="M210" s="128"/>
      <c r="N210" s="127"/>
      <c r="O210" s="115"/>
      <c r="P210" s="115"/>
      <c r="Q210" s="115"/>
      <c r="R210" s="115"/>
      <c r="S210" s="120"/>
      <c r="T210" s="120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</row>
    <row r="211" ht="18.0" customHeight="1">
      <c r="A211" s="114"/>
      <c r="B211" s="115"/>
      <c r="C211" s="115"/>
      <c r="D211" s="115"/>
      <c r="E211" s="116"/>
      <c r="F211" s="116"/>
      <c r="G211" s="115"/>
      <c r="H211" s="115"/>
      <c r="I211" s="115"/>
      <c r="J211" s="115"/>
      <c r="K211" s="115"/>
      <c r="L211" s="127"/>
      <c r="M211" s="128"/>
      <c r="N211" s="127"/>
      <c r="O211" s="115"/>
      <c r="P211" s="115"/>
      <c r="Q211" s="115"/>
      <c r="R211" s="115"/>
      <c r="S211" s="120"/>
      <c r="T211" s="120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</row>
    <row r="212" ht="18.0" customHeight="1">
      <c r="A212" s="114"/>
      <c r="B212" s="115"/>
      <c r="C212" s="115"/>
      <c r="D212" s="115"/>
      <c r="E212" s="116"/>
      <c r="F212" s="116"/>
      <c r="G212" s="115"/>
      <c r="H212" s="115"/>
      <c r="I212" s="115"/>
      <c r="J212" s="115"/>
      <c r="K212" s="115"/>
      <c r="L212" s="127"/>
      <c r="M212" s="128"/>
      <c r="N212" s="127"/>
      <c r="O212" s="115"/>
      <c r="P212" s="115"/>
      <c r="Q212" s="115"/>
      <c r="R212" s="115"/>
      <c r="S212" s="120"/>
      <c r="T212" s="120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</row>
    <row r="213" ht="18.0" customHeight="1">
      <c r="A213" s="114"/>
      <c r="B213" s="115"/>
      <c r="C213" s="115"/>
      <c r="D213" s="115"/>
      <c r="E213" s="116"/>
      <c r="F213" s="116"/>
      <c r="G213" s="115"/>
      <c r="H213" s="115"/>
      <c r="I213" s="115"/>
      <c r="J213" s="115"/>
      <c r="K213" s="115"/>
      <c r="L213" s="127"/>
      <c r="M213" s="128"/>
      <c r="N213" s="127"/>
      <c r="O213" s="115"/>
      <c r="P213" s="115"/>
      <c r="Q213" s="115"/>
      <c r="R213" s="115"/>
      <c r="S213" s="120"/>
      <c r="T213" s="120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</row>
    <row r="214" ht="18.0" customHeight="1">
      <c r="A214" s="114"/>
      <c r="B214" s="115"/>
      <c r="C214" s="115"/>
      <c r="D214" s="115"/>
      <c r="E214" s="116"/>
      <c r="F214" s="116"/>
      <c r="G214" s="115"/>
      <c r="H214" s="115"/>
      <c r="I214" s="115"/>
      <c r="J214" s="115"/>
      <c r="K214" s="115"/>
      <c r="L214" s="127"/>
      <c r="M214" s="128"/>
      <c r="N214" s="127"/>
      <c r="O214" s="115"/>
      <c r="P214" s="115"/>
      <c r="Q214" s="115"/>
      <c r="R214" s="115"/>
      <c r="S214" s="120"/>
      <c r="T214" s="120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</row>
    <row r="215" ht="18.0" customHeight="1">
      <c r="A215" s="114"/>
      <c r="B215" s="115"/>
      <c r="C215" s="115"/>
      <c r="D215" s="115"/>
      <c r="E215" s="116"/>
      <c r="F215" s="116"/>
      <c r="G215" s="115"/>
      <c r="H215" s="115"/>
      <c r="I215" s="115"/>
      <c r="J215" s="115"/>
      <c r="K215" s="115"/>
      <c r="L215" s="127"/>
      <c r="M215" s="128"/>
      <c r="N215" s="127"/>
      <c r="O215" s="115"/>
      <c r="P215" s="115"/>
      <c r="Q215" s="115"/>
      <c r="R215" s="115"/>
      <c r="S215" s="120"/>
      <c r="T215" s="120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</row>
    <row r="216" ht="18.0" customHeight="1">
      <c r="A216" s="114"/>
      <c r="B216" s="115"/>
      <c r="C216" s="115"/>
      <c r="D216" s="115"/>
      <c r="E216" s="116"/>
      <c r="F216" s="116"/>
      <c r="G216" s="115"/>
      <c r="H216" s="115"/>
      <c r="I216" s="115"/>
      <c r="J216" s="115"/>
      <c r="K216" s="115"/>
      <c r="L216" s="127"/>
      <c r="M216" s="128"/>
      <c r="N216" s="127"/>
      <c r="O216" s="115"/>
      <c r="P216" s="115"/>
      <c r="Q216" s="115"/>
      <c r="R216" s="115"/>
      <c r="S216" s="120"/>
      <c r="T216" s="120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</row>
    <row r="217" ht="18.0" customHeight="1">
      <c r="A217" s="114"/>
      <c r="B217" s="115"/>
      <c r="C217" s="115"/>
      <c r="D217" s="115"/>
      <c r="E217" s="116"/>
      <c r="F217" s="116"/>
      <c r="G217" s="115"/>
      <c r="H217" s="115"/>
      <c r="I217" s="115"/>
      <c r="J217" s="115"/>
      <c r="K217" s="115"/>
      <c r="L217" s="127"/>
      <c r="M217" s="128"/>
      <c r="N217" s="127"/>
      <c r="O217" s="115"/>
      <c r="P217" s="115"/>
      <c r="Q217" s="115"/>
      <c r="R217" s="115"/>
      <c r="S217" s="120"/>
      <c r="T217" s="120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</row>
    <row r="218" ht="18.0" customHeight="1">
      <c r="A218" s="114"/>
      <c r="B218" s="115"/>
      <c r="C218" s="115"/>
      <c r="D218" s="115"/>
      <c r="E218" s="116"/>
      <c r="F218" s="116"/>
      <c r="G218" s="115"/>
      <c r="H218" s="115"/>
      <c r="I218" s="115"/>
      <c r="J218" s="115"/>
      <c r="K218" s="115"/>
      <c r="L218" s="127"/>
      <c r="M218" s="128"/>
      <c r="N218" s="127"/>
      <c r="O218" s="115"/>
      <c r="P218" s="115"/>
      <c r="Q218" s="115"/>
      <c r="R218" s="115"/>
      <c r="S218" s="120"/>
      <c r="T218" s="120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</row>
    <row r="219" ht="18.0" customHeight="1">
      <c r="A219" s="114"/>
      <c r="B219" s="115"/>
      <c r="C219" s="115"/>
      <c r="D219" s="115"/>
      <c r="E219" s="116"/>
      <c r="F219" s="116"/>
      <c r="G219" s="115"/>
      <c r="H219" s="115"/>
      <c r="I219" s="115"/>
      <c r="J219" s="115"/>
      <c r="K219" s="115"/>
      <c r="L219" s="127"/>
      <c r="M219" s="128"/>
      <c r="N219" s="127"/>
      <c r="O219" s="115"/>
      <c r="P219" s="115"/>
      <c r="Q219" s="115"/>
      <c r="R219" s="115"/>
      <c r="S219" s="120"/>
      <c r="T219" s="120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</row>
    <row r="220" ht="18.0" customHeight="1">
      <c r="A220" s="114"/>
      <c r="B220" s="115"/>
      <c r="C220" s="115"/>
      <c r="D220" s="115"/>
      <c r="E220" s="116"/>
      <c r="F220" s="116"/>
      <c r="G220" s="115"/>
      <c r="H220" s="115"/>
      <c r="I220" s="115"/>
      <c r="J220" s="115"/>
      <c r="K220" s="115"/>
      <c r="L220" s="127"/>
      <c r="M220" s="128"/>
      <c r="N220" s="127"/>
      <c r="O220" s="115"/>
      <c r="P220" s="115"/>
      <c r="Q220" s="115"/>
      <c r="R220" s="115"/>
      <c r="S220" s="120"/>
      <c r="T220" s="120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</row>
    <row r="221" ht="18.0" customHeight="1">
      <c r="A221" s="114"/>
      <c r="B221" s="115"/>
      <c r="C221" s="115"/>
      <c r="D221" s="115"/>
      <c r="E221" s="116"/>
      <c r="F221" s="116"/>
      <c r="G221" s="115"/>
      <c r="H221" s="115"/>
      <c r="I221" s="115"/>
      <c r="J221" s="115"/>
      <c r="K221" s="115"/>
      <c r="L221" s="127"/>
      <c r="M221" s="128"/>
      <c r="N221" s="127"/>
      <c r="O221" s="115"/>
      <c r="P221" s="115"/>
      <c r="Q221" s="115"/>
      <c r="R221" s="115"/>
      <c r="S221" s="120"/>
      <c r="T221" s="120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</row>
    <row r="222" ht="18.0" customHeight="1">
      <c r="A222" s="114"/>
      <c r="B222" s="115"/>
      <c r="C222" s="115"/>
      <c r="D222" s="115"/>
      <c r="E222" s="116"/>
      <c r="F222" s="116"/>
      <c r="G222" s="115"/>
      <c r="H222" s="115"/>
      <c r="I222" s="115"/>
      <c r="J222" s="115"/>
      <c r="K222" s="115"/>
      <c r="L222" s="127"/>
      <c r="M222" s="128"/>
      <c r="N222" s="127"/>
      <c r="O222" s="115"/>
      <c r="P222" s="115"/>
      <c r="Q222" s="115"/>
      <c r="R222" s="115"/>
      <c r="S222" s="120"/>
      <c r="T222" s="120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</row>
    <row r="223" ht="18.0" customHeight="1">
      <c r="A223" s="114"/>
      <c r="B223" s="115"/>
      <c r="C223" s="115"/>
      <c r="D223" s="115"/>
      <c r="E223" s="116"/>
      <c r="F223" s="116"/>
      <c r="G223" s="115"/>
      <c r="H223" s="115"/>
      <c r="I223" s="115"/>
      <c r="J223" s="115"/>
      <c r="K223" s="115"/>
      <c r="L223" s="127"/>
      <c r="M223" s="128"/>
      <c r="N223" s="127"/>
      <c r="O223" s="115"/>
      <c r="P223" s="115"/>
      <c r="Q223" s="115"/>
      <c r="R223" s="115"/>
      <c r="S223" s="120"/>
      <c r="T223" s="120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</row>
    <row r="224" ht="18.0" customHeight="1">
      <c r="A224" s="114"/>
      <c r="B224" s="115"/>
      <c r="C224" s="115"/>
      <c r="D224" s="115"/>
      <c r="E224" s="116"/>
      <c r="F224" s="116"/>
      <c r="G224" s="115"/>
      <c r="H224" s="115"/>
      <c r="I224" s="115"/>
      <c r="J224" s="115"/>
      <c r="K224" s="115"/>
      <c r="L224" s="127"/>
      <c r="M224" s="128"/>
      <c r="N224" s="127"/>
      <c r="O224" s="115"/>
      <c r="P224" s="115"/>
      <c r="Q224" s="115"/>
      <c r="R224" s="115"/>
      <c r="S224" s="120"/>
      <c r="T224" s="120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</row>
    <row r="225" ht="18.0" customHeight="1">
      <c r="A225" s="114"/>
      <c r="B225" s="115"/>
      <c r="C225" s="115"/>
      <c r="D225" s="115"/>
      <c r="E225" s="116"/>
      <c r="F225" s="116"/>
      <c r="G225" s="115"/>
      <c r="H225" s="115"/>
      <c r="I225" s="115"/>
      <c r="J225" s="115"/>
      <c r="K225" s="115"/>
      <c r="L225" s="127"/>
      <c r="M225" s="128"/>
      <c r="N225" s="127"/>
      <c r="O225" s="115"/>
      <c r="P225" s="115"/>
      <c r="Q225" s="115"/>
      <c r="R225" s="115"/>
      <c r="S225" s="120"/>
      <c r="T225" s="120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</row>
    <row r="226" ht="18.0" customHeight="1">
      <c r="A226" s="114"/>
      <c r="B226" s="115"/>
      <c r="C226" s="115"/>
      <c r="D226" s="115"/>
      <c r="E226" s="116"/>
      <c r="F226" s="116"/>
      <c r="G226" s="115"/>
      <c r="H226" s="115"/>
      <c r="I226" s="115"/>
      <c r="J226" s="115"/>
      <c r="K226" s="115"/>
      <c r="L226" s="127"/>
      <c r="M226" s="128"/>
      <c r="N226" s="127"/>
      <c r="O226" s="115"/>
      <c r="P226" s="115"/>
      <c r="Q226" s="115"/>
      <c r="R226" s="115"/>
      <c r="S226" s="120"/>
      <c r="T226" s="120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</row>
    <row r="227" ht="18.0" customHeight="1">
      <c r="A227" s="114"/>
      <c r="B227" s="115"/>
      <c r="C227" s="115"/>
      <c r="D227" s="115"/>
      <c r="E227" s="116"/>
      <c r="F227" s="116"/>
      <c r="G227" s="115"/>
      <c r="H227" s="115"/>
      <c r="I227" s="115"/>
      <c r="J227" s="115"/>
      <c r="K227" s="115"/>
      <c r="L227" s="127"/>
      <c r="M227" s="128"/>
      <c r="N227" s="127"/>
      <c r="O227" s="115"/>
      <c r="P227" s="115"/>
      <c r="Q227" s="115"/>
      <c r="R227" s="115"/>
      <c r="S227" s="120"/>
      <c r="T227" s="120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</row>
    <row r="228" ht="18.0" customHeight="1">
      <c r="A228" s="114"/>
      <c r="B228" s="115"/>
      <c r="C228" s="115"/>
      <c r="D228" s="115"/>
      <c r="E228" s="116"/>
      <c r="F228" s="116"/>
      <c r="G228" s="115"/>
      <c r="H228" s="115"/>
      <c r="I228" s="115"/>
      <c r="J228" s="115"/>
      <c r="K228" s="115"/>
      <c r="L228" s="127"/>
      <c r="M228" s="128"/>
      <c r="N228" s="127"/>
      <c r="O228" s="115"/>
      <c r="P228" s="115"/>
      <c r="Q228" s="115"/>
      <c r="R228" s="115"/>
      <c r="S228" s="120"/>
      <c r="T228" s="120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</row>
    <row r="229" ht="18.0" customHeight="1">
      <c r="A229" s="114"/>
      <c r="B229" s="115"/>
      <c r="C229" s="115"/>
      <c r="D229" s="115"/>
      <c r="E229" s="116"/>
      <c r="F229" s="116"/>
      <c r="G229" s="115"/>
      <c r="H229" s="115"/>
      <c r="I229" s="115"/>
      <c r="J229" s="115"/>
      <c r="K229" s="115"/>
      <c r="L229" s="127"/>
      <c r="M229" s="128"/>
      <c r="N229" s="127"/>
      <c r="O229" s="115"/>
      <c r="P229" s="115"/>
      <c r="Q229" s="115"/>
      <c r="R229" s="115"/>
      <c r="S229" s="120"/>
      <c r="T229" s="120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</row>
    <row r="230" ht="18.0" customHeight="1">
      <c r="A230" s="114"/>
      <c r="B230" s="115"/>
      <c r="C230" s="115"/>
      <c r="D230" s="115"/>
      <c r="E230" s="116"/>
      <c r="F230" s="116"/>
      <c r="G230" s="115"/>
      <c r="H230" s="115"/>
      <c r="I230" s="115"/>
      <c r="J230" s="115"/>
      <c r="K230" s="115"/>
      <c r="L230" s="127"/>
      <c r="M230" s="128"/>
      <c r="N230" s="127"/>
      <c r="O230" s="115"/>
      <c r="P230" s="115"/>
      <c r="Q230" s="115"/>
      <c r="R230" s="115"/>
      <c r="S230" s="120"/>
      <c r="T230" s="120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</row>
    <row r="231" ht="18.0" customHeight="1">
      <c r="A231" s="114"/>
      <c r="B231" s="115"/>
      <c r="C231" s="115"/>
      <c r="D231" s="115"/>
      <c r="E231" s="116"/>
      <c r="F231" s="116"/>
      <c r="G231" s="115"/>
      <c r="H231" s="115"/>
      <c r="I231" s="115"/>
      <c r="J231" s="115"/>
      <c r="K231" s="115"/>
      <c r="L231" s="127"/>
      <c r="M231" s="128"/>
      <c r="N231" s="127"/>
      <c r="O231" s="115"/>
      <c r="P231" s="115"/>
      <c r="Q231" s="115"/>
      <c r="R231" s="115"/>
      <c r="S231" s="120"/>
      <c r="T231" s="120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</row>
    <row r="232" ht="18.0" customHeight="1">
      <c r="A232" s="114"/>
      <c r="B232" s="115"/>
      <c r="C232" s="115"/>
      <c r="D232" s="115"/>
      <c r="E232" s="116"/>
      <c r="F232" s="116"/>
      <c r="G232" s="115"/>
      <c r="H232" s="115"/>
      <c r="I232" s="115"/>
      <c r="J232" s="115"/>
      <c r="K232" s="115"/>
      <c r="L232" s="127"/>
      <c r="M232" s="128"/>
      <c r="N232" s="127"/>
      <c r="O232" s="115"/>
      <c r="P232" s="115"/>
      <c r="Q232" s="115"/>
      <c r="R232" s="115"/>
      <c r="S232" s="120"/>
      <c r="T232" s="120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</row>
    <row r="233" ht="18.0" customHeight="1">
      <c r="A233" s="114"/>
      <c r="B233" s="115"/>
      <c r="C233" s="115"/>
      <c r="D233" s="115"/>
      <c r="E233" s="116"/>
      <c r="F233" s="116"/>
      <c r="G233" s="115"/>
      <c r="H233" s="115"/>
      <c r="I233" s="115"/>
      <c r="J233" s="115"/>
      <c r="K233" s="115"/>
      <c r="L233" s="127"/>
      <c r="M233" s="128"/>
      <c r="N233" s="127"/>
      <c r="O233" s="115"/>
      <c r="P233" s="115"/>
      <c r="Q233" s="115"/>
      <c r="R233" s="115"/>
      <c r="S233" s="120"/>
      <c r="T233" s="120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</row>
    <row r="234" ht="18.0" customHeight="1">
      <c r="A234" s="114"/>
      <c r="B234" s="115"/>
      <c r="C234" s="115"/>
      <c r="D234" s="115"/>
      <c r="E234" s="116"/>
      <c r="F234" s="116"/>
      <c r="G234" s="115"/>
      <c r="H234" s="115"/>
      <c r="I234" s="115"/>
      <c r="J234" s="115"/>
      <c r="K234" s="115"/>
      <c r="L234" s="127"/>
      <c r="M234" s="128"/>
      <c r="N234" s="127"/>
      <c r="O234" s="115"/>
      <c r="P234" s="115"/>
      <c r="Q234" s="115"/>
      <c r="R234" s="115"/>
      <c r="S234" s="120"/>
      <c r="T234" s="120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</row>
    <row r="235" ht="18.0" customHeight="1">
      <c r="A235" s="114"/>
      <c r="B235" s="115"/>
      <c r="C235" s="115"/>
      <c r="D235" s="115"/>
      <c r="E235" s="116"/>
      <c r="F235" s="116"/>
      <c r="G235" s="115"/>
      <c r="H235" s="115"/>
      <c r="I235" s="115"/>
      <c r="J235" s="115"/>
      <c r="K235" s="115"/>
      <c r="L235" s="127"/>
      <c r="M235" s="128"/>
      <c r="N235" s="127"/>
      <c r="O235" s="115"/>
      <c r="P235" s="115"/>
      <c r="Q235" s="115"/>
      <c r="R235" s="115"/>
      <c r="S235" s="120"/>
      <c r="T235" s="120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</row>
    <row r="236" ht="18.0" customHeight="1">
      <c r="A236" s="114"/>
      <c r="B236" s="115"/>
      <c r="C236" s="115"/>
      <c r="D236" s="115"/>
      <c r="E236" s="116"/>
      <c r="F236" s="116"/>
      <c r="G236" s="115"/>
      <c r="H236" s="115"/>
      <c r="I236" s="115"/>
      <c r="J236" s="115"/>
      <c r="K236" s="115"/>
      <c r="L236" s="127"/>
      <c r="M236" s="128"/>
      <c r="N236" s="127"/>
      <c r="O236" s="115"/>
      <c r="P236" s="115"/>
      <c r="Q236" s="115"/>
      <c r="R236" s="115"/>
      <c r="S236" s="120"/>
      <c r="T236" s="120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</row>
    <row r="237" ht="18.0" customHeight="1">
      <c r="A237" s="114"/>
      <c r="B237" s="115"/>
      <c r="C237" s="115"/>
      <c r="D237" s="115"/>
      <c r="E237" s="116"/>
      <c r="F237" s="116"/>
      <c r="G237" s="115"/>
      <c r="H237" s="115"/>
      <c r="I237" s="115"/>
      <c r="J237" s="115"/>
      <c r="K237" s="115"/>
      <c r="L237" s="127"/>
      <c r="M237" s="128"/>
      <c r="N237" s="127"/>
      <c r="O237" s="115"/>
      <c r="P237" s="115"/>
      <c r="Q237" s="115"/>
      <c r="R237" s="115"/>
      <c r="S237" s="120"/>
      <c r="T237" s="120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</row>
    <row r="238" ht="18.0" customHeight="1">
      <c r="A238" s="114"/>
      <c r="B238" s="115"/>
      <c r="C238" s="115"/>
      <c r="D238" s="115"/>
      <c r="E238" s="116"/>
      <c r="F238" s="116"/>
      <c r="G238" s="115"/>
      <c r="H238" s="115"/>
      <c r="I238" s="115"/>
      <c r="J238" s="115"/>
      <c r="K238" s="115"/>
      <c r="L238" s="127"/>
      <c r="M238" s="128"/>
      <c r="N238" s="127"/>
      <c r="O238" s="115"/>
      <c r="P238" s="115"/>
      <c r="Q238" s="115"/>
      <c r="R238" s="115"/>
      <c r="S238" s="120"/>
      <c r="T238" s="120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</row>
    <row r="239" ht="18.0" customHeight="1">
      <c r="A239" s="114"/>
      <c r="B239" s="115"/>
      <c r="C239" s="115"/>
      <c r="D239" s="115"/>
      <c r="E239" s="116"/>
      <c r="F239" s="116"/>
      <c r="G239" s="115"/>
      <c r="H239" s="115"/>
      <c r="I239" s="115"/>
      <c r="J239" s="115"/>
      <c r="K239" s="115"/>
      <c r="L239" s="127"/>
      <c r="M239" s="128"/>
      <c r="N239" s="127"/>
      <c r="O239" s="115"/>
      <c r="P239" s="115"/>
      <c r="Q239" s="115"/>
      <c r="R239" s="115"/>
      <c r="S239" s="120"/>
      <c r="T239" s="120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</row>
    <row r="240" ht="18.0" customHeight="1">
      <c r="A240" s="114"/>
      <c r="B240" s="115"/>
      <c r="C240" s="115"/>
      <c r="D240" s="115"/>
      <c r="E240" s="116"/>
      <c r="F240" s="116"/>
      <c r="G240" s="115"/>
      <c r="H240" s="115"/>
      <c r="I240" s="115"/>
      <c r="J240" s="115"/>
      <c r="K240" s="115"/>
      <c r="L240" s="127"/>
      <c r="M240" s="128"/>
      <c r="N240" s="127"/>
      <c r="O240" s="115"/>
      <c r="P240" s="115"/>
      <c r="Q240" s="115"/>
      <c r="R240" s="115"/>
      <c r="S240" s="120"/>
      <c r="T240" s="120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</row>
    <row r="241" ht="18.0" customHeight="1">
      <c r="A241" s="114"/>
      <c r="B241" s="115"/>
      <c r="C241" s="115"/>
      <c r="D241" s="115"/>
      <c r="E241" s="116"/>
      <c r="F241" s="116"/>
      <c r="G241" s="115"/>
      <c r="H241" s="115"/>
      <c r="I241" s="115"/>
      <c r="J241" s="115"/>
      <c r="K241" s="115"/>
      <c r="L241" s="127"/>
      <c r="M241" s="128"/>
      <c r="N241" s="127"/>
      <c r="O241" s="115"/>
      <c r="P241" s="115"/>
      <c r="Q241" s="115"/>
      <c r="R241" s="115"/>
      <c r="S241" s="120"/>
      <c r="T241" s="120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</row>
    <row r="242" ht="18.0" customHeight="1">
      <c r="A242" s="114"/>
      <c r="B242" s="115"/>
      <c r="C242" s="115"/>
      <c r="D242" s="115"/>
      <c r="E242" s="116"/>
      <c r="F242" s="116"/>
      <c r="G242" s="115"/>
      <c r="H242" s="115"/>
      <c r="I242" s="115"/>
      <c r="J242" s="115"/>
      <c r="K242" s="115"/>
      <c r="L242" s="127"/>
      <c r="M242" s="128"/>
      <c r="N242" s="127"/>
      <c r="O242" s="115"/>
      <c r="P242" s="115"/>
      <c r="Q242" s="115"/>
      <c r="R242" s="115"/>
      <c r="S242" s="120"/>
      <c r="T242" s="120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</row>
    <row r="243" ht="18.0" customHeight="1">
      <c r="A243" s="114"/>
      <c r="B243" s="115"/>
      <c r="C243" s="115"/>
      <c r="D243" s="115"/>
      <c r="E243" s="116"/>
      <c r="F243" s="116"/>
      <c r="G243" s="115"/>
      <c r="H243" s="115"/>
      <c r="I243" s="115"/>
      <c r="J243" s="115"/>
      <c r="K243" s="115"/>
      <c r="L243" s="127"/>
      <c r="M243" s="128"/>
      <c r="N243" s="127"/>
      <c r="O243" s="115"/>
      <c r="P243" s="115"/>
      <c r="Q243" s="115"/>
      <c r="R243" s="115"/>
      <c r="S243" s="120"/>
      <c r="T243" s="120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</row>
    <row r="244" ht="18.0" customHeight="1">
      <c r="A244" s="114"/>
      <c r="B244" s="115"/>
      <c r="C244" s="115"/>
      <c r="D244" s="115"/>
      <c r="E244" s="116"/>
      <c r="F244" s="116"/>
      <c r="G244" s="115"/>
      <c r="H244" s="115"/>
      <c r="I244" s="115"/>
      <c r="J244" s="115"/>
      <c r="K244" s="115"/>
      <c r="L244" s="127"/>
      <c r="M244" s="128"/>
      <c r="N244" s="127"/>
      <c r="O244" s="115"/>
      <c r="P244" s="115"/>
      <c r="Q244" s="115"/>
      <c r="R244" s="115"/>
      <c r="S244" s="120"/>
      <c r="T244" s="120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</row>
    <row r="245" ht="18.0" customHeight="1">
      <c r="A245" s="114"/>
      <c r="B245" s="115"/>
      <c r="C245" s="115"/>
      <c r="D245" s="115"/>
      <c r="E245" s="116"/>
      <c r="F245" s="116"/>
      <c r="G245" s="115"/>
      <c r="H245" s="115"/>
      <c r="I245" s="115"/>
      <c r="J245" s="115"/>
      <c r="K245" s="115"/>
      <c r="L245" s="127"/>
      <c r="M245" s="128"/>
      <c r="N245" s="127"/>
      <c r="O245" s="115"/>
      <c r="P245" s="115"/>
      <c r="Q245" s="115"/>
      <c r="R245" s="115"/>
      <c r="S245" s="120"/>
      <c r="T245" s="120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</row>
    <row r="246" ht="18.0" customHeight="1">
      <c r="A246" s="114"/>
      <c r="B246" s="115"/>
      <c r="C246" s="115"/>
      <c r="D246" s="115"/>
      <c r="E246" s="116"/>
      <c r="F246" s="116"/>
      <c r="G246" s="115"/>
      <c r="H246" s="115"/>
      <c r="I246" s="115"/>
      <c r="J246" s="115"/>
      <c r="K246" s="115"/>
      <c r="L246" s="127"/>
      <c r="M246" s="128"/>
      <c r="N246" s="127"/>
      <c r="O246" s="115"/>
      <c r="P246" s="115"/>
      <c r="Q246" s="115"/>
      <c r="R246" s="115"/>
      <c r="S246" s="120"/>
      <c r="T246" s="120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</row>
    <row r="247" ht="18.0" customHeight="1">
      <c r="A247" s="114"/>
      <c r="B247" s="115"/>
      <c r="C247" s="115"/>
      <c r="D247" s="115"/>
      <c r="E247" s="116"/>
      <c r="F247" s="116"/>
      <c r="G247" s="115"/>
      <c r="H247" s="115"/>
      <c r="I247" s="115"/>
      <c r="J247" s="115"/>
      <c r="K247" s="115"/>
      <c r="L247" s="127"/>
      <c r="M247" s="128"/>
      <c r="N247" s="127"/>
      <c r="O247" s="115"/>
      <c r="P247" s="115"/>
      <c r="Q247" s="115"/>
      <c r="R247" s="115"/>
      <c r="S247" s="120"/>
      <c r="T247" s="120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</row>
    <row r="248" ht="18.0" customHeight="1">
      <c r="A248" s="114"/>
      <c r="B248" s="115"/>
      <c r="C248" s="115"/>
      <c r="D248" s="115"/>
      <c r="E248" s="116"/>
      <c r="F248" s="116"/>
      <c r="G248" s="115"/>
      <c r="H248" s="115"/>
      <c r="I248" s="115"/>
      <c r="J248" s="115"/>
      <c r="K248" s="115"/>
      <c r="L248" s="127"/>
      <c r="M248" s="128"/>
      <c r="N248" s="127"/>
      <c r="O248" s="115"/>
      <c r="P248" s="115"/>
      <c r="Q248" s="115"/>
      <c r="R248" s="115"/>
      <c r="S248" s="120"/>
      <c r="T248" s="120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</row>
    <row r="249" ht="18.0" customHeight="1">
      <c r="A249" s="114"/>
      <c r="B249" s="115"/>
      <c r="C249" s="115"/>
      <c r="D249" s="115"/>
      <c r="E249" s="116"/>
      <c r="F249" s="116"/>
      <c r="G249" s="115"/>
      <c r="H249" s="115"/>
      <c r="I249" s="115"/>
      <c r="J249" s="115"/>
      <c r="K249" s="115"/>
      <c r="L249" s="127"/>
      <c r="M249" s="128"/>
      <c r="N249" s="127"/>
      <c r="O249" s="115"/>
      <c r="P249" s="115"/>
      <c r="Q249" s="115"/>
      <c r="R249" s="115"/>
      <c r="S249" s="120"/>
      <c r="T249" s="120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</row>
    <row r="250" ht="18.0" customHeight="1">
      <c r="A250" s="114"/>
      <c r="B250" s="115"/>
      <c r="C250" s="115"/>
      <c r="D250" s="115"/>
      <c r="E250" s="116"/>
      <c r="F250" s="116"/>
      <c r="G250" s="115"/>
      <c r="H250" s="115"/>
      <c r="I250" s="115"/>
      <c r="J250" s="115"/>
      <c r="K250" s="115"/>
      <c r="L250" s="127"/>
      <c r="M250" s="128"/>
      <c r="N250" s="127"/>
      <c r="O250" s="115"/>
      <c r="P250" s="115"/>
      <c r="Q250" s="115"/>
      <c r="R250" s="115"/>
      <c r="S250" s="120"/>
      <c r="T250" s="120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</row>
    <row r="251" ht="18.0" customHeight="1">
      <c r="A251" s="114"/>
      <c r="B251" s="115"/>
      <c r="C251" s="115"/>
      <c r="D251" s="115"/>
      <c r="E251" s="116"/>
      <c r="F251" s="116"/>
      <c r="G251" s="115"/>
      <c r="H251" s="115"/>
      <c r="I251" s="115"/>
      <c r="J251" s="115"/>
      <c r="K251" s="115"/>
      <c r="L251" s="127"/>
      <c r="M251" s="128"/>
      <c r="N251" s="127"/>
      <c r="O251" s="115"/>
      <c r="P251" s="115"/>
      <c r="Q251" s="115"/>
      <c r="R251" s="115"/>
      <c r="S251" s="120"/>
      <c r="T251" s="120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</row>
    <row r="252" ht="18.0" customHeight="1">
      <c r="A252" s="114"/>
      <c r="B252" s="115"/>
      <c r="C252" s="115"/>
      <c r="D252" s="115"/>
      <c r="E252" s="116"/>
      <c r="F252" s="116"/>
      <c r="G252" s="115"/>
      <c r="H252" s="115"/>
      <c r="I252" s="115"/>
      <c r="J252" s="115"/>
      <c r="K252" s="115"/>
      <c r="L252" s="127"/>
      <c r="M252" s="128"/>
      <c r="N252" s="127"/>
      <c r="O252" s="115"/>
      <c r="P252" s="115"/>
      <c r="Q252" s="115"/>
      <c r="R252" s="115"/>
      <c r="S252" s="120"/>
      <c r="T252" s="120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</row>
    <row r="253" ht="18.0" customHeight="1">
      <c r="A253" s="114"/>
      <c r="B253" s="115"/>
      <c r="C253" s="115"/>
      <c r="D253" s="115"/>
      <c r="E253" s="116"/>
      <c r="F253" s="116"/>
      <c r="G253" s="115"/>
      <c r="H253" s="115"/>
      <c r="I253" s="115"/>
      <c r="J253" s="115"/>
      <c r="K253" s="115"/>
      <c r="L253" s="127"/>
      <c r="M253" s="128"/>
      <c r="N253" s="127"/>
      <c r="O253" s="115"/>
      <c r="P253" s="115"/>
      <c r="Q253" s="115"/>
      <c r="R253" s="115"/>
      <c r="S253" s="120"/>
      <c r="T253" s="120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</row>
    <row r="254" ht="18.0" customHeight="1">
      <c r="A254" s="114"/>
      <c r="B254" s="115"/>
      <c r="C254" s="115"/>
      <c r="D254" s="115"/>
      <c r="E254" s="116"/>
      <c r="F254" s="116"/>
      <c r="G254" s="115"/>
      <c r="H254" s="115"/>
      <c r="I254" s="115"/>
      <c r="J254" s="115"/>
      <c r="K254" s="115"/>
      <c r="L254" s="127"/>
      <c r="M254" s="128"/>
      <c r="N254" s="127"/>
      <c r="O254" s="115"/>
      <c r="P254" s="115"/>
      <c r="Q254" s="115"/>
      <c r="R254" s="115"/>
      <c r="S254" s="120"/>
      <c r="T254" s="120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</row>
    <row r="255" ht="18.0" customHeight="1">
      <c r="A255" s="114"/>
      <c r="B255" s="115"/>
      <c r="C255" s="115"/>
      <c r="D255" s="115"/>
      <c r="E255" s="116"/>
      <c r="F255" s="116"/>
      <c r="G255" s="115"/>
      <c r="H255" s="115"/>
      <c r="I255" s="115"/>
      <c r="J255" s="115"/>
      <c r="K255" s="115"/>
      <c r="L255" s="127"/>
      <c r="M255" s="128"/>
      <c r="N255" s="127"/>
      <c r="O255" s="115"/>
      <c r="P255" s="115"/>
      <c r="Q255" s="115"/>
      <c r="R255" s="115"/>
      <c r="S255" s="120"/>
      <c r="T255" s="120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</row>
    <row r="256" ht="18.0" customHeight="1">
      <c r="A256" s="114"/>
      <c r="B256" s="115"/>
      <c r="C256" s="115"/>
      <c r="D256" s="115"/>
      <c r="E256" s="116"/>
      <c r="F256" s="116"/>
      <c r="G256" s="115"/>
      <c r="H256" s="115"/>
      <c r="I256" s="115"/>
      <c r="J256" s="115"/>
      <c r="K256" s="115"/>
      <c r="L256" s="127"/>
      <c r="M256" s="128"/>
      <c r="N256" s="127"/>
      <c r="O256" s="115"/>
      <c r="P256" s="115"/>
      <c r="Q256" s="115"/>
      <c r="R256" s="115"/>
      <c r="S256" s="120"/>
      <c r="T256" s="120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</row>
    <row r="257" ht="18.0" customHeight="1">
      <c r="A257" s="114"/>
      <c r="B257" s="115"/>
      <c r="C257" s="115"/>
      <c r="D257" s="115"/>
      <c r="E257" s="116"/>
      <c r="F257" s="116"/>
      <c r="G257" s="115"/>
      <c r="H257" s="115"/>
      <c r="I257" s="115"/>
      <c r="J257" s="115"/>
      <c r="K257" s="115"/>
      <c r="L257" s="127"/>
      <c r="M257" s="128"/>
      <c r="N257" s="127"/>
      <c r="O257" s="115"/>
      <c r="P257" s="115"/>
      <c r="Q257" s="115"/>
      <c r="R257" s="115"/>
      <c r="S257" s="120"/>
      <c r="T257" s="120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</row>
    <row r="258" ht="18.0" customHeight="1">
      <c r="A258" s="114"/>
      <c r="B258" s="115"/>
      <c r="C258" s="115"/>
      <c r="D258" s="115"/>
      <c r="E258" s="116"/>
      <c r="F258" s="116"/>
      <c r="G258" s="115"/>
      <c r="H258" s="115"/>
      <c r="I258" s="115"/>
      <c r="J258" s="115"/>
      <c r="K258" s="115"/>
      <c r="L258" s="127"/>
      <c r="M258" s="128"/>
      <c r="N258" s="127"/>
      <c r="O258" s="115"/>
      <c r="P258" s="115"/>
      <c r="Q258" s="115"/>
      <c r="R258" s="115"/>
      <c r="S258" s="120"/>
      <c r="T258" s="120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</row>
    <row r="259" ht="18.0" customHeight="1">
      <c r="A259" s="114"/>
      <c r="B259" s="115"/>
      <c r="C259" s="115"/>
      <c r="D259" s="115"/>
      <c r="E259" s="116"/>
      <c r="F259" s="116"/>
      <c r="G259" s="115"/>
      <c r="H259" s="115"/>
      <c r="I259" s="115"/>
      <c r="J259" s="115"/>
      <c r="K259" s="115"/>
      <c r="L259" s="127"/>
      <c r="M259" s="128"/>
      <c r="N259" s="127"/>
      <c r="O259" s="115"/>
      <c r="P259" s="115"/>
      <c r="Q259" s="115"/>
      <c r="R259" s="115"/>
      <c r="S259" s="120"/>
      <c r="T259" s="120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</row>
    <row r="260" ht="18.0" customHeight="1">
      <c r="A260" s="114"/>
      <c r="B260" s="115"/>
      <c r="C260" s="115"/>
      <c r="D260" s="115"/>
      <c r="E260" s="116"/>
      <c r="F260" s="116"/>
      <c r="G260" s="115"/>
      <c r="H260" s="115"/>
      <c r="I260" s="115"/>
      <c r="J260" s="115"/>
      <c r="K260" s="115"/>
      <c r="L260" s="127"/>
      <c r="M260" s="128"/>
      <c r="N260" s="127"/>
      <c r="O260" s="115"/>
      <c r="P260" s="115"/>
      <c r="Q260" s="115"/>
      <c r="R260" s="115"/>
      <c r="S260" s="120"/>
      <c r="T260" s="120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</row>
    <row r="261" ht="18.0" customHeight="1">
      <c r="A261" s="114"/>
      <c r="B261" s="115"/>
      <c r="C261" s="115"/>
      <c r="D261" s="115"/>
      <c r="E261" s="116"/>
      <c r="F261" s="116"/>
      <c r="G261" s="115"/>
      <c r="H261" s="115"/>
      <c r="I261" s="115"/>
      <c r="J261" s="115"/>
      <c r="K261" s="115"/>
      <c r="L261" s="127"/>
      <c r="M261" s="128"/>
      <c r="N261" s="127"/>
      <c r="O261" s="115"/>
      <c r="P261" s="115"/>
      <c r="Q261" s="115"/>
      <c r="R261" s="115"/>
      <c r="S261" s="120"/>
      <c r="T261" s="120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</row>
    <row r="262" ht="18.0" customHeight="1">
      <c r="A262" s="114"/>
      <c r="B262" s="115"/>
      <c r="C262" s="115"/>
      <c r="D262" s="115"/>
      <c r="E262" s="116"/>
      <c r="F262" s="116"/>
      <c r="G262" s="115"/>
      <c r="H262" s="115"/>
      <c r="I262" s="115"/>
      <c r="J262" s="115"/>
      <c r="K262" s="115"/>
      <c r="L262" s="127"/>
      <c r="M262" s="128"/>
      <c r="N262" s="127"/>
      <c r="O262" s="115"/>
      <c r="P262" s="115"/>
      <c r="Q262" s="115"/>
      <c r="R262" s="115"/>
      <c r="S262" s="120"/>
      <c r="T262" s="120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</row>
    <row r="263" ht="18.0" customHeight="1">
      <c r="A263" s="114"/>
      <c r="B263" s="115"/>
      <c r="C263" s="115"/>
      <c r="D263" s="115"/>
      <c r="E263" s="116"/>
      <c r="F263" s="116"/>
      <c r="G263" s="115"/>
      <c r="H263" s="115"/>
      <c r="I263" s="115"/>
      <c r="J263" s="115"/>
      <c r="K263" s="115"/>
      <c r="L263" s="127"/>
      <c r="M263" s="128"/>
      <c r="N263" s="127"/>
      <c r="O263" s="115"/>
      <c r="P263" s="115"/>
      <c r="Q263" s="115"/>
      <c r="R263" s="115"/>
      <c r="S263" s="120"/>
      <c r="T263" s="120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</row>
    <row r="264" ht="18.0" customHeight="1">
      <c r="A264" s="114"/>
      <c r="B264" s="115"/>
      <c r="C264" s="115"/>
      <c r="D264" s="115"/>
      <c r="E264" s="116"/>
      <c r="F264" s="116"/>
      <c r="G264" s="115"/>
      <c r="H264" s="115"/>
      <c r="I264" s="115"/>
      <c r="J264" s="115"/>
      <c r="K264" s="115"/>
      <c r="L264" s="127"/>
      <c r="M264" s="128"/>
      <c r="N264" s="127"/>
      <c r="O264" s="115"/>
      <c r="P264" s="115"/>
      <c r="Q264" s="115"/>
      <c r="R264" s="115"/>
      <c r="S264" s="120"/>
      <c r="T264" s="120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</row>
    <row r="265" ht="18.0" customHeight="1">
      <c r="A265" s="114"/>
      <c r="B265" s="115"/>
      <c r="C265" s="115"/>
      <c r="D265" s="115"/>
      <c r="E265" s="116"/>
      <c r="F265" s="116"/>
      <c r="G265" s="115"/>
      <c r="H265" s="115"/>
      <c r="I265" s="115"/>
      <c r="J265" s="115"/>
      <c r="K265" s="115"/>
      <c r="L265" s="127"/>
      <c r="M265" s="128"/>
      <c r="N265" s="127"/>
      <c r="O265" s="115"/>
      <c r="P265" s="115"/>
      <c r="Q265" s="115"/>
      <c r="R265" s="115"/>
      <c r="S265" s="120"/>
      <c r="T265" s="120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</row>
    <row r="266" ht="18.0" customHeight="1">
      <c r="A266" s="114"/>
      <c r="B266" s="115"/>
      <c r="C266" s="115"/>
      <c r="D266" s="115"/>
      <c r="E266" s="116"/>
      <c r="F266" s="116"/>
      <c r="G266" s="115"/>
      <c r="H266" s="115"/>
      <c r="I266" s="115"/>
      <c r="J266" s="115"/>
      <c r="K266" s="115"/>
      <c r="L266" s="127"/>
      <c r="M266" s="128"/>
      <c r="N266" s="127"/>
      <c r="O266" s="115"/>
      <c r="P266" s="115"/>
      <c r="Q266" s="115"/>
      <c r="R266" s="115"/>
      <c r="S266" s="120"/>
      <c r="T266" s="120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</row>
    <row r="267" ht="18.0" customHeight="1">
      <c r="A267" s="114"/>
      <c r="B267" s="115"/>
      <c r="C267" s="115"/>
      <c r="D267" s="115"/>
      <c r="E267" s="116"/>
      <c r="F267" s="116"/>
      <c r="G267" s="115"/>
      <c r="H267" s="115"/>
      <c r="I267" s="115"/>
      <c r="J267" s="115"/>
      <c r="K267" s="115"/>
      <c r="L267" s="127"/>
      <c r="M267" s="128"/>
      <c r="N267" s="127"/>
      <c r="O267" s="115"/>
      <c r="P267" s="115"/>
      <c r="Q267" s="115"/>
      <c r="R267" s="115"/>
      <c r="S267" s="120"/>
      <c r="T267" s="120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</row>
    <row r="268" ht="18.0" customHeight="1">
      <c r="A268" s="114"/>
      <c r="B268" s="115"/>
      <c r="C268" s="115"/>
      <c r="D268" s="115"/>
      <c r="E268" s="116"/>
      <c r="F268" s="116"/>
      <c r="G268" s="115"/>
      <c r="H268" s="115"/>
      <c r="I268" s="115"/>
      <c r="J268" s="115"/>
      <c r="K268" s="115"/>
      <c r="L268" s="127"/>
      <c r="M268" s="128"/>
      <c r="N268" s="127"/>
      <c r="O268" s="115"/>
      <c r="P268" s="115"/>
      <c r="Q268" s="115"/>
      <c r="R268" s="115"/>
      <c r="S268" s="120"/>
      <c r="T268" s="120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</row>
    <row r="269" ht="18.0" customHeight="1">
      <c r="A269" s="114"/>
      <c r="B269" s="115"/>
      <c r="C269" s="115"/>
      <c r="D269" s="115"/>
      <c r="E269" s="116"/>
      <c r="F269" s="116"/>
      <c r="G269" s="115"/>
      <c r="H269" s="115"/>
      <c r="I269" s="115"/>
      <c r="J269" s="115"/>
      <c r="K269" s="115"/>
      <c r="L269" s="127"/>
      <c r="M269" s="128"/>
      <c r="N269" s="127"/>
      <c r="O269" s="115"/>
      <c r="P269" s="115"/>
      <c r="Q269" s="115"/>
      <c r="R269" s="115"/>
      <c r="S269" s="120"/>
      <c r="T269" s="120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</row>
    <row r="270" ht="18.0" customHeight="1">
      <c r="A270" s="114"/>
      <c r="B270" s="115"/>
      <c r="C270" s="115"/>
      <c r="D270" s="115"/>
      <c r="E270" s="116"/>
      <c r="F270" s="116"/>
      <c r="G270" s="115"/>
      <c r="H270" s="115"/>
      <c r="I270" s="115"/>
      <c r="J270" s="115"/>
      <c r="K270" s="115"/>
      <c r="L270" s="127"/>
      <c r="M270" s="128"/>
      <c r="N270" s="127"/>
      <c r="O270" s="115"/>
      <c r="P270" s="115"/>
      <c r="Q270" s="115"/>
      <c r="R270" s="115"/>
      <c r="S270" s="120"/>
      <c r="T270" s="120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</row>
    <row r="271" ht="18.0" customHeight="1">
      <c r="A271" s="114"/>
      <c r="B271" s="115"/>
      <c r="C271" s="115"/>
      <c r="D271" s="115"/>
      <c r="E271" s="116"/>
      <c r="F271" s="116"/>
      <c r="G271" s="115"/>
      <c r="H271" s="115"/>
      <c r="I271" s="115"/>
      <c r="J271" s="115"/>
      <c r="K271" s="115"/>
      <c r="L271" s="127"/>
      <c r="M271" s="128"/>
      <c r="N271" s="127"/>
      <c r="O271" s="115"/>
      <c r="P271" s="115"/>
      <c r="Q271" s="115"/>
      <c r="R271" s="115"/>
      <c r="S271" s="120"/>
      <c r="T271" s="120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</row>
    <row r="272" ht="18.0" customHeight="1">
      <c r="A272" s="114"/>
      <c r="B272" s="115"/>
      <c r="C272" s="115"/>
      <c r="D272" s="115"/>
      <c r="E272" s="116"/>
      <c r="F272" s="116"/>
      <c r="G272" s="115"/>
      <c r="H272" s="115"/>
      <c r="I272" s="115"/>
      <c r="J272" s="115"/>
      <c r="K272" s="115"/>
      <c r="L272" s="127"/>
      <c r="M272" s="128"/>
      <c r="N272" s="127"/>
      <c r="O272" s="115"/>
      <c r="P272" s="115"/>
      <c r="Q272" s="115"/>
      <c r="R272" s="115"/>
      <c r="S272" s="120"/>
      <c r="T272" s="120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</row>
    <row r="273" ht="18.0" customHeight="1">
      <c r="A273" s="114"/>
      <c r="B273" s="115"/>
      <c r="C273" s="115"/>
      <c r="D273" s="115"/>
      <c r="E273" s="116"/>
      <c r="F273" s="116"/>
      <c r="G273" s="115"/>
      <c r="H273" s="115"/>
      <c r="I273" s="115"/>
      <c r="J273" s="115"/>
      <c r="K273" s="115"/>
      <c r="L273" s="127"/>
      <c r="M273" s="128"/>
      <c r="N273" s="127"/>
      <c r="O273" s="115"/>
      <c r="P273" s="115"/>
      <c r="Q273" s="115"/>
      <c r="R273" s="115"/>
      <c r="S273" s="120"/>
      <c r="T273" s="120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</row>
    <row r="274" ht="18.0" customHeight="1">
      <c r="A274" s="114"/>
      <c r="B274" s="115"/>
      <c r="C274" s="115"/>
      <c r="D274" s="115"/>
      <c r="E274" s="116"/>
      <c r="F274" s="116"/>
      <c r="G274" s="115"/>
      <c r="H274" s="115"/>
      <c r="I274" s="115"/>
      <c r="J274" s="115"/>
      <c r="K274" s="115"/>
      <c r="L274" s="127"/>
      <c r="M274" s="128"/>
      <c r="N274" s="127"/>
      <c r="O274" s="115"/>
      <c r="P274" s="115"/>
      <c r="Q274" s="115"/>
      <c r="R274" s="115"/>
      <c r="S274" s="120"/>
      <c r="T274" s="120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</row>
    <row r="275" ht="18.0" customHeight="1">
      <c r="A275" s="114"/>
      <c r="B275" s="115"/>
      <c r="C275" s="115"/>
      <c r="D275" s="115"/>
      <c r="E275" s="116"/>
      <c r="F275" s="116"/>
      <c r="G275" s="115"/>
      <c r="H275" s="115"/>
      <c r="I275" s="115"/>
      <c r="J275" s="115"/>
      <c r="K275" s="115"/>
      <c r="L275" s="127"/>
      <c r="M275" s="128"/>
      <c r="N275" s="127"/>
      <c r="O275" s="115"/>
      <c r="P275" s="115"/>
      <c r="Q275" s="115"/>
      <c r="R275" s="115"/>
      <c r="S275" s="120"/>
      <c r="T275" s="120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</row>
    <row r="276" ht="18.0" customHeight="1">
      <c r="A276" s="114"/>
      <c r="B276" s="115"/>
      <c r="C276" s="115"/>
      <c r="D276" s="115"/>
      <c r="E276" s="116"/>
      <c r="F276" s="116"/>
      <c r="G276" s="115"/>
      <c r="H276" s="115"/>
      <c r="I276" s="115"/>
      <c r="J276" s="115"/>
      <c r="K276" s="115"/>
      <c r="L276" s="127"/>
      <c r="M276" s="128"/>
      <c r="N276" s="127"/>
      <c r="O276" s="115"/>
      <c r="P276" s="115"/>
      <c r="Q276" s="115"/>
      <c r="R276" s="115"/>
      <c r="S276" s="120"/>
      <c r="T276" s="120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</row>
    <row r="277" ht="18.0" customHeight="1">
      <c r="A277" s="114"/>
      <c r="B277" s="115"/>
      <c r="C277" s="115"/>
      <c r="D277" s="115"/>
      <c r="E277" s="116"/>
      <c r="F277" s="116"/>
      <c r="G277" s="115"/>
      <c r="H277" s="115"/>
      <c r="I277" s="115"/>
      <c r="J277" s="115"/>
      <c r="K277" s="115"/>
      <c r="L277" s="127"/>
      <c r="M277" s="128"/>
      <c r="N277" s="127"/>
      <c r="O277" s="115"/>
      <c r="P277" s="115"/>
      <c r="Q277" s="115"/>
      <c r="R277" s="115"/>
      <c r="S277" s="120"/>
      <c r="T277" s="120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</row>
    <row r="278" ht="18.0" customHeight="1">
      <c r="A278" s="114"/>
      <c r="B278" s="115"/>
      <c r="C278" s="115"/>
      <c r="D278" s="115"/>
      <c r="E278" s="116"/>
      <c r="F278" s="116"/>
      <c r="G278" s="115"/>
      <c r="H278" s="115"/>
      <c r="I278" s="115"/>
      <c r="J278" s="115"/>
      <c r="K278" s="115"/>
      <c r="L278" s="127"/>
      <c r="M278" s="128"/>
      <c r="N278" s="127"/>
      <c r="O278" s="115"/>
      <c r="P278" s="115"/>
      <c r="Q278" s="115"/>
      <c r="R278" s="115"/>
      <c r="S278" s="120"/>
      <c r="T278" s="120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</row>
    <row r="279" ht="18.0" customHeight="1">
      <c r="A279" s="114"/>
      <c r="B279" s="115"/>
      <c r="C279" s="115"/>
      <c r="D279" s="115"/>
      <c r="E279" s="116"/>
      <c r="F279" s="116"/>
      <c r="G279" s="115"/>
      <c r="H279" s="115"/>
      <c r="I279" s="115"/>
      <c r="J279" s="115"/>
      <c r="K279" s="115"/>
      <c r="L279" s="127"/>
      <c r="M279" s="128"/>
      <c r="N279" s="127"/>
      <c r="O279" s="115"/>
      <c r="P279" s="115"/>
      <c r="Q279" s="115"/>
      <c r="R279" s="115"/>
      <c r="S279" s="120"/>
      <c r="T279" s="120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</row>
    <row r="280" ht="18.0" customHeight="1">
      <c r="A280" s="114"/>
      <c r="B280" s="115"/>
      <c r="C280" s="115"/>
      <c r="D280" s="115"/>
      <c r="E280" s="116"/>
      <c r="F280" s="116"/>
      <c r="G280" s="115"/>
      <c r="H280" s="115"/>
      <c r="I280" s="115"/>
      <c r="J280" s="115"/>
      <c r="K280" s="115"/>
      <c r="L280" s="127"/>
      <c r="M280" s="128"/>
      <c r="N280" s="127"/>
      <c r="O280" s="115"/>
      <c r="P280" s="115"/>
      <c r="Q280" s="115"/>
      <c r="R280" s="115"/>
      <c r="S280" s="120"/>
      <c r="T280" s="120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</row>
    <row r="281" ht="18.0" customHeight="1">
      <c r="A281" s="114"/>
      <c r="B281" s="115"/>
      <c r="C281" s="115"/>
      <c r="D281" s="115"/>
      <c r="E281" s="116"/>
      <c r="F281" s="116"/>
      <c r="G281" s="115"/>
      <c r="H281" s="115"/>
      <c r="I281" s="115"/>
      <c r="J281" s="115"/>
      <c r="K281" s="115"/>
      <c r="L281" s="127"/>
      <c r="M281" s="128"/>
      <c r="N281" s="127"/>
      <c r="O281" s="115"/>
      <c r="P281" s="115"/>
      <c r="Q281" s="115"/>
      <c r="R281" s="115"/>
      <c r="S281" s="120"/>
      <c r="T281" s="120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</row>
    <row r="282" ht="18.0" customHeight="1">
      <c r="A282" s="114"/>
      <c r="B282" s="115"/>
      <c r="C282" s="115"/>
      <c r="D282" s="115"/>
      <c r="E282" s="116"/>
      <c r="F282" s="116"/>
      <c r="G282" s="115"/>
      <c r="H282" s="115"/>
      <c r="I282" s="115"/>
      <c r="J282" s="115"/>
      <c r="K282" s="115"/>
      <c r="L282" s="127"/>
      <c r="M282" s="128"/>
      <c r="N282" s="127"/>
      <c r="O282" s="115"/>
      <c r="P282" s="115"/>
      <c r="Q282" s="115"/>
      <c r="R282" s="115"/>
      <c r="S282" s="120"/>
      <c r="T282" s="120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</row>
    <row r="283" ht="18.0" customHeight="1">
      <c r="A283" s="114"/>
      <c r="B283" s="115"/>
      <c r="C283" s="115"/>
      <c r="D283" s="115"/>
      <c r="E283" s="116"/>
      <c r="F283" s="116"/>
      <c r="G283" s="115"/>
      <c r="H283" s="115"/>
      <c r="I283" s="115"/>
      <c r="J283" s="115"/>
      <c r="K283" s="115"/>
      <c r="L283" s="127"/>
      <c r="M283" s="128"/>
      <c r="N283" s="127"/>
      <c r="O283" s="115"/>
      <c r="P283" s="115"/>
      <c r="Q283" s="115"/>
      <c r="R283" s="115"/>
      <c r="S283" s="120"/>
      <c r="T283" s="120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</row>
    <row r="284" ht="18.0" customHeight="1">
      <c r="A284" s="114"/>
      <c r="B284" s="115"/>
      <c r="C284" s="115"/>
      <c r="D284" s="115"/>
      <c r="E284" s="116"/>
      <c r="F284" s="116"/>
      <c r="G284" s="115"/>
      <c r="H284" s="115"/>
      <c r="I284" s="115"/>
      <c r="J284" s="115"/>
      <c r="K284" s="115"/>
      <c r="L284" s="127"/>
      <c r="M284" s="128"/>
      <c r="N284" s="127"/>
      <c r="O284" s="115"/>
      <c r="P284" s="115"/>
      <c r="Q284" s="115"/>
      <c r="R284" s="115"/>
      <c r="S284" s="120"/>
      <c r="T284" s="120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</row>
    <row r="285" ht="18.0" customHeight="1">
      <c r="A285" s="114"/>
      <c r="B285" s="115"/>
      <c r="C285" s="115"/>
      <c r="D285" s="115"/>
      <c r="E285" s="116"/>
      <c r="F285" s="116"/>
      <c r="G285" s="115"/>
      <c r="H285" s="115"/>
      <c r="I285" s="115"/>
      <c r="J285" s="115"/>
      <c r="K285" s="115"/>
      <c r="L285" s="127"/>
      <c r="M285" s="128"/>
      <c r="N285" s="127"/>
      <c r="O285" s="115"/>
      <c r="P285" s="115"/>
      <c r="Q285" s="115"/>
      <c r="R285" s="115"/>
      <c r="S285" s="120"/>
      <c r="T285" s="120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</row>
    <row r="286" ht="18.0" customHeight="1">
      <c r="A286" s="114"/>
      <c r="B286" s="115"/>
      <c r="C286" s="115"/>
      <c r="D286" s="115"/>
      <c r="E286" s="116"/>
      <c r="F286" s="116"/>
      <c r="G286" s="115"/>
      <c r="H286" s="115"/>
      <c r="I286" s="115"/>
      <c r="J286" s="115"/>
      <c r="K286" s="115"/>
      <c r="L286" s="127"/>
      <c r="M286" s="128"/>
      <c r="N286" s="127"/>
      <c r="O286" s="115"/>
      <c r="P286" s="115"/>
      <c r="Q286" s="115"/>
      <c r="R286" s="115"/>
      <c r="S286" s="120"/>
      <c r="T286" s="120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</row>
    <row r="287" ht="18.0" customHeight="1">
      <c r="A287" s="114"/>
      <c r="B287" s="115"/>
      <c r="C287" s="115"/>
      <c r="D287" s="115"/>
      <c r="E287" s="116"/>
      <c r="F287" s="116"/>
      <c r="G287" s="115"/>
      <c r="H287" s="115"/>
      <c r="I287" s="115"/>
      <c r="J287" s="115"/>
      <c r="K287" s="115"/>
      <c r="L287" s="127"/>
      <c r="M287" s="128"/>
      <c r="N287" s="127"/>
      <c r="O287" s="115"/>
      <c r="P287" s="115"/>
      <c r="Q287" s="115"/>
      <c r="R287" s="115"/>
      <c r="S287" s="120"/>
      <c r="T287" s="120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</row>
    <row r="288" ht="18.0" customHeight="1">
      <c r="A288" s="114"/>
      <c r="B288" s="115"/>
      <c r="C288" s="115"/>
      <c r="D288" s="115"/>
      <c r="E288" s="116"/>
      <c r="F288" s="116"/>
      <c r="G288" s="115"/>
      <c r="H288" s="115"/>
      <c r="I288" s="115"/>
      <c r="J288" s="115"/>
      <c r="K288" s="115"/>
      <c r="L288" s="127"/>
      <c r="M288" s="128"/>
      <c r="N288" s="127"/>
      <c r="O288" s="115"/>
      <c r="P288" s="115"/>
      <c r="Q288" s="115"/>
      <c r="R288" s="115"/>
      <c r="S288" s="120"/>
      <c r="T288" s="120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</row>
    <row r="289" ht="18.0" customHeight="1">
      <c r="A289" s="114"/>
      <c r="B289" s="115"/>
      <c r="C289" s="115"/>
      <c r="D289" s="115"/>
      <c r="E289" s="116"/>
      <c r="F289" s="116"/>
      <c r="G289" s="115"/>
      <c r="H289" s="115"/>
      <c r="I289" s="115"/>
      <c r="J289" s="115"/>
      <c r="K289" s="115"/>
      <c r="L289" s="127"/>
      <c r="M289" s="128"/>
      <c r="N289" s="127"/>
      <c r="O289" s="115"/>
      <c r="P289" s="115"/>
      <c r="Q289" s="115"/>
      <c r="R289" s="115"/>
      <c r="S289" s="120"/>
      <c r="T289" s="120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</row>
    <row r="290" ht="18.0" customHeight="1">
      <c r="A290" s="114"/>
      <c r="B290" s="115"/>
      <c r="C290" s="115"/>
      <c r="D290" s="115"/>
      <c r="E290" s="116"/>
      <c r="F290" s="116"/>
      <c r="G290" s="115"/>
      <c r="H290" s="115"/>
      <c r="I290" s="115"/>
      <c r="J290" s="115"/>
      <c r="K290" s="115"/>
      <c r="L290" s="127"/>
      <c r="M290" s="128"/>
      <c r="N290" s="127"/>
      <c r="O290" s="115"/>
      <c r="P290" s="115"/>
      <c r="Q290" s="115"/>
      <c r="R290" s="115"/>
      <c r="S290" s="120"/>
      <c r="T290" s="120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</row>
    <row r="291" ht="18.0" customHeight="1">
      <c r="A291" s="114"/>
      <c r="B291" s="115"/>
      <c r="C291" s="115"/>
      <c r="D291" s="115"/>
      <c r="E291" s="116"/>
      <c r="F291" s="116"/>
      <c r="G291" s="115"/>
      <c r="H291" s="115"/>
      <c r="I291" s="115"/>
      <c r="J291" s="115"/>
      <c r="K291" s="115"/>
      <c r="L291" s="127"/>
      <c r="M291" s="128"/>
      <c r="N291" s="127"/>
      <c r="O291" s="115"/>
      <c r="P291" s="115"/>
      <c r="Q291" s="115"/>
      <c r="R291" s="115"/>
      <c r="S291" s="120"/>
      <c r="T291" s="120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</row>
    <row r="292" ht="18.0" customHeight="1">
      <c r="A292" s="114"/>
      <c r="B292" s="115"/>
      <c r="C292" s="115"/>
      <c r="D292" s="115"/>
      <c r="E292" s="116"/>
      <c r="F292" s="116"/>
      <c r="G292" s="115"/>
      <c r="H292" s="115"/>
      <c r="I292" s="115"/>
      <c r="J292" s="115"/>
      <c r="K292" s="115"/>
      <c r="L292" s="127"/>
      <c r="M292" s="128"/>
      <c r="N292" s="127"/>
      <c r="O292" s="115"/>
      <c r="P292" s="115"/>
      <c r="Q292" s="115"/>
      <c r="R292" s="115"/>
      <c r="S292" s="120"/>
      <c r="T292" s="120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</row>
    <row r="293" ht="18.0" customHeight="1">
      <c r="A293" s="114"/>
      <c r="B293" s="115"/>
      <c r="C293" s="115"/>
      <c r="D293" s="115"/>
      <c r="E293" s="116"/>
      <c r="F293" s="116"/>
      <c r="G293" s="115"/>
      <c r="H293" s="115"/>
      <c r="I293" s="115"/>
      <c r="J293" s="115"/>
      <c r="K293" s="115"/>
      <c r="L293" s="127"/>
      <c r="M293" s="128"/>
      <c r="N293" s="127"/>
      <c r="O293" s="115"/>
      <c r="P293" s="115"/>
      <c r="Q293" s="115"/>
      <c r="R293" s="115"/>
      <c r="S293" s="120"/>
      <c r="T293" s="120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</row>
    <row r="294" ht="18.0" customHeight="1">
      <c r="A294" s="114"/>
      <c r="B294" s="115"/>
      <c r="C294" s="115"/>
      <c r="D294" s="115"/>
      <c r="E294" s="116"/>
      <c r="F294" s="116"/>
      <c r="G294" s="115"/>
      <c r="H294" s="115"/>
      <c r="I294" s="115"/>
      <c r="J294" s="115"/>
      <c r="K294" s="115"/>
      <c r="L294" s="127"/>
      <c r="M294" s="128"/>
      <c r="N294" s="127"/>
      <c r="O294" s="115"/>
      <c r="P294" s="115"/>
      <c r="Q294" s="115"/>
      <c r="R294" s="115"/>
      <c r="S294" s="120"/>
      <c r="T294" s="120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</row>
    <row r="295" ht="18.0" customHeight="1">
      <c r="A295" s="114"/>
      <c r="B295" s="115"/>
      <c r="C295" s="115"/>
      <c r="D295" s="115"/>
      <c r="E295" s="116"/>
      <c r="F295" s="116"/>
      <c r="G295" s="115"/>
      <c r="H295" s="115"/>
      <c r="I295" s="115"/>
      <c r="J295" s="115"/>
      <c r="K295" s="115"/>
      <c r="L295" s="127"/>
      <c r="M295" s="128"/>
      <c r="N295" s="127"/>
      <c r="O295" s="115"/>
      <c r="P295" s="115"/>
      <c r="Q295" s="115"/>
      <c r="R295" s="115"/>
      <c r="S295" s="120"/>
      <c r="T295" s="120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</row>
    <row r="296" ht="18.0" customHeight="1">
      <c r="A296" s="114"/>
      <c r="B296" s="115"/>
      <c r="C296" s="115"/>
      <c r="D296" s="115"/>
      <c r="E296" s="116"/>
      <c r="F296" s="116"/>
      <c r="G296" s="115"/>
      <c r="H296" s="115"/>
      <c r="I296" s="115"/>
      <c r="J296" s="115"/>
      <c r="K296" s="115"/>
      <c r="L296" s="127"/>
      <c r="M296" s="128"/>
      <c r="N296" s="127"/>
      <c r="O296" s="115"/>
      <c r="P296" s="115"/>
      <c r="Q296" s="115"/>
      <c r="R296" s="115"/>
      <c r="S296" s="120"/>
      <c r="T296" s="120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</row>
    <row r="297" ht="18.0" customHeight="1">
      <c r="A297" s="114"/>
      <c r="B297" s="115"/>
      <c r="C297" s="115"/>
      <c r="D297" s="115"/>
      <c r="E297" s="116"/>
      <c r="F297" s="116"/>
      <c r="G297" s="115"/>
      <c r="H297" s="115"/>
      <c r="I297" s="115"/>
      <c r="J297" s="115"/>
      <c r="K297" s="115"/>
      <c r="L297" s="127"/>
      <c r="M297" s="128"/>
      <c r="N297" s="127"/>
      <c r="O297" s="115"/>
      <c r="P297" s="115"/>
      <c r="Q297" s="115"/>
      <c r="R297" s="115"/>
      <c r="S297" s="120"/>
      <c r="T297" s="120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</row>
    <row r="298" ht="18.0" customHeight="1">
      <c r="A298" s="114"/>
      <c r="B298" s="115"/>
      <c r="C298" s="115"/>
      <c r="D298" s="115"/>
      <c r="E298" s="116"/>
      <c r="F298" s="116"/>
      <c r="G298" s="115"/>
      <c r="H298" s="115"/>
      <c r="I298" s="115"/>
      <c r="J298" s="115"/>
      <c r="K298" s="115"/>
      <c r="L298" s="127"/>
      <c r="M298" s="128"/>
      <c r="N298" s="127"/>
      <c r="O298" s="115"/>
      <c r="P298" s="115"/>
      <c r="Q298" s="115"/>
      <c r="R298" s="115"/>
      <c r="S298" s="120"/>
      <c r="T298" s="120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</row>
    <row r="299" ht="18.0" customHeight="1">
      <c r="A299" s="114"/>
      <c r="B299" s="115"/>
      <c r="C299" s="115"/>
      <c r="D299" s="115"/>
      <c r="E299" s="116"/>
      <c r="F299" s="116"/>
      <c r="G299" s="115"/>
      <c r="H299" s="115"/>
      <c r="I299" s="115"/>
      <c r="J299" s="115"/>
      <c r="K299" s="115"/>
      <c r="L299" s="127"/>
      <c r="M299" s="128"/>
      <c r="N299" s="127"/>
      <c r="O299" s="115"/>
      <c r="P299" s="115"/>
      <c r="Q299" s="115"/>
      <c r="R299" s="115"/>
      <c r="S299" s="120"/>
      <c r="T299" s="120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</row>
    <row r="300" ht="18.0" customHeight="1">
      <c r="A300" s="114"/>
      <c r="B300" s="115"/>
      <c r="C300" s="115"/>
      <c r="D300" s="115"/>
      <c r="E300" s="116"/>
      <c r="F300" s="116"/>
      <c r="G300" s="115"/>
      <c r="H300" s="115"/>
      <c r="I300" s="115"/>
      <c r="J300" s="115"/>
      <c r="K300" s="115"/>
      <c r="L300" s="127"/>
      <c r="M300" s="128"/>
      <c r="N300" s="127"/>
      <c r="O300" s="115"/>
      <c r="P300" s="115"/>
      <c r="Q300" s="115"/>
      <c r="R300" s="115"/>
      <c r="S300" s="120"/>
      <c r="T300" s="120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</row>
    <row r="301" ht="18.0" customHeight="1">
      <c r="A301" s="114"/>
      <c r="B301" s="115"/>
      <c r="C301" s="115"/>
      <c r="D301" s="115"/>
      <c r="E301" s="116"/>
      <c r="F301" s="116"/>
      <c r="G301" s="115"/>
      <c r="H301" s="115"/>
      <c r="I301" s="115"/>
      <c r="J301" s="115"/>
      <c r="K301" s="115"/>
      <c r="L301" s="127"/>
      <c r="M301" s="128"/>
      <c r="N301" s="127"/>
      <c r="O301" s="115"/>
      <c r="P301" s="115"/>
      <c r="Q301" s="115"/>
      <c r="R301" s="115"/>
      <c r="S301" s="120"/>
      <c r="T301" s="120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</row>
    <row r="302" ht="18.0" customHeight="1">
      <c r="A302" s="114"/>
      <c r="B302" s="115"/>
      <c r="C302" s="115"/>
      <c r="D302" s="115"/>
      <c r="E302" s="116"/>
      <c r="F302" s="116"/>
      <c r="G302" s="115"/>
      <c r="H302" s="115"/>
      <c r="I302" s="115"/>
      <c r="J302" s="115"/>
      <c r="K302" s="115"/>
      <c r="L302" s="127"/>
      <c r="M302" s="128"/>
      <c r="N302" s="127"/>
      <c r="O302" s="115"/>
      <c r="P302" s="115"/>
      <c r="Q302" s="115"/>
      <c r="R302" s="115"/>
      <c r="S302" s="120"/>
      <c r="T302" s="120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</row>
    <row r="303" ht="18.0" customHeight="1">
      <c r="A303" s="114"/>
      <c r="B303" s="115"/>
      <c r="C303" s="115"/>
      <c r="D303" s="115"/>
      <c r="E303" s="116"/>
      <c r="F303" s="116"/>
      <c r="G303" s="115"/>
      <c r="H303" s="115"/>
      <c r="I303" s="115"/>
      <c r="J303" s="115"/>
      <c r="K303" s="115"/>
      <c r="L303" s="127"/>
      <c r="M303" s="128"/>
      <c r="N303" s="127"/>
      <c r="O303" s="115"/>
      <c r="P303" s="115"/>
      <c r="Q303" s="115"/>
      <c r="R303" s="115"/>
      <c r="S303" s="120"/>
      <c r="T303" s="120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</row>
    <row r="304" ht="18.0" customHeight="1">
      <c r="A304" s="114"/>
      <c r="B304" s="115"/>
      <c r="C304" s="115"/>
      <c r="D304" s="115"/>
      <c r="E304" s="116"/>
      <c r="F304" s="116"/>
      <c r="G304" s="115"/>
      <c r="H304" s="115"/>
      <c r="I304" s="115"/>
      <c r="J304" s="115"/>
      <c r="K304" s="115"/>
      <c r="L304" s="127"/>
      <c r="M304" s="128"/>
      <c r="N304" s="127"/>
      <c r="O304" s="115"/>
      <c r="P304" s="115"/>
      <c r="Q304" s="115"/>
      <c r="R304" s="115"/>
      <c r="S304" s="120"/>
      <c r="T304" s="120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</row>
    <row r="305" ht="18.0" customHeight="1">
      <c r="A305" s="114"/>
      <c r="B305" s="115"/>
      <c r="C305" s="115"/>
      <c r="D305" s="115"/>
      <c r="E305" s="116"/>
      <c r="F305" s="116"/>
      <c r="G305" s="115"/>
      <c r="H305" s="115"/>
      <c r="I305" s="115"/>
      <c r="J305" s="115"/>
      <c r="K305" s="115"/>
      <c r="L305" s="127"/>
      <c r="M305" s="128"/>
      <c r="N305" s="127"/>
      <c r="O305" s="115"/>
      <c r="P305" s="115"/>
      <c r="Q305" s="115"/>
      <c r="R305" s="115"/>
      <c r="S305" s="120"/>
      <c r="T305" s="120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</row>
    <row r="306" ht="18.0" customHeight="1">
      <c r="A306" s="114"/>
      <c r="B306" s="115"/>
      <c r="C306" s="115"/>
      <c r="D306" s="115"/>
      <c r="E306" s="116"/>
      <c r="F306" s="116"/>
      <c r="G306" s="115"/>
      <c r="H306" s="115"/>
      <c r="I306" s="115"/>
      <c r="J306" s="115"/>
      <c r="K306" s="115"/>
      <c r="L306" s="127"/>
      <c r="M306" s="128"/>
      <c r="N306" s="127"/>
      <c r="O306" s="115"/>
      <c r="P306" s="115"/>
      <c r="Q306" s="115"/>
      <c r="R306" s="115"/>
      <c r="S306" s="120"/>
      <c r="T306" s="120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</row>
    <row r="307" ht="18.0" customHeight="1">
      <c r="A307" s="114"/>
      <c r="B307" s="115"/>
      <c r="C307" s="115"/>
      <c r="D307" s="115"/>
      <c r="E307" s="116"/>
      <c r="F307" s="116"/>
      <c r="G307" s="115"/>
      <c r="H307" s="115"/>
      <c r="I307" s="115"/>
      <c r="J307" s="115"/>
      <c r="K307" s="115"/>
      <c r="L307" s="127"/>
      <c r="M307" s="128"/>
      <c r="N307" s="127"/>
      <c r="O307" s="115"/>
      <c r="P307" s="115"/>
      <c r="Q307" s="115"/>
      <c r="R307" s="115"/>
      <c r="S307" s="120"/>
      <c r="T307" s="120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</row>
    <row r="308" ht="18.0" customHeight="1">
      <c r="A308" s="114"/>
      <c r="B308" s="115"/>
      <c r="C308" s="115"/>
      <c r="D308" s="115"/>
      <c r="E308" s="116"/>
      <c r="F308" s="116"/>
      <c r="G308" s="115"/>
      <c r="H308" s="115"/>
      <c r="I308" s="115"/>
      <c r="J308" s="115"/>
      <c r="K308" s="115"/>
      <c r="L308" s="127"/>
      <c r="M308" s="128"/>
      <c r="N308" s="127"/>
      <c r="O308" s="115"/>
      <c r="P308" s="115"/>
      <c r="Q308" s="115"/>
      <c r="R308" s="115"/>
      <c r="S308" s="120"/>
      <c r="T308" s="120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</row>
    <row r="309" ht="18.0" customHeight="1">
      <c r="A309" s="114"/>
      <c r="B309" s="115"/>
      <c r="C309" s="115"/>
      <c r="D309" s="115"/>
      <c r="E309" s="116"/>
      <c r="F309" s="116"/>
      <c r="G309" s="115"/>
      <c r="H309" s="115"/>
      <c r="I309" s="115"/>
      <c r="J309" s="115"/>
      <c r="K309" s="115"/>
      <c r="L309" s="127"/>
      <c r="M309" s="128"/>
      <c r="N309" s="127"/>
      <c r="O309" s="115"/>
      <c r="P309" s="115"/>
      <c r="Q309" s="115"/>
      <c r="R309" s="115"/>
      <c r="S309" s="120"/>
      <c r="T309" s="120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</row>
    <row r="310" ht="18.0" customHeight="1">
      <c r="A310" s="114"/>
      <c r="B310" s="115"/>
      <c r="C310" s="115"/>
      <c r="D310" s="115"/>
      <c r="E310" s="116"/>
      <c r="F310" s="116"/>
      <c r="G310" s="115"/>
      <c r="H310" s="115"/>
      <c r="I310" s="115"/>
      <c r="J310" s="115"/>
      <c r="K310" s="115"/>
      <c r="L310" s="127"/>
      <c r="M310" s="128"/>
      <c r="N310" s="127"/>
      <c r="O310" s="115"/>
      <c r="P310" s="115"/>
      <c r="Q310" s="115"/>
      <c r="R310" s="115"/>
      <c r="S310" s="120"/>
      <c r="T310" s="120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</row>
    <row r="311" ht="18.0" customHeight="1">
      <c r="A311" s="114"/>
      <c r="B311" s="115"/>
      <c r="C311" s="115"/>
      <c r="D311" s="115"/>
      <c r="E311" s="116"/>
      <c r="F311" s="116"/>
      <c r="G311" s="115"/>
      <c r="H311" s="115"/>
      <c r="I311" s="115"/>
      <c r="J311" s="115"/>
      <c r="K311" s="115"/>
      <c r="L311" s="127"/>
      <c r="M311" s="128"/>
      <c r="N311" s="127"/>
      <c r="O311" s="115"/>
      <c r="P311" s="115"/>
      <c r="Q311" s="115"/>
      <c r="R311" s="115"/>
      <c r="S311" s="120"/>
      <c r="T311" s="120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</row>
    <row r="312" ht="18.0" customHeight="1">
      <c r="A312" s="114"/>
      <c r="B312" s="115"/>
      <c r="C312" s="115"/>
      <c r="D312" s="115"/>
      <c r="E312" s="116"/>
      <c r="F312" s="116"/>
      <c r="G312" s="115"/>
      <c r="H312" s="115"/>
      <c r="I312" s="115"/>
      <c r="J312" s="115"/>
      <c r="K312" s="115"/>
      <c r="L312" s="127"/>
      <c r="M312" s="128"/>
      <c r="N312" s="127"/>
      <c r="O312" s="115"/>
      <c r="P312" s="115"/>
      <c r="Q312" s="115"/>
      <c r="R312" s="115"/>
      <c r="S312" s="120"/>
      <c r="T312" s="120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</row>
    <row r="313" ht="18.0" customHeight="1">
      <c r="A313" s="114"/>
      <c r="B313" s="115"/>
      <c r="C313" s="115"/>
      <c r="D313" s="115"/>
      <c r="E313" s="116"/>
      <c r="F313" s="116"/>
      <c r="G313" s="115"/>
      <c r="H313" s="115"/>
      <c r="I313" s="115"/>
      <c r="J313" s="115"/>
      <c r="K313" s="115"/>
      <c r="L313" s="127"/>
      <c r="M313" s="128"/>
      <c r="N313" s="127"/>
      <c r="O313" s="115"/>
      <c r="P313" s="115"/>
      <c r="Q313" s="115"/>
      <c r="R313" s="115"/>
      <c r="S313" s="120"/>
      <c r="T313" s="120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</row>
    <row r="314" ht="18.0" customHeight="1">
      <c r="A314" s="114"/>
      <c r="B314" s="115"/>
      <c r="C314" s="115"/>
      <c r="D314" s="115"/>
      <c r="E314" s="116"/>
      <c r="F314" s="116"/>
      <c r="G314" s="115"/>
      <c r="H314" s="115"/>
      <c r="I314" s="115"/>
      <c r="J314" s="115"/>
      <c r="K314" s="115"/>
      <c r="L314" s="127"/>
      <c r="M314" s="128"/>
      <c r="N314" s="127"/>
      <c r="O314" s="115"/>
      <c r="P314" s="115"/>
      <c r="Q314" s="115"/>
      <c r="R314" s="115"/>
      <c r="S314" s="120"/>
      <c r="T314" s="120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</row>
    <row r="315" ht="18.0" customHeight="1">
      <c r="A315" s="114"/>
      <c r="B315" s="115"/>
      <c r="C315" s="115"/>
      <c r="D315" s="115"/>
      <c r="E315" s="116"/>
      <c r="F315" s="116"/>
      <c r="G315" s="115"/>
      <c r="H315" s="115"/>
      <c r="I315" s="115"/>
      <c r="J315" s="115"/>
      <c r="K315" s="115"/>
      <c r="L315" s="127"/>
      <c r="M315" s="128"/>
      <c r="N315" s="127"/>
      <c r="O315" s="115"/>
      <c r="P315" s="115"/>
      <c r="Q315" s="115"/>
      <c r="R315" s="115"/>
      <c r="S315" s="120"/>
      <c r="T315" s="120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</row>
    <row r="316" ht="18.0" customHeight="1">
      <c r="A316" s="114"/>
      <c r="B316" s="115"/>
      <c r="C316" s="115"/>
      <c r="D316" s="115"/>
      <c r="E316" s="116"/>
      <c r="F316" s="116"/>
      <c r="G316" s="115"/>
      <c r="H316" s="115"/>
      <c r="I316" s="115"/>
      <c r="J316" s="115"/>
      <c r="K316" s="115"/>
      <c r="L316" s="127"/>
      <c r="M316" s="128"/>
      <c r="N316" s="127"/>
      <c r="O316" s="115"/>
      <c r="P316" s="115"/>
      <c r="Q316" s="115"/>
      <c r="R316" s="115"/>
      <c r="S316" s="120"/>
      <c r="T316" s="120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</row>
    <row r="317" ht="18.0" customHeight="1">
      <c r="A317" s="114"/>
      <c r="B317" s="115"/>
      <c r="C317" s="115"/>
      <c r="D317" s="115"/>
      <c r="E317" s="116"/>
      <c r="F317" s="116"/>
      <c r="G317" s="115"/>
      <c r="H317" s="115"/>
      <c r="I317" s="115"/>
      <c r="J317" s="115"/>
      <c r="K317" s="115"/>
      <c r="L317" s="127"/>
      <c r="M317" s="128"/>
      <c r="N317" s="127"/>
      <c r="O317" s="115"/>
      <c r="P317" s="115"/>
      <c r="Q317" s="115"/>
      <c r="R317" s="115"/>
      <c r="S317" s="120"/>
      <c r="T317" s="120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</row>
    <row r="318" ht="18.0" customHeight="1">
      <c r="A318" s="114"/>
      <c r="B318" s="115"/>
      <c r="C318" s="115"/>
      <c r="D318" s="115"/>
      <c r="E318" s="116"/>
      <c r="F318" s="116"/>
      <c r="G318" s="115"/>
      <c r="H318" s="115"/>
      <c r="I318" s="115"/>
      <c r="J318" s="115"/>
      <c r="K318" s="115"/>
      <c r="L318" s="127"/>
      <c r="M318" s="128"/>
      <c r="N318" s="127"/>
      <c r="O318" s="115"/>
      <c r="P318" s="115"/>
      <c r="Q318" s="115"/>
      <c r="R318" s="115"/>
      <c r="S318" s="120"/>
      <c r="T318" s="120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</row>
    <row r="319" ht="18.0" customHeight="1">
      <c r="A319" s="114"/>
      <c r="B319" s="115"/>
      <c r="C319" s="115"/>
      <c r="D319" s="115"/>
      <c r="E319" s="116"/>
      <c r="F319" s="116"/>
      <c r="G319" s="115"/>
      <c r="H319" s="115"/>
      <c r="I319" s="115"/>
      <c r="J319" s="115"/>
      <c r="K319" s="115"/>
      <c r="L319" s="127"/>
      <c r="M319" s="128"/>
      <c r="N319" s="127"/>
      <c r="O319" s="115"/>
      <c r="P319" s="115"/>
      <c r="Q319" s="115"/>
      <c r="R319" s="115"/>
      <c r="S319" s="120"/>
      <c r="T319" s="120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</row>
    <row r="320" ht="18.0" customHeight="1">
      <c r="A320" s="114"/>
      <c r="B320" s="115"/>
      <c r="C320" s="115"/>
      <c r="D320" s="115"/>
      <c r="E320" s="116"/>
      <c r="F320" s="116"/>
      <c r="G320" s="115"/>
      <c r="H320" s="115"/>
      <c r="I320" s="115"/>
      <c r="J320" s="115"/>
      <c r="K320" s="115"/>
      <c r="L320" s="127"/>
      <c r="M320" s="128"/>
      <c r="N320" s="127"/>
      <c r="O320" s="115"/>
      <c r="P320" s="115"/>
      <c r="Q320" s="115"/>
      <c r="R320" s="115"/>
      <c r="S320" s="120"/>
      <c r="T320" s="120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</row>
    <row r="321" ht="18.0" customHeight="1">
      <c r="A321" s="114"/>
      <c r="B321" s="115"/>
      <c r="C321" s="115"/>
      <c r="D321" s="115"/>
      <c r="E321" s="116"/>
      <c r="F321" s="116"/>
      <c r="G321" s="115"/>
      <c r="H321" s="115"/>
      <c r="I321" s="115"/>
      <c r="J321" s="115"/>
      <c r="K321" s="115"/>
      <c r="L321" s="127"/>
      <c r="M321" s="128"/>
      <c r="N321" s="127"/>
      <c r="O321" s="115"/>
      <c r="P321" s="115"/>
      <c r="Q321" s="115"/>
      <c r="R321" s="115"/>
      <c r="S321" s="120"/>
      <c r="T321" s="120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</row>
    <row r="322" ht="18.0" customHeight="1">
      <c r="A322" s="114"/>
      <c r="B322" s="115"/>
      <c r="C322" s="115"/>
      <c r="D322" s="115"/>
      <c r="E322" s="116"/>
      <c r="F322" s="116"/>
      <c r="G322" s="115"/>
      <c r="H322" s="115"/>
      <c r="I322" s="115"/>
      <c r="J322" s="115"/>
      <c r="K322" s="115"/>
      <c r="L322" s="127"/>
      <c r="M322" s="128"/>
      <c r="N322" s="127"/>
      <c r="O322" s="115"/>
      <c r="P322" s="115"/>
      <c r="Q322" s="115"/>
      <c r="R322" s="115"/>
      <c r="S322" s="120"/>
      <c r="T322" s="120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</row>
    <row r="323" ht="18.0" customHeight="1">
      <c r="A323" s="114"/>
      <c r="B323" s="115"/>
      <c r="C323" s="115"/>
      <c r="D323" s="115"/>
      <c r="E323" s="116"/>
      <c r="F323" s="116"/>
      <c r="G323" s="115"/>
      <c r="H323" s="115"/>
      <c r="I323" s="115"/>
      <c r="J323" s="115"/>
      <c r="K323" s="115"/>
      <c r="L323" s="127"/>
      <c r="M323" s="128"/>
      <c r="N323" s="127"/>
      <c r="O323" s="115"/>
      <c r="P323" s="115"/>
      <c r="Q323" s="115"/>
      <c r="R323" s="115"/>
      <c r="S323" s="120"/>
      <c r="T323" s="120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</row>
    <row r="324" ht="18.0" customHeight="1">
      <c r="A324" s="114"/>
      <c r="B324" s="115"/>
      <c r="C324" s="115"/>
      <c r="D324" s="115"/>
      <c r="E324" s="116"/>
      <c r="F324" s="116"/>
      <c r="G324" s="115"/>
      <c r="H324" s="115"/>
      <c r="I324" s="115"/>
      <c r="J324" s="115"/>
      <c r="K324" s="115"/>
      <c r="L324" s="127"/>
      <c r="M324" s="128"/>
      <c r="N324" s="127"/>
      <c r="O324" s="115"/>
      <c r="P324" s="115"/>
      <c r="Q324" s="115"/>
      <c r="R324" s="115"/>
      <c r="S324" s="120"/>
      <c r="T324" s="120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</row>
    <row r="325" ht="18.0" customHeight="1">
      <c r="A325" s="114"/>
      <c r="B325" s="115"/>
      <c r="C325" s="115"/>
      <c r="D325" s="115"/>
      <c r="E325" s="116"/>
      <c r="F325" s="116"/>
      <c r="G325" s="115"/>
      <c r="H325" s="115"/>
      <c r="I325" s="115"/>
      <c r="J325" s="115"/>
      <c r="K325" s="115"/>
      <c r="L325" s="127"/>
      <c r="M325" s="128"/>
      <c r="N325" s="127"/>
      <c r="O325" s="115"/>
      <c r="P325" s="115"/>
      <c r="Q325" s="115"/>
      <c r="R325" s="115"/>
      <c r="S325" s="120"/>
      <c r="T325" s="120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</row>
    <row r="326" ht="18.0" customHeight="1">
      <c r="A326" s="114"/>
      <c r="B326" s="115"/>
      <c r="C326" s="115"/>
      <c r="D326" s="115"/>
      <c r="E326" s="116"/>
      <c r="F326" s="116"/>
      <c r="G326" s="115"/>
      <c r="H326" s="115"/>
      <c r="I326" s="115"/>
      <c r="J326" s="115"/>
      <c r="K326" s="115"/>
      <c r="L326" s="127"/>
      <c r="M326" s="128"/>
      <c r="N326" s="127"/>
      <c r="O326" s="115"/>
      <c r="P326" s="115"/>
      <c r="Q326" s="115"/>
      <c r="R326" s="115"/>
      <c r="S326" s="120"/>
      <c r="T326" s="120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</row>
    <row r="327" ht="18.0" customHeight="1">
      <c r="A327" s="114"/>
      <c r="B327" s="115"/>
      <c r="C327" s="115"/>
      <c r="D327" s="115"/>
      <c r="E327" s="116"/>
      <c r="F327" s="116"/>
      <c r="G327" s="115"/>
      <c r="H327" s="115"/>
      <c r="I327" s="115"/>
      <c r="J327" s="115"/>
      <c r="K327" s="115"/>
      <c r="L327" s="127"/>
      <c r="M327" s="128"/>
      <c r="N327" s="127"/>
      <c r="O327" s="115"/>
      <c r="P327" s="115"/>
      <c r="Q327" s="115"/>
      <c r="R327" s="115"/>
      <c r="S327" s="120"/>
      <c r="T327" s="120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</row>
    <row r="328" ht="18.0" customHeight="1">
      <c r="A328" s="114"/>
      <c r="B328" s="115"/>
      <c r="C328" s="115"/>
      <c r="D328" s="115"/>
      <c r="E328" s="116"/>
      <c r="F328" s="116"/>
      <c r="G328" s="115"/>
      <c r="H328" s="115"/>
      <c r="I328" s="115"/>
      <c r="J328" s="115"/>
      <c r="K328" s="115"/>
      <c r="L328" s="127"/>
      <c r="M328" s="128"/>
      <c r="N328" s="127"/>
      <c r="O328" s="115"/>
      <c r="P328" s="115"/>
      <c r="Q328" s="115"/>
      <c r="R328" s="115"/>
      <c r="S328" s="120"/>
      <c r="T328" s="120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</row>
    <row r="329" ht="18.0" customHeight="1">
      <c r="A329" s="114"/>
      <c r="B329" s="115"/>
      <c r="C329" s="115"/>
      <c r="D329" s="115"/>
      <c r="E329" s="116"/>
      <c r="F329" s="116"/>
      <c r="G329" s="115"/>
      <c r="H329" s="115"/>
      <c r="I329" s="115"/>
      <c r="J329" s="115"/>
      <c r="K329" s="115"/>
      <c r="L329" s="127"/>
      <c r="M329" s="128"/>
      <c r="N329" s="127"/>
      <c r="O329" s="115"/>
      <c r="P329" s="115"/>
      <c r="Q329" s="115"/>
      <c r="R329" s="115"/>
      <c r="S329" s="120"/>
      <c r="T329" s="120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</row>
    <row r="330" ht="18.0" customHeight="1">
      <c r="A330" s="114"/>
      <c r="B330" s="115"/>
      <c r="C330" s="115"/>
      <c r="D330" s="115"/>
      <c r="E330" s="116"/>
      <c r="F330" s="116"/>
      <c r="G330" s="115"/>
      <c r="H330" s="115"/>
      <c r="I330" s="115"/>
      <c r="J330" s="115"/>
      <c r="K330" s="115"/>
      <c r="L330" s="127"/>
      <c r="M330" s="128"/>
      <c r="N330" s="127"/>
      <c r="O330" s="115"/>
      <c r="P330" s="115"/>
      <c r="Q330" s="115"/>
      <c r="R330" s="115"/>
      <c r="S330" s="120"/>
      <c r="T330" s="120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</row>
    <row r="331" ht="18.0" customHeight="1">
      <c r="A331" s="114"/>
      <c r="B331" s="115"/>
      <c r="C331" s="115"/>
      <c r="D331" s="115"/>
      <c r="E331" s="116"/>
      <c r="F331" s="116"/>
      <c r="G331" s="115"/>
      <c r="H331" s="115"/>
      <c r="I331" s="115"/>
      <c r="J331" s="115"/>
      <c r="K331" s="115"/>
      <c r="L331" s="127"/>
      <c r="M331" s="128"/>
      <c r="N331" s="127"/>
      <c r="O331" s="115"/>
      <c r="P331" s="115"/>
      <c r="Q331" s="115"/>
      <c r="R331" s="115"/>
      <c r="S331" s="120"/>
      <c r="T331" s="120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</row>
    <row r="332" ht="18.0" customHeight="1">
      <c r="A332" s="114"/>
      <c r="B332" s="115"/>
      <c r="C332" s="115"/>
      <c r="D332" s="115"/>
      <c r="E332" s="116"/>
      <c r="F332" s="116"/>
      <c r="G332" s="115"/>
      <c r="H332" s="115"/>
      <c r="I332" s="115"/>
      <c r="J332" s="115"/>
      <c r="K332" s="115"/>
      <c r="L332" s="127"/>
      <c r="M332" s="128"/>
      <c r="N332" s="127"/>
      <c r="O332" s="115"/>
      <c r="P332" s="115"/>
      <c r="Q332" s="115"/>
      <c r="R332" s="115"/>
      <c r="S332" s="120"/>
      <c r="T332" s="120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</row>
    <row r="333" ht="18.0" customHeight="1">
      <c r="A333" s="114"/>
      <c r="B333" s="115"/>
      <c r="C333" s="115"/>
      <c r="D333" s="115"/>
      <c r="E333" s="116"/>
      <c r="F333" s="116"/>
      <c r="G333" s="115"/>
      <c r="H333" s="115"/>
      <c r="I333" s="115"/>
      <c r="J333" s="115"/>
      <c r="K333" s="115"/>
      <c r="L333" s="127"/>
      <c r="M333" s="128"/>
      <c r="N333" s="127"/>
      <c r="O333" s="115"/>
      <c r="P333" s="115"/>
      <c r="Q333" s="115"/>
      <c r="R333" s="115"/>
      <c r="S333" s="120"/>
      <c r="T333" s="120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</row>
    <row r="334" ht="18.0" customHeight="1">
      <c r="A334" s="114"/>
      <c r="B334" s="115"/>
      <c r="C334" s="115"/>
      <c r="D334" s="115"/>
      <c r="E334" s="116"/>
      <c r="F334" s="116"/>
      <c r="G334" s="115"/>
      <c r="H334" s="115"/>
      <c r="I334" s="115"/>
      <c r="J334" s="115"/>
      <c r="K334" s="115"/>
      <c r="L334" s="127"/>
      <c r="M334" s="128"/>
      <c r="N334" s="127"/>
      <c r="O334" s="115"/>
      <c r="P334" s="115"/>
      <c r="Q334" s="115"/>
      <c r="R334" s="115"/>
      <c r="S334" s="120"/>
      <c r="T334" s="120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</row>
    <row r="335" ht="18.0" customHeight="1">
      <c r="A335" s="114"/>
      <c r="B335" s="115"/>
      <c r="C335" s="115"/>
      <c r="D335" s="115"/>
      <c r="E335" s="116"/>
      <c r="F335" s="116"/>
      <c r="G335" s="115"/>
      <c r="H335" s="115"/>
      <c r="I335" s="115"/>
      <c r="J335" s="115"/>
      <c r="K335" s="115"/>
      <c r="L335" s="127"/>
      <c r="M335" s="128"/>
      <c r="N335" s="127"/>
      <c r="O335" s="115"/>
      <c r="P335" s="115"/>
      <c r="Q335" s="115"/>
      <c r="R335" s="115"/>
      <c r="S335" s="120"/>
      <c r="T335" s="120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</row>
    <row r="336" ht="18.0" customHeight="1">
      <c r="A336" s="114"/>
      <c r="B336" s="115"/>
      <c r="C336" s="115"/>
      <c r="D336" s="115"/>
      <c r="E336" s="116"/>
      <c r="F336" s="116"/>
      <c r="G336" s="115"/>
      <c r="H336" s="115"/>
      <c r="I336" s="115"/>
      <c r="J336" s="115"/>
      <c r="K336" s="115"/>
      <c r="L336" s="127"/>
      <c r="M336" s="128"/>
      <c r="N336" s="127"/>
      <c r="O336" s="115"/>
      <c r="P336" s="115"/>
      <c r="Q336" s="115"/>
      <c r="R336" s="115"/>
      <c r="S336" s="120"/>
      <c r="T336" s="120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</row>
    <row r="337" ht="18.0" customHeight="1">
      <c r="A337" s="114"/>
      <c r="B337" s="115"/>
      <c r="C337" s="115"/>
      <c r="D337" s="115"/>
      <c r="E337" s="116"/>
      <c r="F337" s="116"/>
      <c r="G337" s="115"/>
      <c r="H337" s="115"/>
      <c r="I337" s="115"/>
      <c r="J337" s="115"/>
      <c r="K337" s="115"/>
      <c r="L337" s="127"/>
      <c r="M337" s="128"/>
      <c r="N337" s="127"/>
      <c r="O337" s="115"/>
      <c r="P337" s="115"/>
      <c r="Q337" s="115"/>
      <c r="R337" s="115"/>
      <c r="S337" s="120"/>
      <c r="T337" s="120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</row>
    <row r="338" ht="18.0" customHeight="1">
      <c r="A338" s="114"/>
      <c r="B338" s="115"/>
      <c r="C338" s="115"/>
      <c r="D338" s="115"/>
      <c r="E338" s="116"/>
      <c r="F338" s="116"/>
      <c r="G338" s="115"/>
      <c r="H338" s="115"/>
      <c r="I338" s="115"/>
      <c r="J338" s="115"/>
      <c r="K338" s="115"/>
      <c r="L338" s="127"/>
      <c r="M338" s="128"/>
      <c r="N338" s="127"/>
      <c r="O338" s="115"/>
      <c r="P338" s="115"/>
      <c r="Q338" s="115"/>
      <c r="R338" s="115"/>
      <c r="S338" s="120"/>
      <c r="T338" s="120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</row>
    <row r="339" ht="18.0" customHeight="1">
      <c r="A339" s="114"/>
      <c r="B339" s="115"/>
      <c r="C339" s="115"/>
      <c r="D339" s="115"/>
      <c r="E339" s="116"/>
      <c r="F339" s="116"/>
      <c r="G339" s="115"/>
      <c r="H339" s="115"/>
      <c r="I339" s="115"/>
      <c r="J339" s="115"/>
      <c r="K339" s="115"/>
      <c r="L339" s="127"/>
      <c r="M339" s="128"/>
      <c r="N339" s="127"/>
      <c r="O339" s="115"/>
      <c r="P339" s="115"/>
      <c r="Q339" s="115"/>
      <c r="R339" s="115"/>
      <c r="S339" s="120"/>
      <c r="T339" s="120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</row>
    <row r="340" ht="18.0" customHeight="1">
      <c r="A340" s="114"/>
      <c r="B340" s="115"/>
      <c r="C340" s="115"/>
      <c r="D340" s="115"/>
      <c r="E340" s="116"/>
      <c r="F340" s="116"/>
      <c r="G340" s="115"/>
      <c r="H340" s="115"/>
      <c r="I340" s="115"/>
      <c r="J340" s="115"/>
      <c r="K340" s="115"/>
      <c r="L340" s="127"/>
      <c r="M340" s="128"/>
      <c r="N340" s="127"/>
      <c r="O340" s="115"/>
      <c r="P340" s="115"/>
      <c r="Q340" s="115"/>
      <c r="R340" s="115"/>
      <c r="S340" s="120"/>
      <c r="T340" s="120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</row>
    <row r="341" ht="18.0" customHeight="1">
      <c r="A341" s="114"/>
      <c r="B341" s="115"/>
      <c r="C341" s="115"/>
      <c r="D341" s="115"/>
      <c r="E341" s="116"/>
      <c r="F341" s="116"/>
      <c r="G341" s="115"/>
      <c r="H341" s="115"/>
      <c r="I341" s="115"/>
      <c r="J341" s="115"/>
      <c r="K341" s="115"/>
      <c r="L341" s="127"/>
      <c r="M341" s="128"/>
      <c r="N341" s="127"/>
      <c r="O341" s="115"/>
      <c r="P341" s="115"/>
      <c r="Q341" s="115"/>
      <c r="R341" s="115"/>
      <c r="S341" s="120"/>
      <c r="T341" s="120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</row>
    <row r="342" ht="18.0" customHeight="1">
      <c r="A342" s="114"/>
      <c r="B342" s="115"/>
      <c r="C342" s="115"/>
      <c r="D342" s="115"/>
      <c r="E342" s="116"/>
      <c r="F342" s="116"/>
      <c r="G342" s="115"/>
      <c r="H342" s="115"/>
      <c r="I342" s="115"/>
      <c r="J342" s="115"/>
      <c r="K342" s="115"/>
      <c r="L342" s="127"/>
      <c r="M342" s="128"/>
      <c r="N342" s="127"/>
      <c r="O342" s="115"/>
      <c r="P342" s="115"/>
      <c r="Q342" s="115"/>
      <c r="R342" s="115"/>
      <c r="S342" s="120"/>
      <c r="T342" s="120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</row>
    <row r="343" ht="18.0" customHeight="1">
      <c r="A343" s="114"/>
      <c r="B343" s="115"/>
      <c r="C343" s="115"/>
      <c r="D343" s="115"/>
      <c r="E343" s="116"/>
      <c r="F343" s="116"/>
      <c r="G343" s="115"/>
      <c r="H343" s="115"/>
      <c r="I343" s="115"/>
      <c r="J343" s="115"/>
      <c r="K343" s="115"/>
      <c r="L343" s="127"/>
      <c r="M343" s="128"/>
      <c r="N343" s="127"/>
      <c r="O343" s="115"/>
      <c r="P343" s="115"/>
      <c r="Q343" s="115"/>
      <c r="R343" s="115"/>
      <c r="S343" s="120"/>
      <c r="T343" s="120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</row>
    <row r="344" ht="18.0" customHeight="1">
      <c r="A344" s="114"/>
      <c r="B344" s="115"/>
      <c r="C344" s="115"/>
      <c r="D344" s="115"/>
      <c r="E344" s="116"/>
      <c r="F344" s="116"/>
      <c r="G344" s="115"/>
      <c r="H344" s="115"/>
      <c r="I344" s="115"/>
      <c r="J344" s="115"/>
      <c r="K344" s="115"/>
      <c r="L344" s="127"/>
      <c r="M344" s="128"/>
      <c r="N344" s="127"/>
      <c r="O344" s="115"/>
      <c r="P344" s="115"/>
      <c r="Q344" s="115"/>
      <c r="R344" s="115"/>
      <c r="S344" s="120"/>
      <c r="T344" s="120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</row>
    <row r="345" ht="18.0" customHeight="1">
      <c r="A345" s="114"/>
      <c r="B345" s="115"/>
      <c r="C345" s="115"/>
      <c r="D345" s="115"/>
      <c r="E345" s="116"/>
      <c r="F345" s="116"/>
      <c r="G345" s="115"/>
      <c r="H345" s="115"/>
      <c r="I345" s="115"/>
      <c r="J345" s="115"/>
      <c r="K345" s="115"/>
      <c r="L345" s="127"/>
      <c r="M345" s="128"/>
      <c r="N345" s="127"/>
      <c r="O345" s="115"/>
      <c r="P345" s="115"/>
      <c r="Q345" s="115"/>
      <c r="R345" s="115"/>
      <c r="S345" s="120"/>
      <c r="T345" s="120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</row>
    <row r="346" ht="18.0" customHeight="1">
      <c r="A346" s="114"/>
      <c r="B346" s="115"/>
      <c r="C346" s="115"/>
      <c r="D346" s="115"/>
      <c r="E346" s="116"/>
      <c r="F346" s="116"/>
      <c r="G346" s="115"/>
      <c r="H346" s="115"/>
      <c r="I346" s="115"/>
      <c r="J346" s="115"/>
      <c r="K346" s="115"/>
      <c r="L346" s="127"/>
      <c r="M346" s="128"/>
      <c r="N346" s="127"/>
      <c r="O346" s="115"/>
      <c r="P346" s="115"/>
      <c r="Q346" s="115"/>
      <c r="R346" s="115"/>
      <c r="S346" s="120"/>
      <c r="T346" s="120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</row>
    <row r="347" ht="18.0" customHeight="1">
      <c r="A347" s="114"/>
      <c r="B347" s="115"/>
      <c r="C347" s="115"/>
      <c r="D347" s="115"/>
      <c r="E347" s="116"/>
      <c r="F347" s="116"/>
      <c r="G347" s="115"/>
      <c r="H347" s="115"/>
      <c r="I347" s="115"/>
      <c r="J347" s="115"/>
      <c r="K347" s="115"/>
      <c r="L347" s="127"/>
      <c r="M347" s="128"/>
      <c r="N347" s="127"/>
      <c r="O347" s="115"/>
      <c r="P347" s="115"/>
      <c r="Q347" s="115"/>
      <c r="R347" s="115"/>
      <c r="S347" s="120"/>
      <c r="T347" s="120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</row>
    <row r="348" ht="18.0" customHeight="1">
      <c r="A348" s="114"/>
      <c r="B348" s="115"/>
      <c r="C348" s="115"/>
      <c r="D348" s="115"/>
      <c r="E348" s="116"/>
      <c r="F348" s="116"/>
      <c r="G348" s="115"/>
      <c r="H348" s="115"/>
      <c r="I348" s="115"/>
      <c r="J348" s="115"/>
      <c r="K348" s="115"/>
      <c r="L348" s="127"/>
      <c r="M348" s="128"/>
      <c r="N348" s="127"/>
      <c r="O348" s="115"/>
      <c r="P348" s="115"/>
      <c r="Q348" s="115"/>
      <c r="R348" s="115"/>
      <c r="S348" s="120"/>
      <c r="T348" s="120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</row>
    <row r="349" ht="18.0" customHeight="1">
      <c r="A349" s="114"/>
      <c r="B349" s="115"/>
      <c r="C349" s="115"/>
      <c r="D349" s="115"/>
      <c r="E349" s="116"/>
      <c r="F349" s="116"/>
      <c r="G349" s="115"/>
      <c r="H349" s="115"/>
      <c r="I349" s="115"/>
      <c r="J349" s="115"/>
      <c r="K349" s="115"/>
      <c r="L349" s="127"/>
      <c r="M349" s="128"/>
      <c r="N349" s="127"/>
      <c r="O349" s="115"/>
      <c r="P349" s="115"/>
      <c r="Q349" s="115"/>
      <c r="R349" s="115"/>
      <c r="S349" s="120"/>
      <c r="T349" s="120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</row>
    <row r="350" ht="18.0" customHeight="1">
      <c r="A350" s="114"/>
      <c r="B350" s="115"/>
      <c r="C350" s="115"/>
      <c r="D350" s="115"/>
      <c r="E350" s="116"/>
      <c r="F350" s="116"/>
      <c r="G350" s="115"/>
      <c r="H350" s="115"/>
      <c r="I350" s="115"/>
      <c r="J350" s="115"/>
      <c r="K350" s="115"/>
      <c r="L350" s="127"/>
      <c r="M350" s="128"/>
      <c r="N350" s="127"/>
      <c r="O350" s="115"/>
      <c r="P350" s="115"/>
      <c r="Q350" s="115"/>
      <c r="R350" s="115"/>
      <c r="S350" s="120"/>
      <c r="T350" s="120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</row>
    <row r="351" ht="18.0" customHeight="1">
      <c r="A351" s="114"/>
      <c r="B351" s="115"/>
      <c r="C351" s="115"/>
      <c r="D351" s="115"/>
      <c r="E351" s="116"/>
      <c r="F351" s="116"/>
      <c r="G351" s="115"/>
      <c r="H351" s="115"/>
      <c r="I351" s="115"/>
      <c r="J351" s="115"/>
      <c r="K351" s="115"/>
      <c r="L351" s="127"/>
      <c r="M351" s="128"/>
      <c r="N351" s="127"/>
      <c r="O351" s="115"/>
      <c r="P351" s="115"/>
      <c r="Q351" s="115"/>
      <c r="R351" s="115"/>
      <c r="S351" s="120"/>
      <c r="T351" s="120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</row>
    <row r="352" ht="18.0" customHeight="1">
      <c r="A352" s="114"/>
      <c r="B352" s="115"/>
      <c r="C352" s="115"/>
      <c r="D352" s="115"/>
      <c r="E352" s="116"/>
      <c r="F352" s="116"/>
      <c r="G352" s="115"/>
      <c r="H352" s="115"/>
      <c r="I352" s="115"/>
      <c r="J352" s="115"/>
      <c r="K352" s="115"/>
      <c r="L352" s="127"/>
      <c r="M352" s="128"/>
      <c r="N352" s="127"/>
      <c r="O352" s="115"/>
      <c r="P352" s="115"/>
      <c r="Q352" s="115"/>
      <c r="R352" s="115"/>
      <c r="S352" s="120"/>
      <c r="T352" s="120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</row>
    <row r="353" ht="18.0" customHeight="1">
      <c r="A353" s="114"/>
      <c r="B353" s="115"/>
      <c r="C353" s="115"/>
      <c r="D353" s="115"/>
      <c r="E353" s="116"/>
      <c r="F353" s="116"/>
      <c r="G353" s="115"/>
      <c r="H353" s="115"/>
      <c r="I353" s="115"/>
      <c r="J353" s="115"/>
      <c r="K353" s="115"/>
      <c r="L353" s="127"/>
      <c r="M353" s="128"/>
      <c r="N353" s="127"/>
      <c r="O353" s="115"/>
      <c r="P353" s="115"/>
      <c r="Q353" s="115"/>
      <c r="R353" s="115"/>
      <c r="S353" s="120"/>
      <c r="T353" s="120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</row>
    <row r="354" ht="18.0" customHeight="1">
      <c r="A354" s="114"/>
      <c r="B354" s="115"/>
      <c r="C354" s="115"/>
      <c r="D354" s="115"/>
      <c r="E354" s="116"/>
      <c r="F354" s="116"/>
      <c r="G354" s="115"/>
      <c r="H354" s="115"/>
      <c r="I354" s="115"/>
      <c r="J354" s="115"/>
      <c r="K354" s="115"/>
      <c r="L354" s="127"/>
      <c r="M354" s="128"/>
      <c r="N354" s="127"/>
      <c r="O354" s="115"/>
      <c r="P354" s="115"/>
      <c r="Q354" s="115"/>
      <c r="R354" s="115"/>
      <c r="S354" s="120"/>
      <c r="T354" s="120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</row>
    <row r="355" ht="18.0" customHeight="1">
      <c r="A355" s="114"/>
      <c r="B355" s="115"/>
      <c r="C355" s="115"/>
      <c r="D355" s="115"/>
      <c r="E355" s="116"/>
      <c r="F355" s="116"/>
      <c r="G355" s="115"/>
      <c r="H355" s="115"/>
      <c r="I355" s="115"/>
      <c r="J355" s="115"/>
      <c r="K355" s="115"/>
      <c r="L355" s="127"/>
      <c r="M355" s="128"/>
      <c r="N355" s="127"/>
      <c r="O355" s="115"/>
      <c r="P355" s="115"/>
      <c r="Q355" s="115"/>
      <c r="R355" s="115"/>
      <c r="S355" s="120"/>
      <c r="T355" s="120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</row>
    <row r="356" ht="18.0" customHeight="1">
      <c r="A356" s="114"/>
      <c r="B356" s="115"/>
      <c r="C356" s="115"/>
      <c r="D356" s="115"/>
      <c r="E356" s="116"/>
      <c r="F356" s="116"/>
      <c r="G356" s="115"/>
      <c r="H356" s="115"/>
      <c r="I356" s="115"/>
      <c r="J356" s="115"/>
      <c r="K356" s="115"/>
      <c r="L356" s="127"/>
      <c r="M356" s="128"/>
      <c r="N356" s="127"/>
      <c r="O356" s="115"/>
      <c r="P356" s="115"/>
      <c r="Q356" s="115"/>
      <c r="R356" s="115"/>
      <c r="S356" s="120"/>
      <c r="T356" s="120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</row>
    <row r="357" ht="18.0" customHeight="1">
      <c r="A357" s="114"/>
      <c r="B357" s="115"/>
      <c r="C357" s="115"/>
      <c r="D357" s="115"/>
      <c r="E357" s="116"/>
      <c r="F357" s="116"/>
      <c r="G357" s="115"/>
      <c r="H357" s="115"/>
      <c r="I357" s="115"/>
      <c r="J357" s="115"/>
      <c r="K357" s="115"/>
      <c r="L357" s="127"/>
      <c r="M357" s="128"/>
      <c r="N357" s="127"/>
      <c r="O357" s="115"/>
      <c r="P357" s="115"/>
      <c r="Q357" s="115"/>
      <c r="R357" s="115"/>
      <c r="S357" s="120"/>
      <c r="T357" s="120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</row>
    <row r="358" ht="18.0" customHeight="1">
      <c r="A358" s="114"/>
      <c r="B358" s="115"/>
      <c r="C358" s="115"/>
      <c r="D358" s="115"/>
      <c r="E358" s="116"/>
      <c r="F358" s="116"/>
      <c r="G358" s="115"/>
      <c r="H358" s="115"/>
      <c r="I358" s="115"/>
      <c r="J358" s="115"/>
      <c r="K358" s="115"/>
      <c r="L358" s="127"/>
      <c r="M358" s="128"/>
      <c r="N358" s="127"/>
      <c r="O358" s="115"/>
      <c r="P358" s="115"/>
      <c r="Q358" s="115"/>
      <c r="R358" s="115"/>
      <c r="S358" s="120"/>
      <c r="T358" s="120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</row>
    <row r="359" ht="18.0" customHeight="1">
      <c r="A359" s="114"/>
      <c r="B359" s="115"/>
      <c r="C359" s="115"/>
      <c r="D359" s="115"/>
      <c r="E359" s="116"/>
      <c r="F359" s="116"/>
      <c r="G359" s="115"/>
      <c r="H359" s="115"/>
      <c r="I359" s="115"/>
      <c r="J359" s="115"/>
      <c r="K359" s="115"/>
      <c r="L359" s="127"/>
      <c r="M359" s="128"/>
      <c r="N359" s="127"/>
      <c r="O359" s="115"/>
      <c r="P359" s="115"/>
      <c r="Q359" s="115"/>
      <c r="R359" s="115"/>
      <c r="S359" s="120"/>
      <c r="T359" s="120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</row>
    <row r="360" ht="18.0" customHeight="1">
      <c r="A360" s="114"/>
      <c r="B360" s="115"/>
      <c r="C360" s="115"/>
      <c r="D360" s="115"/>
      <c r="E360" s="116"/>
      <c r="F360" s="116"/>
      <c r="G360" s="115"/>
      <c r="H360" s="115"/>
      <c r="I360" s="115"/>
      <c r="J360" s="115"/>
      <c r="K360" s="115"/>
      <c r="L360" s="127"/>
      <c r="M360" s="128"/>
      <c r="N360" s="127"/>
      <c r="O360" s="115"/>
      <c r="P360" s="115"/>
      <c r="Q360" s="115"/>
      <c r="R360" s="115"/>
      <c r="S360" s="120"/>
      <c r="T360" s="120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</row>
    <row r="361" ht="18.0" customHeight="1">
      <c r="A361" s="114"/>
      <c r="B361" s="115"/>
      <c r="C361" s="115"/>
      <c r="D361" s="115"/>
      <c r="E361" s="116"/>
      <c r="F361" s="116"/>
      <c r="G361" s="115"/>
      <c r="H361" s="115"/>
      <c r="I361" s="115"/>
      <c r="J361" s="115"/>
      <c r="K361" s="115"/>
      <c r="L361" s="127"/>
      <c r="M361" s="128"/>
      <c r="N361" s="127"/>
      <c r="O361" s="115"/>
      <c r="P361" s="115"/>
      <c r="Q361" s="115"/>
      <c r="R361" s="115"/>
      <c r="S361" s="120"/>
      <c r="T361" s="120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</row>
    <row r="362" ht="18.0" customHeight="1">
      <c r="A362" s="114"/>
      <c r="B362" s="115"/>
      <c r="C362" s="115"/>
      <c r="D362" s="115"/>
      <c r="E362" s="116"/>
      <c r="F362" s="116"/>
      <c r="G362" s="115"/>
      <c r="H362" s="115"/>
      <c r="I362" s="115"/>
      <c r="J362" s="115"/>
      <c r="K362" s="115"/>
      <c r="L362" s="127"/>
      <c r="M362" s="128"/>
      <c r="N362" s="127"/>
      <c r="O362" s="115"/>
      <c r="P362" s="115"/>
      <c r="Q362" s="115"/>
      <c r="R362" s="115"/>
      <c r="S362" s="120"/>
      <c r="T362" s="120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</row>
    <row r="363" ht="18.0" customHeight="1">
      <c r="A363" s="114"/>
      <c r="B363" s="115"/>
      <c r="C363" s="115"/>
      <c r="D363" s="115"/>
      <c r="E363" s="116"/>
      <c r="F363" s="116"/>
      <c r="G363" s="115"/>
      <c r="H363" s="115"/>
      <c r="I363" s="115"/>
      <c r="J363" s="115"/>
      <c r="K363" s="115"/>
      <c r="L363" s="127"/>
      <c r="M363" s="128"/>
      <c r="N363" s="127"/>
      <c r="O363" s="115"/>
      <c r="P363" s="115"/>
      <c r="Q363" s="115"/>
      <c r="R363" s="115"/>
      <c r="S363" s="120"/>
      <c r="T363" s="120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</row>
    <row r="364" ht="18.0" customHeight="1">
      <c r="A364" s="114"/>
      <c r="B364" s="115"/>
      <c r="C364" s="115"/>
      <c r="D364" s="115"/>
      <c r="E364" s="116"/>
      <c r="F364" s="116"/>
      <c r="G364" s="115"/>
      <c r="H364" s="115"/>
      <c r="I364" s="115"/>
      <c r="J364" s="115"/>
      <c r="K364" s="115"/>
      <c r="L364" s="127"/>
      <c r="M364" s="128"/>
      <c r="N364" s="127"/>
      <c r="O364" s="115"/>
      <c r="P364" s="115"/>
      <c r="Q364" s="115"/>
      <c r="R364" s="115"/>
      <c r="S364" s="120"/>
      <c r="T364" s="120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</row>
    <row r="365" ht="18.0" customHeight="1">
      <c r="A365" s="114"/>
      <c r="B365" s="115"/>
      <c r="C365" s="115"/>
      <c r="D365" s="115"/>
      <c r="E365" s="116"/>
      <c r="F365" s="116"/>
      <c r="G365" s="115"/>
      <c r="H365" s="115"/>
      <c r="I365" s="115"/>
      <c r="J365" s="115"/>
      <c r="K365" s="115"/>
      <c r="L365" s="127"/>
      <c r="M365" s="128"/>
      <c r="N365" s="127"/>
      <c r="O365" s="115"/>
      <c r="P365" s="115"/>
      <c r="Q365" s="115"/>
      <c r="R365" s="115"/>
      <c r="S365" s="120"/>
      <c r="T365" s="120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</row>
    <row r="366" ht="18.0" customHeight="1">
      <c r="A366" s="114"/>
      <c r="B366" s="115"/>
      <c r="C366" s="115"/>
      <c r="D366" s="115"/>
      <c r="E366" s="116"/>
      <c r="F366" s="116"/>
      <c r="G366" s="115"/>
      <c r="H366" s="115"/>
      <c r="I366" s="115"/>
      <c r="J366" s="115"/>
      <c r="K366" s="115"/>
      <c r="L366" s="127"/>
      <c r="M366" s="128"/>
      <c r="N366" s="127"/>
      <c r="O366" s="115"/>
      <c r="P366" s="115"/>
      <c r="Q366" s="115"/>
      <c r="R366" s="115"/>
      <c r="S366" s="120"/>
      <c r="T366" s="120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</row>
    <row r="367" ht="18.0" customHeight="1">
      <c r="A367" s="114"/>
      <c r="B367" s="115"/>
      <c r="C367" s="115"/>
      <c r="D367" s="115"/>
      <c r="E367" s="116"/>
      <c r="F367" s="116"/>
      <c r="G367" s="115"/>
      <c r="H367" s="115"/>
      <c r="I367" s="115"/>
      <c r="J367" s="115"/>
      <c r="K367" s="115"/>
      <c r="L367" s="127"/>
      <c r="M367" s="128"/>
      <c r="N367" s="127"/>
      <c r="O367" s="115"/>
      <c r="P367" s="115"/>
      <c r="Q367" s="115"/>
      <c r="R367" s="115"/>
      <c r="S367" s="120"/>
      <c r="T367" s="120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</row>
    <row r="368" ht="18.0" customHeight="1">
      <c r="A368" s="114"/>
      <c r="B368" s="115"/>
      <c r="C368" s="115"/>
      <c r="D368" s="115"/>
      <c r="E368" s="116"/>
      <c r="F368" s="116"/>
      <c r="G368" s="115"/>
      <c r="H368" s="115"/>
      <c r="I368" s="115"/>
      <c r="J368" s="115"/>
      <c r="K368" s="115"/>
      <c r="L368" s="127"/>
      <c r="M368" s="128"/>
      <c r="N368" s="127"/>
      <c r="O368" s="115"/>
      <c r="P368" s="115"/>
      <c r="Q368" s="115"/>
      <c r="R368" s="115"/>
      <c r="S368" s="120"/>
      <c r="T368" s="120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</row>
    <row r="369" ht="18.0" customHeight="1">
      <c r="A369" s="114"/>
      <c r="B369" s="115"/>
      <c r="C369" s="115"/>
      <c r="D369" s="115"/>
      <c r="E369" s="116"/>
      <c r="F369" s="116"/>
      <c r="G369" s="115"/>
      <c r="H369" s="115"/>
      <c r="I369" s="115"/>
      <c r="J369" s="115"/>
      <c r="K369" s="115"/>
      <c r="L369" s="127"/>
      <c r="M369" s="128"/>
      <c r="N369" s="127"/>
      <c r="O369" s="115"/>
      <c r="P369" s="115"/>
      <c r="Q369" s="115"/>
      <c r="R369" s="115"/>
      <c r="S369" s="120"/>
      <c r="T369" s="120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</row>
    <row r="370" ht="18.0" customHeight="1">
      <c r="A370" s="114"/>
      <c r="B370" s="115"/>
      <c r="C370" s="115"/>
      <c r="D370" s="115"/>
      <c r="E370" s="116"/>
      <c r="F370" s="116"/>
      <c r="G370" s="115"/>
      <c r="H370" s="115"/>
      <c r="I370" s="115"/>
      <c r="J370" s="115"/>
      <c r="K370" s="115"/>
      <c r="L370" s="127"/>
      <c r="M370" s="128"/>
      <c r="N370" s="127"/>
      <c r="O370" s="115"/>
      <c r="P370" s="115"/>
      <c r="Q370" s="115"/>
      <c r="R370" s="115"/>
      <c r="S370" s="120"/>
      <c r="T370" s="120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</row>
    <row r="371" ht="18.0" customHeight="1">
      <c r="A371" s="114"/>
      <c r="B371" s="115"/>
      <c r="C371" s="115"/>
      <c r="D371" s="115"/>
      <c r="E371" s="116"/>
      <c r="F371" s="116"/>
      <c r="G371" s="115"/>
      <c r="H371" s="115"/>
      <c r="I371" s="115"/>
      <c r="J371" s="115"/>
      <c r="K371" s="115"/>
      <c r="L371" s="127"/>
      <c r="M371" s="128"/>
      <c r="N371" s="127"/>
      <c r="O371" s="115"/>
      <c r="P371" s="115"/>
      <c r="Q371" s="115"/>
      <c r="R371" s="115"/>
      <c r="S371" s="120"/>
      <c r="T371" s="120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</row>
    <row r="372" ht="18.0" customHeight="1">
      <c r="A372" s="114"/>
      <c r="B372" s="115"/>
      <c r="C372" s="115"/>
      <c r="D372" s="115"/>
      <c r="E372" s="116"/>
      <c r="F372" s="116"/>
      <c r="G372" s="115"/>
      <c r="H372" s="115"/>
      <c r="I372" s="115"/>
      <c r="J372" s="115"/>
      <c r="K372" s="115"/>
      <c r="L372" s="127"/>
      <c r="M372" s="128"/>
      <c r="N372" s="127"/>
      <c r="O372" s="115"/>
      <c r="P372" s="115"/>
      <c r="Q372" s="115"/>
      <c r="R372" s="115"/>
      <c r="S372" s="120"/>
      <c r="T372" s="120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</row>
    <row r="373" ht="18.0" customHeight="1">
      <c r="A373" s="114"/>
      <c r="B373" s="115"/>
      <c r="C373" s="115"/>
      <c r="D373" s="115"/>
      <c r="E373" s="116"/>
      <c r="F373" s="116"/>
      <c r="G373" s="115"/>
      <c r="H373" s="115"/>
      <c r="I373" s="115"/>
      <c r="J373" s="115"/>
      <c r="K373" s="115"/>
      <c r="L373" s="127"/>
      <c r="M373" s="128"/>
      <c r="N373" s="127"/>
      <c r="O373" s="115"/>
      <c r="P373" s="115"/>
      <c r="Q373" s="115"/>
      <c r="R373" s="115"/>
      <c r="S373" s="120"/>
      <c r="T373" s="120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</row>
    <row r="374" ht="18.0" customHeight="1">
      <c r="A374" s="114"/>
      <c r="B374" s="115"/>
      <c r="C374" s="115"/>
      <c r="D374" s="115"/>
      <c r="E374" s="116"/>
      <c r="F374" s="116"/>
      <c r="G374" s="115"/>
      <c r="H374" s="115"/>
      <c r="I374" s="115"/>
      <c r="J374" s="115"/>
      <c r="K374" s="115"/>
      <c r="L374" s="127"/>
      <c r="M374" s="128"/>
      <c r="N374" s="127"/>
      <c r="O374" s="115"/>
      <c r="P374" s="115"/>
      <c r="Q374" s="115"/>
      <c r="R374" s="115"/>
      <c r="S374" s="120"/>
      <c r="T374" s="120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</row>
    <row r="375" ht="18.0" customHeight="1">
      <c r="A375" s="114"/>
      <c r="B375" s="115"/>
      <c r="C375" s="115"/>
      <c r="D375" s="115"/>
      <c r="E375" s="116"/>
      <c r="F375" s="116"/>
      <c r="G375" s="115"/>
      <c r="H375" s="115"/>
      <c r="I375" s="115"/>
      <c r="J375" s="115"/>
      <c r="K375" s="115"/>
      <c r="L375" s="127"/>
      <c r="M375" s="128"/>
      <c r="N375" s="127"/>
      <c r="O375" s="115"/>
      <c r="P375" s="115"/>
      <c r="Q375" s="115"/>
      <c r="R375" s="115"/>
      <c r="S375" s="120"/>
      <c r="T375" s="120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</row>
    <row r="376" ht="18.0" customHeight="1">
      <c r="A376" s="114"/>
      <c r="B376" s="115"/>
      <c r="C376" s="115"/>
      <c r="D376" s="115"/>
      <c r="E376" s="116"/>
      <c r="F376" s="116"/>
      <c r="G376" s="115"/>
      <c r="H376" s="115"/>
      <c r="I376" s="115"/>
      <c r="J376" s="115"/>
      <c r="K376" s="115"/>
      <c r="L376" s="127"/>
      <c r="M376" s="128"/>
      <c r="N376" s="127"/>
      <c r="O376" s="115"/>
      <c r="P376" s="115"/>
      <c r="Q376" s="115"/>
      <c r="R376" s="115"/>
      <c r="S376" s="120"/>
      <c r="T376" s="120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</row>
    <row r="377" ht="18.0" customHeight="1">
      <c r="A377" s="114"/>
      <c r="B377" s="115"/>
      <c r="C377" s="115"/>
      <c r="D377" s="115"/>
      <c r="E377" s="116"/>
      <c r="F377" s="116"/>
      <c r="G377" s="115"/>
      <c r="H377" s="115"/>
      <c r="I377" s="115"/>
      <c r="J377" s="115"/>
      <c r="K377" s="115"/>
      <c r="L377" s="127"/>
      <c r="M377" s="128"/>
      <c r="N377" s="127"/>
      <c r="O377" s="115"/>
      <c r="P377" s="115"/>
      <c r="Q377" s="115"/>
      <c r="R377" s="115"/>
      <c r="S377" s="120"/>
      <c r="T377" s="120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</row>
    <row r="378" ht="18.0" customHeight="1">
      <c r="A378" s="114"/>
      <c r="B378" s="115"/>
      <c r="C378" s="115"/>
      <c r="D378" s="115"/>
      <c r="E378" s="116"/>
      <c r="F378" s="116"/>
      <c r="G378" s="115"/>
      <c r="H378" s="115"/>
      <c r="I378" s="115"/>
      <c r="J378" s="115"/>
      <c r="K378" s="115"/>
      <c r="L378" s="127"/>
      <c r="M378" s="128"/>
      <c r="N378" s="127"/>
      <c r="O378" s="115"/>
      <c r="P378" s="115"/>
      <c r="Q378" s="115"/>
      <c r="R378" s="115"/>
      <c r="S378" s="120"/>
      <c r="T378" s="120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</row>
    <row r="379" ht="18.0" customHeight="1">
      <c r="A379" s="114"/>
      <c r="B379" s="115"/>
      <c r="C379" s="115"/>
      <c r="D379" s="115"/>
      <c r="E379" s="116"/>
      <c r="F379" s="116"/>
      <c r="G379" s="115"/>
      <c r="H379" s="115"/>
      <c r="I379" s="115"/>
      <c r="J379" s="115"/>
      <c r="K379" s="115"/>
      <c r="L379" s="127"/>
      <c r="M379" s="128"/>
      <c r="N379" s="127"/>
      <c r="O379" s="115"/>
      <c r="P379" s="115"/>
      <c r="Q379" s="115"/>
      <c r="R379" s="115"/>
      <c r="S379" s="120"/>
      <c r="T379" s="120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</row>
    <row r="380" ht="18.0" customHeight="1">
      <c r="A380" s="114"/>
      <c r="B380" s="115"/>
      <c r="C380" s="115"/>
      <c r="D380" s="115"/>
      <c r="E380" s="116"/>
      <c r="F380" s="116"/>
      <c r="G380" s="115"/>
      <c r="H380" s="115"/>
      <c r="I380" s="115"/>
      <c r="J380" s="115"/>
      <c r="K380" s="115"/>
      <c r="L380" s="127"/>
      <c r="M380" s="128"/>
      <c r="N380" s="127"/>
      <c r="O380" s="115"/>
      <c r="P380" s="115"/>
      <c r="Q380" s="115"/>
      <c r="R380" s="115"/>
      <c r="S380" s="120"/>
      <c r="T380" s="120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</row>
    <row r="381" ht="18.0" customHeight="1">
      <c r="A381" s="114"/>
      <c r="B381" s="115"/>
      <c r="C381" s="115"/>
      <c r="D381" s="115"/>
      <c r="E381" s="116"/>
      <c r="F381" s="116"/>
      <c r="G381" s="115"/>
      <c r="H381" s="115"/>
      <c r="I381" s="115"/>
      <c r="J381" s="115"/>
      <c r="K381" s="115"/>
      <c r="L381" s="127"/>
      <c r="M381" s="128"/>
      <c r="N381" s="127"/>
      <c r="O381" s="115"/>
      <c r="P381" s="115"/>
      <c r="Q381" s="115"/>
      <c r="R381" s="115"/>
      <c r="S381" s="120"/>
      <c r="T381" s="120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</row>
    <row r="382" ht="18.0" customHeight="1">
      <c r="A382" s="114"/>
      <c r="B382" s="115"/>
      <c r="C382" s="115"/>
      <c r="D382" s="115"/>
      <c r="E382" s="116"/>
      <c r="F382" s="116"/>
      <c r="G382" s="115"/>
      <c r="H382" s="115"/>
      <c r="I382" s="115"/>
      <c r="J382" s="115"/>
      <c r="K382" s="115"/>
      <c r="L382" s="127"/>
      <c r="M382" s="128"/>
      <c r="N382" s="127"/>
      <c r="O382" s="115"/>
      <c r="P382" s="115"/>
      <c r="Q382" s="115"/>
      <c r="R382" s="115"/>
      <c r="S382" s="120"/>
      <c r="T382" s="120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</row>
    <row r="383" ht="18.0" customHeight="1">
      <c r="A383" s="114"/>
      <c r="B383" s="115"/>
      <c r="C383" s="115"/>
      <c r="D383" s="115"/>
      <c r="E383" s="116"/>
      <c r="F383" s="116"/>
      <c r="G383" s="115"/>
      <c r="H383" s="115"/>
      <c r="I383" s="115"/>
      <c r="J383" s="115"/>
      <c r="K383" s="115"/>
      <c r="L383" s="127"/>
      <c r="M383" s="128"/>
      <c r="N383" s="127"/>
      <c r="O383" s="115"/>
      <c r="P383" s="115"/>
      <c r="Q383" s="115"/>
      <c r="R383" s="115"/>
      <c r="S383" s="120"/>
      <c r="T383" s="120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</row>
    <row r="384" ht="18.0" customHeight="1">
      <c r="A384" s="114"/>
      <c r="B384" s="115"/>
      <c r="C384" s="115"/>
      <c r="D384" s="115"/>
      <c r="E384" s="116"/>
      <c r="F384" s="116"/>
      <c r="G384" s="115"/>
      <c r="H384" s="115"/>
      <c r="I384" s="115"/>
      <c r="J384" s="115"/>
      <c r="K384" s="115"/>
      <c r="L384" s="127"/>
      <c r="M384" s="128"/>
      <c r="N384" s="127"/>
      <c r="O384" s="115"/>
      <c r="P384" s="115"/>
      <c r="Q384" s="115"/>
      <c r="R384" s="115"/>
      <c r="S384" s="120"/>
      <c r="T384" s="120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</row>
    <row r="385" ht="18.0" customHeight="1">
      <c r="A385" s="114"/>
      <c r="B385" s="115"/>
      <c r="C385" s="115"/>
      <c r="D385" s="115"/>
      <c r="E385" s="116"/>
      <c r="F385" s="116"/>
      <c r="G385" s="115"/>
      <c r="H385" s="115"/>
      <c r="I385" s="115"/>
      <c r="J385" s="115"/>
      <c r="K385" s="115"/>
      <c r="L385" s="127"/>
      <c r="M385" s="128"/>
      <c r="N385" s="127"/>
      <c r="O385" s="115"/>
      <c r="P385" s="115"/>
      <c r="Q385" s="115"/>
      <c r="R385" s="115"/>
      <c r="S385" s="120"/>
      <c r="T385" s="120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</row>
    <row r="386" ht="18.0" customHeight="1">
      <c r="A386" s="114"/>
      <c r="B386" s="115"/>
      <c r="C386" s="115"/>
      <c r="D386" s="115"/>
      <c r="E386" s="116"/>
      <c r="F386" s="116"/>
      <c r="G386" s="115"/>
      <c r="H386" s="115"/>
      <c r="I386" s="115"/>
      <c r="J386" s="115"/>
      <c r="K386" s="115"/>
      <c r="L386" s="127"/>
      <c r="M386" s="128"/>
      <c r="N386" s="127"/>
      <c r="O386" s="115"/>
      <c r="P386" s="115"/>
      <c r="Q386" s="115"/>
      <c r="R386" s="115"/>
      <c r="S386" s="120"/>
      <c r="T386" s="120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</row>
    <row r="387" ht="18.0" customHeight="1">
      <c r="A387" s="114"/>
      <c r="B387" s="115"/>
      <c r="C387" s="115"/>
      <c r="D387" s="115"/>
      <c r="E387" s="116"/>
      <c r="F387" s="116"/>
      <c r="G387" s="115"/>
      <c r="H387" s="115"/>
      <c r="I387" s="115"/>
      <c r="J387" s="115"/>
      <c r="K387" s="115"/>
      <c r="L387" s="127"/>
      <c r="M387" s="128"/>
      <c r="N387" s="127"/>
      <c r="O387" s="115"/>
      <c r="P387" s="115"/>
      <c r="Q387" s="115"/>
      <c r="R387" s="115"/>
      <c r="S387" s="120"/>
      <c r="T387" s="120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</row>
    <row r="388" ht="18.0" customHeight="1">
      <c r="A388" s="114"/>
      <c r="B388" s="115"/>
      <c r="C388" s="115"/>
      <c r="D388" s="115"/>
      <c r="E388" s="116"/>
      <c r="F388" s="116"/>
      <c r="G388" s="115"/>
      <c r="H388" s="115"/>
      <c r="I388" s="115"/>
      <c r="J388" s="115"/>
      <c r="K388" s="115"/>
      <c r="L388" s="127"/>
      <c r="M388" s="128"/>
      <c r="N388" s="127"/>
      <c r="O388" s="115"/>
      <c r="P388" s="115"/>
      <c r="Q388" s="115"/>
      <c r="R388" s="115"/>
      <c r="S388" s="120"/>
      <c r="T388" s="120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</row>
    <row r="389" ht="18.0" customHeight="1">
      <c r="A389" s="114"/>
      <c r="B389" s="115"/>
      <c r="C389" s="115"/>
      <c r="D389" s="115"/>
      <c r="E389" s="116"/>
      <c r="F389" s="116"/>
      <c r="G389" s="115"/>
      <c r="H389" s="115"/>
      <c r="I389" s="115"/>
      <c r="J389" s="115"/>
      <c r="K389" s="115"/>
      <c r="L389" s="127"/>
      <c r="M389" s="128"/>
      <c r="N389" s="127"/>
      <c r="O389" s="115"/>
      <c r="P389" s="115"/>
      <c r="Q389" s="115"/>
      <c r="R389" s="115"/>
      <c r="S389" s="120"/>
      <c r="T389" s="120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</row>
    <row r="390" ht="18.0" customHeight="1">
      <c r="A390" s="114"/>
      <c r="B390" s="115"/>
      <c r="C390" s="115"/>
      <c r="D390" s="115"/>
      <c r="E390" s="116"/>
      <c r="F390" s="116"/>
      <c r="G390" s="115"/>
      <c r="H390" s="115"/>
      <c r="I390" s="115"/>
      <c r="J390" s="115"/>
      <c r="K390" s="115"/>
      <c r="L390" s="127"/>
      <c r="M390" s="128"/>
      <c r="N390" s="127"/>
      <c r="O390" s="115"/>
      <c r="P390" s="115"/>
      <c r="Q390" s="115"/>
      <c r="R390" s="115"/>
      <c r="S390" s="120"/>
      <c r="T390" s="120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</row>
    <row r="391" ht="18.0" customHeight="1">
      <c r="A391" s="114"/>
      <c r="B391" s="115"/>
      <c r="C391" s="115"/>
      <c r="D391" s="115"/>
      <c r="E391" s="116"/>
      <c r="F391" s="116"/>
      <c r="G391" s="115"/>
      <c r="H391" s="115"/>
      <c r="I391" s="115"/>
      <c r="J391" s="115"/>
      <c r="K391" s="115"/>
      <c r="L391" s="127"/>
      <c r="M391" s="128"/>
      <c r="N391" s="127"/>
      <c r="O391" s="115"/>
      <c r="P391" s="115"/>
      <c r="Q391" s="115"/>
      <c r="R391" s="115"/>
      <c r="S391" s="120"/>
      <c r="T391" s="120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</row>
    <row r="392" ht="18.0" customHeight="1">
      <c r="A392" s="114"/>
      <c r="B392" s="115"/>
      <c r="C392" s="115"/>
      <c r="D392" s="115"/>
      <c r="E392" s="116"/>
      <c r="F392" s="116"/>
      <c r="G392" s="115"/>
      <c r="H392" s="115"/>
      <c r="I392" s="115"/>
      <c r="J392" s="115"/>
      <c r="K392" s="115"/>
      <c r="L392" s="127"/>
      <c r="M392" s="128"/>
      <c r="N392" s="127"/>
      <c r="O392" s="115"/>
      <c r="P392" s="115"/>
      <c r="Q392" s="115"/>
      <c r="R392" s="115"/>
      <c r="S392" s="120"/>
      <c r="T392" s="120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</row>
    <row r="393" ht="18.0" customHeight="1">
      <c r="A393" s="114"/>
      <c r="B393" s="115"/>
      <c r="C393" s="115"/>
      <c r="D393" s="115"/>
      <c r="E393" s="116"/>
      <c r="F393" s="116"/>
      <c r="G393" s="115"/>
      <c r="H393" s="115"/>
      <c r="I393" s="115"/>
      <c r="J393" s="115"/>
      <c r="K393" s="115"/>
      <c r="L393" s="127"/>
      <c r="M393" s="128"/>
      <c r="N393" s="127"/>
      <c r="O393" s="115"/>
      <c r="P393" s="115"/>
      <c r="Q393" s="115"/>
      <c r="R393" s="115"/>
      <c r="S393" s="120"/>
      <c r="T393" s="120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</row>
    <row r="394" ht="18.0" customHeight="1">
      <c r="A394" s="114"/>
      <c r="B394" s="115"/>
      <c r="C394" s="115"/>
      <c r="D394" s="115"/>
      <c r="E394" s="116"/>
      <c r="F394" s="116"/>
      <c r="G394" s="115"/>
      <c r="H394" s="115"/>
      <c r="I394" s="115"/>
      <c r="J394" s="115"/>
      <c r="K394" s="115"/>
      <c r="L394" s="127"/>
      <c r="M394" s="128"/>
      <c r="N394" s="127"/>
      <c r="O394" s="115"/>
      <c r="P394" s="115"/>
      <c r="Q394" s="115"/>
      <c r="R394" s="115"/>
      <c r="S394" s="120"/>
      <c r="T394" s="120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</row>
    <row r="395" ht="18.0" customHeight="1">
      <c r="A395" s="114"/>
      <c r="B395" s="115"/>
      <c r="C395" s="115"/>
      <c r="D395" s="115"/>
      <c r="E395" s="116"/>
      <c r="F395" s="116"/>
      <c r="G395" s="115"/>
      <c r="H395" s="115"/>
      <c r="I395" s="115"/>
      <c r="J395" s="115"/>
      <c r="K395" s="115"/>
      <c r="L395" s="127"/>
      <c r="M395" s="128"/>
      <c r="N395" s="127"/>
      <c r="O395" s="115"/>
      <c r="P395" s="115"/>
      <c r="Q395" s="115"/>
      <c r="R395" s="115"/>
      <c r="S395" s="120"/>
      <c r="T395" s="120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</row>
    <row r="396" ht="18.0" customHeight="1">
      <c r="A396" s="114"/>
      <c r="B396" s="115"/>
      <c r="C396" s="115"/>
      <c r="D396" s="115"/>
      <c r="E396" s="116"/>
      <c r="F396" s="116"/>
      <c r="G396" s="115"/>
      <c r="H396" s="115"/>
      <c r="I396" s="115"/>
      <c r="J396" s="115"/>
      <c r="K396" s="115"/>
      <c r="L396" s="127"/>
      <c r="M396" s="128"/>
      <c r="N396" s="127"/>
      <c r="O396" s="115"/>
      <c r="P396" s="115"/>
      <c r="Q396" s="115"/>
      <c r="R396" s="115"/>
      <c r="S396" s="120"/>
      <c r="T396" s="120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</row>
    <row r="397" ht="18.0" customHeight="1">
      <c r="A397" s="114"/>
      <c r="B397" s="115"/>
      <c r="C397" s="115"/>
      <c r="D397" s="115"/>
      <c r="E397" s="116"/>
      <c r="F397" s="116"/>
      <c r="G397" s="115"/>
      <c r="H397" s="115"/>
      <c r="I397" s="115"/>
      <c r="J397" s="115"/>
      <c r="K397" s="115"/>
      <c r="L397" s="127"/>
      <c r="M397" s="128"/>
      <c r="N397" s="127"/>
      <c r="O397" s="115"/>
      <c r="P397" s="115"/>
      <c r="Q397" s="115"/>
      <c r="R397" s="115"/>
      <c r="S397" s="120"/>
      <c r="T397" s="120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</row>
    <row r="398" ht="18.0" customHeight="1">
      <c r="A398" s="114"/>
      <c r="B398" s="115"/>
      <c r="C398" s="115"/>
      <c r="D398" s="115"/>
      <c r="E398" s="116"/>
      <c r="F398" s="116"/>
      <c r="G398" s="115"/>
      <c r="H398" s="115"/>
      <c r="I398" s="115"/>
      <c r="J398" s="115"/>
      <c r="K398" s="115"/>
      <c r="L398" s="127"/>
      <c r="M398" s="128"/>
      <c r="N398" s="127"/>
      <c r="O398" s="115"/>
      <c r="P398" s="115"/>
      <c r="Q398" s="115"/>
      <c r="R398" s="115"/>
      <c r="S398" s="120"/>
      <c r="T398" s="120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</row>
    <row r="399" ht="18.0" customHeight="1">
      <c r="A399" s="114"/>
      <c r="B399" s="115"/>
      <c r="C399" s="115"/>
      <c r="D399" s="115"/>
      <c r="E399" s="116"/>
      <c r="F399" s="116"/>
      <c r="G399" s="115"/>
      <c r="H399" s="115"/>
      <c r="I399" s="115"/>
      <c r="J399" s="115"/>
      <c r="K399" s="115"/>
      <c r="L399" s="127"/>
      <c r="M399" s="128"/>
      <c r="N399" s="127"/>
      <c r="O399" s="115"/>
      <c r="P399" s="115"/>
      <c r="Q399" s="115"/>
      <c r="R399" s="115"/>
      <c r="S399" s="120"/>
      <c r="T399" s="120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</row>
    <row r="400" ht="18.0" customHeight="1">
      <c r="A400" s="114"/>
      <c r="B400" s="115"/>
      <c r="C400" s="115"/>
      <c r="D400" s="115"/>
      <c r="E400" s="116"/>
      <c r="F400" s="116"/>
      <c r="G400" s="115"/>
      <c r="H400" s="115"/>
      <c r="I400" s="115"/>
      <c r="J400" s="115"/>
      <c r="K400" s="115"/>
      <c r="L400" s="127"/>
      <c r="M400" s="128"/>
      <c r="N400" s="127"/>
      <c r="O400" s="115"/>
      <c r="P400" s="115"/>
      <c r="Q400" s="115"/>
      <c r="R400" s="115"/>
      <c r="S400" s="120"/>
      <c r="T400" s="120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</row>
    <row r="401" ht="18.0" customHeight="1">
      <c r="A401" s="114"/>
      <c r="B401" s="115"/>
      <c r="C401" s="115"/>
      <c r="D401" s="115"/>
      <c r="E401" s="116"/>
      <c r="F401" s="116"/>
      <c r="G401" s="115"/>
      <c r="H401" s="115"/>
      <c r="I401" s="115"/>
      <c r="J401" s="115"/>
      <c r="K401" s="115"/>
      <c r="L401" s="127"/>
      <c r="M401" s="128"/>
      <c r="N401" s="127"/>
      <c r="O401" s="115"/>
      <c r="P401" s="115"/>
      <c r="Q401" s="115"/>
      <c r="R401" s="115"/>
      <c r="S401" s="120"/>
      <c r="T401" s="120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</row>
    <row r="402" ht="18.0" customHeight="1">
      <c r="A402" s="114"/>
      <c r="B402" s="115"/>
      <c r="C402" s="115"/>
      <c r="D402" s="115"/>
      <c r="E402" s="116"/>
      <c r="F402" s="116"/>
      <c r="G402" s="115"/>
      <c r="H402" s="115"/>
      <c r="I402" s="115"/>
      <c r="J402" s="115"/>
      <c r="K402" s="115"/>
      <c r="L402" s="127"/>
      <c r="M402" s="128"/>
      <c r="N402" s="127"/>
      <c r="O402" s="115"/>
      <c r="P402" s="115"/>
      <c r="Q402" s="115"/>
      <c r="R402" s="115"/>
      <c r="S402" s="120"/>
      <c r="T402" s="120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</row>
    <row r="403" ht="18.0" customHeight="1">
      <c r="A403" s="114"/>
      <c r="B403" s="115"/>
      <c r="C403" s="115"/>
      <c r="D403" s="115"/>
      <c r="E403" s="116"/>
      <c r="F403" s="116"/>
      <c r="G403" s="115"/>
      <c r="H403" s="115"/>
      <c r="I403" s="115"/>
      <c r="J403" s="115"/>
      <c r="K403" s="115"/>
      <c r="L403" s="127"/>
      <c r="M403" s="128"/>
      <c r="N403" s="127"/>
      <c r="O403" s="115"/>
      <c r="P403" s="115"/>
      <c r="Q403" s="115"/>
      <c r="R403" s="115"/>
      <c r="S403" s="120"/>
      <c r="T403" s="120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</row>
    <row r="404" ht="18.0" customHeight="1">
      <c r="A404" s="114"/>
      <c r="B404" s="115"/>
      <c r="C404" s="115"/>
      <c r="D404" s="115"/>
      <c r="E404" s="116"/>
      <c r="F404" s="116"/>
      <c r="G404" s="115"/>
      <c r="H404" s="115"/>
      <c r="I404" s="115"/>
      <c r="J404" s="115"/>
      <c r="K404" s="115"/>
      <c r="L404" s="127"/>
      <c r="M404" s="128"/>
      <c r="N404" s="127"/>
      <c r="O404" s="115"/>
      <c r="P404" s="115"/>
      <c r="Q404" s="115"/>
      <c r="R404" s="115"/>
      <c r="S404" s="120"/>
      <c r="T404" s="120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</row>
    <row r="405" ht="18.0" customHeight="1">
      <c r="A405" s="114"/>
      <c r="B405" s="115"/>
      <c r="C405" s="115"/>
      <c r="D405" s="115"/>
      <c r="E405" s="116"/>
      <c r="F405" s="116"/>
      <c r="G405" s="115"/>
      <c r="H405" s="115"/>
      <c r="I405" s="115"/>
      <c r="J405" s="115"/>
      <c r="K405" s="115"/>
      <c r="L405" s="127"/>
      <c r="M405" s="128"/>
      <c r="N405" s="127"/>
      <c r="O405" s="115"/>
      <c r="P405" s="115"/>
      <c r="Q405" s="115"/>
      <c r="R405" s="115"/>
      <c r="S405" s="120"/>
      <c r="T405" s="120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</row>
    <row r="406" ht="18.0" customHeight="1">
      <c r="A406" s="114"/>
      <c r="B406" s="115"/>
      <c r="C406" s="115"/>
      <c r="D406" s="115"/>
      <c r="E406" s="116"/>
      <c r="F406" s="116"/>
      <c r="G406" s="115"/>
      <c r="H406" s="115"/>
      <c r="I406" s="115"/>
      <c r="J406" s="115"/>
      <c r="K406" s="115"/>
      <c r="L406" s="127"/>
      <c r="M406" s="128"/>
      <c r="N406" s="127"/>
      <c r="O406" s="115"/>
      <c r="P406" s="115"/>
      <c r="Q406" s="115"/>
      <c r="R406" s="115"/>
      <c r="S406" s="120"/>
      <c r="T406" s="120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</row>
    <row r="407" ht="18.0" customHeight="1">
      <c r="A407" s="114"/>
      <c r="B407" s="115"/>
      <c r="C407" s="115"/>
      <c r="D407" s="115"/>
      <c r="E407" s="116"/>
      <c r="F407" s="116"/>
      <c r="G407" s="115"/>
      <c r="H407" s="115"/>
      <c r="I407" s="115"/>
      <c r="J407" s="115"/>
      <c r="K407" s="115"/>
      <c r="L407" s="127"/>
      <c r="M407" s="128"/>
      <c r="N407" s="127"/>
      <c r="O407" s="115"/>
      <c r="P407" s="115"/>
      <c r="Q407" s="115"/>
      <c r="R407" s="115"/>
      <c r="S407" s="120"/>
      <c r="T407" s="120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</row>
    <row r="408" ht="18.0" customHeight="1">
      <c r="A408" s="114"/>
      <c r="B408" s="115"/>
      <c r="C408" s="115"/>
      <c r="D408" s="115"/>
      <c r="E408" s="116"/>
      <c r="F408" s="116"/>
      <c r="G408" s="115"/>
      <c r="H408" s="115"/>
      <c r="I408" s="115"/>
      <c r="J408" s="115"/>
      <c r="K408" s="115"/>
      <c r="L408" s="127"/>
      <c r="M408" s="128"/>
      <c r="N408" s="127"/>
      <c r="O408" s="115"/>
      <c r="P408" s="115"/>
      <c r="Q408" s="115"/>
      <c r="R408" s="115"/>
      <c r="S408" s="120"/>
      <c r="T408" s="120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</row>
    <row r="409" ht="18.0" customHeight="1">
      <c r="A409" s="114"/>
      <c r="B409" s="115"/>
      <c r="C409" s="115"/>
      <c r="D409" s="115"/>
      <c r="E409" s="116"/>
      <c r="F409" s="116"/>
      <c r="G409" s="115"/>
      <c r="H409" s="115"/>
      <c r="I409" s="115"/>
      <c r="J409" s="115"/>
      <c r="K409" s="115"/>
      <c r="L409" s="127"/>
      <c r="M409" s="128"/>
      <c r="N409" s="127"/>
      <c r="O409" s="115"/>
      <c r="P409" s="115"/>
      <c r="Q409" s="115"/>
      <c r="R409" s="115"/>
      <c r="S409" s="120"/>
      <c r="T409" s="120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</row>
    <row r="410" ht="18.0" customHeight="1">
      <c r="A410" s="114"/>
      <c r="B410" s="115"/>
      <c r="C410" s="115"/>
      <c r="D410" s="115"/>
      <c r="E410" s="116"/>
      <c r="F410" s="116"/>
      <c r="G410" s="115"/>
      <c r="H410" s="115"/>
      <c r="I410" s="115"/>
      <c r="J410" s="115"/>
      <c r="K410" s="115"/>
      <c r="L410" s="127"/>
      <c r="M410" s="128"/>
      <c r="N410" s="127"/>
      <c r="O410" s="115"/>
      <c r="P410" s="115"/>
      <c r="Q410" s="115"/>
      <c r="R410" s="115"/>
      <c r="S410" s="120"/>
      <c r="T410" s="120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</row>
    <row r="411" ht="18.0" customHeight="1">
      <c r="A411" s="114"/>
      <c r="B411" s="115"/>
      <c r="C411" s="115"/>
      <c r="D411" s="115"/>
      <c r="E411" s="116"/>
      <c r="F411" s="116"/>
      <c r="G411" s="115"/>
      <c r="H411" s="115"/>
      <c r="I411" s="115"/>
      <c r="J411" s="115"/>
      <c r="K411" s="115"/>
      <c r="L411" s="127"/>
      <c r="M411" s="128"/>
      <c r="N411" s="127"/>
      <c r="O411" s="115"/>
      <c r="P411" s="115"/>
      <c r="Q411" s="115"/>
      <c r="R411" s="115"/>
      <c r="S411" s="120"/>
      <c r="T411" s="120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</row>
    <row r="412" ht="18.0" customHeight="1">
      <c r="A412" s="114"/>
      <c r="B412" s="115"/>
      <c r="C412" s="115"/>
      <c r="D412" s="115"/>
      <c r="E412" s="116"/>
      <c r="F412" s="116"/>
      <c r="G412" s="115"/>
      <c r="H412" s="115"/>
      <c r="I412" s="115"/>
      <c r="J412" s="115"/>
      <c r="K412" s="115"/>
      <c r="L412" s="127"/>
      <c r="M412" s="128"/>
      <c r="N412" s="127"/>
      <c r="O412" s="115"/>
      <c r="P412" s="115"/>
      <c r="Q412" s="115"/>
      <c r="R412" s="115"/>
      <c r="S412" s="120"/>
      <c r="T412" s="120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</row>
    <row r="413" ht="18.0" customHeight="1">
      <c r="A413" s="114"/>
      <c r="B413" s="115"/>
      <c r="C413" s="115"/>
      <c r="D413" s="115"/>
      <c r="E413" s="116"/>
      <c r="F413" s="116"/>
      <c r="G413" s="115"/>
      <c r="H413" s="115"/>
      <c r="I413" s="115"/>
      <c r="J413" s="115"/>
      <c r="K413" s="115"/>
      <c r="L413" s="127"/>
      <c r="M413" s="128"/>
      <c r="N413" s="127"/>
      <c r="O413" s="115"/>
      <c r="P413" s="115"/>
      <c r="Q413" s="115"/>
      <c r="R413" s="115"/>
      <c r="S413" s="120"/>
      <c r="T413" s="120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</row>
    <row r="414" ht="18.0" customHeight="1">
      <c r="A414" s="114"/>
      <c r="B414" s="115"/>
      <c r="C414" s="115"/>
      <c r="D414" s="115"/>
      <c r="E414" s="116"/>
      <c r="F414" s="116"/>
      <c r="G414" s="115"/>
      <c r="H414" s="115"/>
      <c r="I414" s="115"/>
      <c r="J414" s="115"/>
      <c r="K414" s="115"/>
      <c r="L414" s="127"/>
      <c r="M414" s="128"/>
      <c r="N414" s="127"/>
      <c r="O414" s="115"/>
      <c r="P414" s="115"/>
      <c r="Q414" s="115"/>
      <c r="R414" s="115"/>
      <c r="S414" s="120"/>
      <c r="T414" s="120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</row>
    <row r="415" ht="18.0" customHeight="1">
      <c r="A415" s="114"/>
      <c r="B415" s="115"/>
      <c r="C415" s="115"/>
      <c r="D415" s="115"/>
      <c r="E415" s="116"/>
      <c r="F415" s="116"/>
      <c r="G415" s="115"/>
      <c r="H415" s="115"/>
      <c r="I415" s="115"/>
      <c r="J415" s="115"/>
      <c r="K415" s="115"/>
      <c r="L415" s="127"/>
      <c r="M415" s="128"/>
      <c r="N415" s="127"/>
      <c r="O415" s="115"/>
      <c r="P415" s="115"/>
      <c r="Q415" s="115"/>
      <c r="R415" s="115"/>
      <c r="S415" s="120"/>
      <c r="T415" s="120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</row>
    <row r="416" ht="18.0" customHeight="1">
      <c r="A416" s="114"/>
      <c r="B416" s="115"/>
      <c r="C416" s="115"/>
      <c r="D416" s="115"/>
      <c r="E416" s="116"/>
      <c r="F416" s="116"/>
      <c r="G416" s="115"/>
      <c r="H416" s="115"/>
      <c r="I416" s="115"/>
      <c r="J416" s="115"/>
      <c r="K416" s="115"/>
      <c r="L416" s="127"/>
      <c r="M416" s="128"/>
      <c r="N416" s="127"/>
      <c r="O416" s="115"/>
      <c r="P416" s="115"/>
      <c r="Q416" s="115"/>
      <c r="R416" s="115"/>
      <c r="S416" s="120"/>
      <c r="T416" s="120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</row>
    <row r="417" ht="18.0" customHeight="1">
      <c r="A417" s="114"/>
      <c r="B417" s="115"/>
      <c r="C417" s="115"/>
      <c r="D417" s="115"/>
      <c r="E417" s="116"/>
      <c r="F417" s="116"/>
      <c r="G417" s="115"/>
      <c r="H417" s="115"/>
      <c r="I417" s="115"/>
      <c r="J417" s="115"/>
      <c r="K417" s="115"/>
      <c r="L417" s="127"/>
      <c r="M417" s="128"/>
      <c r="N417" s="127"/>
      <c r="O417" s="115"/>
      <c r="P417" s="115"/>
      <c r="Q417" s="115"/>
      <c r="R417" s="115"/>
      <c r="S417" s="120"/>
      <c r="T417" s="120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</row>
    <row r="418" ht="18.0" customHeight="1">
      <c r="A418" s="114"/>
      <c r="B418" s="115"/>
      <c r="C418" s="115"/>
      <c r="D418" s="115"/>
      <c r="E418" s="116"/>
      <c r="F418" s="116"/>
      <c r="G418" s="115"/>
      <c r="H418" s="115"/>
      <c r="I418" s="115"/>
      <c r="J418" s="115"/>
      <c r="K418" s="115"/>
      <c r="L418" s="127"/>
      <c r="M418" s="128"/>
      <c r="N418" s="127"/>
      <c r="O418" s="115"/>
      <c r="P418" s="115"/>
      <c r="Q418" s="115"/>
      <c r="R418" s="115"/>
      <c r="S418" s="120"/>
      <c r="T418" s="120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</row>
    <row r="419" ht="18.0" customHeight="1">
      <c r="A419" s="114"/>
      <c r="B419" s="115"/>
      <c r="C419" s="115"/>
      <c r="D419" s="115"/>
      <c r="E419" s="116"/>
      <c r="F419" s="116"/>
      <c r="G419" s="115"/>
      <c r="H419" s="115"/>
      <c r="I419" s="115"/>
      <c r="J419" s="115"/>
      <c r="K419" s="115"/>
      <c r="L419" s="127"/>
      <c r="M419" s="128"/>
      <c r="N419" s="127"/>
      <c r="O419" s="115"/>
      <c r="P419" s="115"/>
      <c r="Q419" s="115"/>
      <c r="R419" s="115"/>
      <c r="S419" s="120"/>
      <c r="T419" s="120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</row>
    <row r="420" ht="18.0" customHeight="1">
      <c r="A420" s="114"/>
      <c r="B420" s="115"/>
      <c r="C420" s="115"/>
      <c r="D420" s="115"/>
      <c r="E420" s="116"/>
      <c r="F420" s="116"/>
      <c r="G420" s="115"/>
      <c r="H420" s="115"/>
      <c r="I420" s="115"/>
      <c r="J420" s="115"/>
      <c r="K420" s="115"/>
      <c r="L420" s="127"/>
      <c r="M420" s="128"/>
      <c r="N420" s="127"/>
      <c r="O420" s="115"/>
      <c r="P420" s="115"/>
      <c r="Q420" s="115"/>
      <c r="R420" s="115"/>
      <c r="S420" s="120"/>
      <c r="T420" s="120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</row>
    <row r="421" ht="18.0" customHeight="1">
      <c r="A421" s="114"/>
      <c r="B421" s="115"/>
      <c r="C421" s="115"/>
      <c r="D421" s="115"/>
      <c r="E421" s="116"/>
      <c r="F421" s="116"/>
      <c r="G421" s="115"/>
      <c r="H421" s="115"/>
      <c r="I421" s="115"/>
      <c r="J421" s="115"/>
      <c r="K421" s="115"/>
      <c r="L421" s="127"/>
      <c r="M421" s="128"/>
      <c r="N421" s="127"/>
      <c r="O421" s="115"/>
      <c r="P421" s="115"/>
      <c r="Q421" s="115"/>
      <c r="R421" s="115"/>
      <c r="S421" s="120"/>
      <c r="T421" s="120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</row>
    <row r="422" ht="18.0" customHeight="1">
      <c r="A422" s="114"/>
      <c r="B422" s="115"/>
      <c r="C422" s="115"/>
      <c r="D422" s="115"/>
      <c r="E422" s="116"/>
      <c r="F422" s="116"/>
      <c r="G422" s="115"/>
      <c r="H422" s="115"/>
      <c r="I422" s="115"/>
      <c r="J422" s="115"/>
      <c r="K422" s="115"/>
      <c r="L422" s="127"/>
      <c r="M422" s="128"/>
      <c r="N422" s="127"/>
      <c r="O422" s="115"/>
      <c r="P422" s="115"/>
      <c r="Q422" s="115"/>
      <c r="R422" s="115"/>
      <c r="S422" s="120"/>
      <c r="T422" s="120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</row>
    <row r="423" ht="18.0" customHeight="1">
      <c r="A423" s="114"/>
      <c r="B423" s="115"/>
      <c r="C423" s="115"/>
      <c r="D423" s="115"/>
      <c r="E423" s="116"/>
      <c r="F423" s="116"/>
      <c r="G423" s="115"/>
      <c r="H423" s="115"/>
      <c r="I423" s="115"/>
      <c r="J423" s="115"/>
      <c r="K423" s="115"/>
      <c r="L423" s="127"/>
      <c r="M423" s="128"/>
      <c r="N423" s="127"/>
      <c r="O423" s="115"/>
      <c r="P423" s="115"/>
      <c r="Q423" s="115"/>
      <c r="R423" s="115"/>
      <c r="S423" s="120"/>
      <c r="T423" s="120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</row>
    <row r="424" ht="18.0" customHeight="1">
      <c r="A424" s="114"/>
      <c r="B424" s="115"/>
      <c r="C424" s="115"/>
      <c r="D424" s="115"/>
      <c r="E424" s="116"/>
      <c r="F424" s="116"/>
      <c r="G424" s="115"/>
      <c r="H424" s="115"/>
      <c r="I424" s="115"/>
      <c r="J424" s="115"/>
      <c r="K424" s="115"/>
      <c r="L424" s="127"/>
      <c r="M424" s="128"/>
      <c r="N424" s="127"/>
      <c r="O424" s="115"/>
      <c r="P424" s="115"/>
      <c r="Q424" s="115"/>
      <c r="R424" s="115"/>
      <c r="S424" s="120"/>
      <c r="T424" s="120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</row>
    <row r="425" ht="18.0" customHeight="1">
      <c r="A425" s="114"/>
      <c r="B425" s="115"/>
      <c r="C425" s="115"/>
      <c r="D425" s="115"/>
      <c r="E425" s="116"/>
      <c r="F425" s="116"/>
      <c r="G425" s="115"/>
      <c r="H425" s="115"/>
      <c r="I425" s="115"/>
      <c r="J425" s="115"/>
      <c r="K425" s="115"/>
      <c r="L425" s="127"/>
      <c r="M425" s="128"/>
      <c r="N425" s="127"/>
      <c r="O425" s="115"/>
      <c r="P425" s="115"/>
      <c r="Q425" s="115"/>
      <c r="R425" s="115"/>
      <c r="S425" s="120"/>
      <c r="T425" s="120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</row>
    <row r="426" ht="18.0" customHeight="1">
      <c r="A426" s="114"/>
      <c r="B426" s="115"/>
      <c r="C426" s="115"/>
      <c r="D426" s="115"/>
      <c r="E426" s="116"/>
      <c r="F426" s="116"/>
      <c r="G426" s="115"/>
      <c r="H426" s="115"/>
      <c r="I426" s="115"/>
      <c r="J426" s="115"/>
      <c r="K426" s="115"/>
      <c r="L426" s="127"/>
      <c r="M426" s="128"/>
      <c r="N426" s="127"/>
      <c r="O426" s="115"/>
      <c r="P426" s="115"/>
      <c r="Q426" s="115"/>
      <c r="R426" s="115"/>
      <c r="S426" s="120"/>
      <c r="T426" s="120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</row>
    <row r="427" ht="18.0" customHeight="1">
      <c r="A427" s="114"/>
      <c r="B427" s="115"/>
      <c r="C427" s="115"/>
      <c r="D427" s="115"/>
      <c r="E427" s="116"/>
      <c r="F427" s="116"/>
      <c r="G427" s="115"/>
      <c r="H427" s="115"/>
      <c r="I427" s="115"/>
      <c r="J427" s="115"/>
      <c r="K427" s="115"/>
      <c r="L427" s="127"/>
      <c r="M427" s="128"/>
      <c r="N427" s="127"/>
      <c r="O427" s="115"/>
      <c r="P427" s="115"/>
      <c r="Q427" s="115"/>
      <c r="R427" s="115"/>
      <c r="S427" s="120"/>
      <c r="T427" s="120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</row>
    <row r="428" ht="18.0" customHeight="1">
      <c r="A428" s="114"/>
      <c r="B428" s="115"/>
      <c r="C428" s="115"/>
      <c r="D428" s="115"/>
      <c r="E428" s="116"/>
      <c r="F428" s="116"/>
      <c r="G428" s="115"/>
      <c r="H428" s="115"/>
      <c r="I428" s="115"/>
      <c r="J428" s="115"/>
      <c r="K428" s="115"/>
      <c r="L428" s="127"/>
      <c r="M428" s="128"/>
      <c r="N428" s="127"/>
      <c r="O428" s="115"/>
      <c r="P428" s="115"/>
      <c r="Q428" s="115"/>
      <c r="R428" s="115"/>
      <c r="S428" s="120"/>
      <c r="T428" s="120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</row>
    <row r="429" ht="18.0" customHeight="1">
      <c r="A429" s="114"/>
      <c r="B429" s="115"/>
      <c r="C429" s="115"/>
      <c r="D429" s="115"/>
      <c r="E429" s="116"/>
      <c r="F429" s="116"/>
      <c r="G429" s="115"/>
      <c r="H429" s="115"/>
      <c r="I429" s="115"/>
      <c r="J429" s="115"/>
      <c r="K429" s="115"/>
      <c r="L429" s="127"/>
      <c r="M429" s="128"/>
      <c r="N429" s="127"/>
      <c r="O429" s="115"/>
      <c r="P429" s="115"/>
      <c r="Q429" s="115"/>
      <c r="R429" s="115"/>
      <c r="S429" s="120"/>
      <c r="T429" s="120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</row>
    <row r="430" ht="18.0" customHeight="1">
      <c r="A430" s="114"/>
      <c r="B430" s="115"/>
      <c r="C430" s="115"/>
      <c r="D430" s="115"/>
      <c r="E430" s="116"/>
      <c r="F430" s="116"/>
      <c r="G430" s="115"/>
      <c r="H430" s="115"/>
      <c r="I430" s="115"/>
      <c r="J430" s="115"/>
      <c r="K430" s="115"/>
      <c r="L430" s="127"/>
      <c r="M430" s="128"/>
      <c r="N430" s="127"/>
      <c r="O430" s="115"/>
      <c r="P430" s="115"/>
      <c r="Q430" s="115"/>
      <c r="R430" s="115"/>
      <c r="S430" s="120"/>
      <c r="T430" s="120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</row>
    <row r="431" ht="18.0" customHeight="1">
      <c r="A431" s="114"/>
      <c r="B431" s="115"/>
      <c r="C431" s="115"/>
      <c r="D431" s="115"/>
      <c r="E431" s="116"/>
      <c r="F431" s="116"/>
      <c r="G431" s="115"/>
      <c r="H431" s="115"/>
      <c r="I431" s="115"/>
      <c r="J431" s="115"/>
      <c r="K431" s="115"/>
      <c r="L431" s="127"/>
      <c r="M431" s="128"/>
      <c r="N431" s="127"/>
      <c r="O431" s="115"/>
      <c r="P431" s="115"/>
      <c r="Q431" s="115"/>
      <c r="R431" s="115"/>
      <c r="S431" s="120"/>
      <c r="T431" s="120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</row>
    <row r="432" ht="18.0" customHeight="1">
      <c r="A432" s="114"/>
      <c r="B432" s="115"/>
      <c r="C432" s="115"/>
      <c r="D432" s="115"/>
      <c r="E432" s="116"/>
      <c r="F432" s="116"/>
      <c r="G432" s="115"/>
      <c r="H432" s="115"/>
      <c r="I432" s="115"/>
      <c r="J432" s="115"/>
      <c r="K432" s="115"/>
      <c r="L432" s="127"/>
      <c r="M432" s="128"/>
      <c r="N432" s="127"/>
      <c r="O432" s="115"/>
      <c r="P432" s="115"/>
      <c r="Q432" s="115"/>
      <c r="R432" s="115"/>
      <c r="S432" s="120"/>
      <c r="T432" s="120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</row>
    <row r="433" ht="18.0" customHeight="1">
      <c r="A433" s="114"/>
      <c r="B433" s="115"/>
      <c r="C433" s="115"/>
      <c r="D433" s="115"/>
      <c r="E433" s="116"/>
      <c r="F433" s="116"/>
      <c r="G433" s="115"/>
      <c r="H433" s="115"/>
      <c r="I433" s="115"/>
      <c r="J433" s="115"/>
      <c r="K433" s="115"/>
      <c r="L433" s="127"/>
      <c r="M433" s="128"/>
      <c r="N433" s="127"/>
      <c r="O433" s="115"/>
      <c r="P433" s="115"/>
      <c r="Q433" s="115"/>
      <c r="R433" s="115"/>
      <c r="S433" s="120"/>
      <c r="T433" s="120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</row>
    <row r="434" ht="18.0" customHeight="1">
      <c r="A434" s="114"/>
      <c r="B434" s="115"/>
      <c r="C434" s="115"/>
      <c r="D434" s="115"/>
      <c r="E434" s="116"/>
      <c r="F434" s="116"/>
      <c r="G434" s="115"/>
      <c r="H434" s="115"/>
      <c r="I434" s="115"/>
      <c r="J434" s="115"/>
      <c r="K434" s="115"/>
      <c r="L434" s="127"/>
      <c r="M434" s="128"/>
      <c r="N434" s="127"/>
      <c r="O434" s="115"/>
      <c r="P434" s="115"/>
      <c r="Q434" s="115"/>
      <c r="R434" s="115"/>
      <c r="S434" s="120"/>
      <c r="T434" s="120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</row>
    <row r="435" ht="18.0" customHeight="1">
      <c r="A435" s="114"/>
      <c r="B435" s="115"/>
      <c r="C435" s="115"/>
      <c r="D435" s="115"/>
      <c r="E435" s="116"/>
      <c r="F435" s="116"/>
      <c r="G435" s="115"/>
      <c r="H435" s="115"/>
      <c r="I435" s="115"/>
      <c r="J435" s="115"/>
      <c r="K435" s="115"/>
      <c r="L435" s="127"/>
      <c r="M435" s="128"/>
      <c r="N435" s="127"/>
      <c r="O435" s="115"/>
      <c r="P435" s="115"/>
      <c r="Q435" s="115"/>
      <c r="R435" s="115"/>
      <c r="S435" s="120"/>
      <c r="T435" s="120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</row>
    <row r="436" ht="18.0" customHeight="1">
      <c r="A436" s="114"/>
      <c r="B436" s="115"/>
      <c r="C436" s="115"/>
      <c r="D436" s="115"/>
      <c r="E436" s="116"/>
      <c r="F436" s="116"/>
      <c r="G436" s="115"/>
      <c r="H436" s="115"/>
      <c r="I436" s="115"/>
      <c r="J436" s="115"/>
      <c r="K436" s="115"/>
      <c r="L436" s="127"/>
      <c r="M436" s="128"/>
      <c r="N436" s="127"/>
      <c r="O436" s="115"/>
      <c r="P436" s="115"/>
      <c r="Q436" s="115"/>
      <c r="R436" s="115"/>
      <c r="S436" s="120"/>
      <c r="T436" s="120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</row>
    <row r="437" ht="18.0" customHeight="1">
      <c r="A437" s="114"/>
      <c r="B437" s="115"/>
      <c r="C437" s="115"/>
      <c r="D437" s="115"/>
      <c r="E437" s="116"/>
      <c r="F437" s="116"/>
      <c r="G437" s="115"/>
      <c r="H437" s="115"/>
      <c r="I437" s="115"/>
      <c r="J437" s="115"/>
      <c r="K437" s="115"/>
      <c r="L437" s="127"/>
      <c r="M437" s="128"/>
      <c r="N437" s="127"/>
      <c r="O437" s="115"/>
      <c r="P437" s="115"/>
      <c r="Q437" s="115"/>
      <c r="R437" s="115"/>
      <c r="S437" s="120"/>
      <c r="T437" s="120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</row>
    <row r="438" ht="18.0" customHeight="1">
      <c r="A438" s="114"/>
      <c r="B438" s="115"/>
      <c r="C438" s="115"/>
      <c r="D438" s="115"/>
      <c r="E438" s="116"/>
      <c r="F438" s="116"/>
      <c r="G438" s="115"/>
      <c r="H438" s="115"/>
      <c r="I438" s="115"/>
      <c r="J438" s="115"/>
      <c r="K438" s="115"/>
      <c r="L438" s="127"/>
      <c r="M438" s="128"/>
      <c r="N438" s="127"/>
      <c r="O438" s="115"/>
      <c r="P438" s="115"/>
      <c r="Q438" s="115"/>
      <c r="R438" s="115"/>
      <c r="S438" s="120"/>
      <c r="T438" s="120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</row>
    <row r="439" ht="18.0" customHeight="1">
      <c r="A439" s="114"/>
      <c r="B439" s="115"/>
      <c r="C439" s="115"/>
      <c r="D439" s="115"/>
      <c r="E439" s="116"/>
      <c r="F439" s="116"/>
      <c r="G439" s="115"/>
      <c r="H439" s="115"/>
      <c r="I439" s="115"/>
      <c r="J439" s="115"/>
      <c r="K439" s="115"/>
      <c r="L439" s="127"/>
      <c r="M439" s="128"/>
      <c r="N439" s="127"/>
      <c r="O439" s="115"/>
      <c r="P439" s="115"/>
      <c r="Q439" s="115"/>
      <c r="R439" s="115"/>
      <c r="S439" s="120"/>
      <c r="T439" s="120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</row>
    <row r="440" ht="18.0" customHeight="1">
      <c r="A440" s="114"/>
      <c r="B440" s="115"/>
      <c r="C440" s="115"/>
      <c r="D440" s="115"/>
      <c r="E440" s="116"/>
      <c r="F440" s="116"/>
      <c r="G440" s="115"/>
      <c r="H440" s="115"/>
      <c r="I440" s="115"/>
      <c r="J440" s="115"/>
      <c r="K440" s="115"/>
      <c r="L440" s="127"/>
      <c r="M440" s="128"/>
      <c r="N440" s="127"/>
      <c r="O440" s="115"/>
      <c r="P440" s="115"/>
      <c r="Q440" s="115"/>
      <c r="R440" s="115"/>
      <c r="S440" s="120"/>
      <c r="T440" s="120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</row>
    <row r="441" ht="18.0" customHeight="1">
      <c r="A441" s="114"/>
      <c r="B441" s="115"/>
      <c r="C441" s="115"/>
      <c r="D441" s="115"/>
      <c r="E441" s="116"/>
      <c r="F441" s="116"/>
      <c r="G441" s="115"/>
      <c r="H441" s="115"/>
      <c r="I441" s="115"/>
      <c r="J441" s="115"/>
      <c r="K441" s="115"/>
      <c r="L441" s="127"/>
      <c r="M441" s="128"/>
      <c r="N441" s="127"/>
      <c r="O441" s="115"/>
      <c r="P441" s="115"/>
      <c r="Q441" s="115"/>
      <c r="R441" s="115"/>
      <c r="S441" s="120"/>
      <c r="T441" s="120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</row>
    <row r="442" ht="18.0" customHeight="1">
      <c r="A442" s="114"/>
      <c r="B442" s="115"/>
      <c r="C442" s="115"/>
      <c r="D442" s="115"/>
      <c r="E442" s="116"/>
      <c r="F442" s="116"/>
      <c r="G442" s="115"/>
      <c r="H442" s="115"/>
      <c r="I442" s="115"/>
      <c r="J442" s="115"/>
      <c r="K442" s="115"/>
      <c r="L442" s="127"/>
      <c r="M442" s="128"/>
      <c r="N442" s="127"/>
      <c r="O442" s="115"/>
      <c r="P442" s="115"/>
      <c r="Q442" s="115"/>
      <c r="R442" s="115"/>
      <c r="S442" s="120"/>
      <c r="T442" s="120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</row>
    <row r="443" ht="18.0" customHeight="1">
      <c r="A443" s="114"/>
      <c r="B443" s="115"/>
      <c r="C443" s="115"/>
      <c r="D443" s="115"/>
      <c r="E443" s="116"/>
      <c r="F443" s="116"/>
      <c r="G443" s="115"/>
      <c r="H443" s="115"/>
      <c r="I443" s="115"/>
      <c r="J443" s="115"/>
      <c r="K443" s="115"/>
      <c r="L443" s="127"/>
      <c r="M443" s="128"/>
      <c r="N443" s="127"/>
      <c r="O443" s="115"/>
      <c r="P443" s="115"/>
      <c r="Q443" s="115"/>
      <c r="R443" s="115"/>
      <c r="S443" s="120"/>
      <c r="T443" s="120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</row>
    <row r="444" ht="18.0" customHeight="1">
      <c r="A444" s="114"/>
      <c r="B444" s="115"/>
      <c r="C444" s="115"/>
      <c r="D444" s="115"/>
      <c r="E444" s="116"/>
      <c r="F444" s="116"/>
      <c r="G444" s="115"/>
      <c r="H444" s="115"/>
      <c r="I444" s="115"/>
      <c r="J444" s="115"/>
      <c r="K444" s="115"/>
      <c r="L444" s="127"/>
      <c r="M444" s="128"/>
      <c r="N444" s="127"/>
      <c r="O444" s="115"/>
      <c r="P444" s="115"/>
      <c r="Q444" s="115"/>
      <c r="R444" s="115"/>
      <c r="S444" s="120"/>
      <c r="T444" s="120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</row>
    <row r="445" ht="18.0" customHeight="1">
      <c r="A445" s="114"/>
      <c r="B445" s="115"/>
      <c r="C445" s="115"/>
      <c r="D445" s="115"/>
      <c r="E445" s="116"/>
      <c r="F445" s="116"/>
      <c r="G445" s="115"/>
      <c r="H445" s="115"/>
      <c r="I445" s="115"/>
      <c r="J445" s="115"/>
      <c r="K445" s="115"/>
      <c r="L445" s="127"/>
      <c r="M445" s="128"/>
      <c r="N445" s="127"/>
      <c r="O445" s="115"/>
      <c r="P445" s="115"/>
      <c r="Q445" s="115"/>
      <c r="R445" s="115"/>
      <c r="S445" s="120"/>
      <c r="T445" s="120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</row>
    <row r="446" ht="18.0" customHeight="1">
      <c r="A446" s="114"/>
      <c r="B446" s="115"/>
      <c r="C446" s="115"/>
      <c r="D446" s="115"/>
      <c r="E446" s="116"/>
      <c r="F446" s="116"/>
      <c r="G446" s="115"/>
      <c r="H446" s="115"/>
      <c r="I446" s="115"/>
      <c r="J446" s="115"/>
      <c r="K446" s="115"/>
      <c r="L446" s="127"/>
      <c r="M446" s="128"/>
      <c r="N446" s="127"/>
      <c r="O446" s="115"/>
      <c r="P446" s="115"/>
      <c r="Q446" s="115"/>
      <c r="R446" s="115"/>
      <c r="S446" s="120"/>
      <c r="T446" s="120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</row>
    <row r="447" ht="18.0" customHeight="1">
      <c r="A447" s="114"/>
      <c r="B447" s="115"/>
      <c r="C447" s="115"/>
      <c r="D447" s="115"/>
      <c r="E447" s="116"/>
      <c r="F447" s="116"/>
      <c r="G447" s="115"/>
      <c r="H447" s="115"/>
      <c r="I447" s="115"/>
      <c r="J447" s="115"/>
      <c r="K447" s="115"/>
      <c r="L447" s="127"/>
      <c r="M447" s="128"/>
      <c r="N447" s="127"/>
      <c r="O447" s="115"/>
      <c r="P447" s="115"/>
      <c r="Q447" s="115"/>
      <c r="R447" s="115"/>
      <c r="S447" s="120"/>
      <c r="T447" s="120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</row>
    <row r="448" ht="18.0" customHeight="1">
      <c r="A448" s="114"/>
      <c r="B448" s="115"/>
      <c r="C448" s="115"/>
      <c r="D448" s="115"/>
      <c r="E448" s="116"/>
      <c r="F448" s="116"/>
      <c r="G448" s="115"/>
      <c r="H448" s="115"/>
      <c r="I448" s="115"/>
      <c r="J448" s="115"/>
      <c r="K448" s="115"/>
      <c r="L448" s="127"/>
      <c r="M448" s="128"/>
      <c r="N448" s="127"/>
      <c r="O448" s="115"/>
      <c r="P448" s="115"/>
      <c r="Q448" s="115"/>
      <c r="R448" s="115"/>
      <c r="S448" s="120"/>
      <c r="T448" s="120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</row>
    <row r="449" ht="18.0" customHeight="1">
      <c r="A449" s="114"/>
      <c r="B449" s="115"/>
      <c r="C449" s="115"/>
      <c r="D449" s="115"/>
      <c r="E449" s="116"/>
      <c r="F449" s="116"/>
      <c r="G449" s="115"/>
      <c r="H449" s="115"/>
      <c r="I449" s="115"/>
      <c r="J449" s="115"/>
      <c r="K449" s="115"/>
      <c r="L449" s="127"/>
      <c r="M449" s="128"/>
      <c r="N449" s="127"/>
      <c r="O449" s="115"/>
      <c r="P449" s="115"/>
      <c r="Q449" s="115"/>
      <c r="R449" s="115"/>
      <c r="S449" s="120"/>
      <c r="T449" s="120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</row>
    <row r="450" ht="18.0" customHeight="1">
      <c r="A450" s="114"/>
      <c r="B450" s="115"/>
      <c r="C450" s="115"/>
      <c r="D450" s="115"/>
      <c r="E450" s="116"/>
      <c r="F450" s="116"/>
      <c r="G450" s="115"/>
      <c r="H450" s="115"/>
      <c r="I450" s="115"/>
      <c r="J450" s="115"/>
      <c r="K450" s="115"/>
      <c r="L450" s="127"/>
      <c r="M450" s="128"/>
      <c r="N450" s="127"/>
      <c r="O450" s="115"/>
      <c r="P450" s="115"/>
      <c r="Q450" s="115"/>
      <c r="R450" s="115"/>
      <c r="S450" s="120"/>
      <c r="T450" s="120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</row>
    <row r="451" ht="18.0" customHeight="1">
      <c r="A451" s="114"/>
      <c r="B451" s="115"/>
      <c r="C451" s="115"/>
      <c r="D451" s="115"/>
      <c r="E451" s="116"/>
      <c r="F451" s="116"/>
      <c r="G451" s="115"/>
      <c r="H451" s="115"/>
      <c r="I451" s="115"/>
      <c r="J451" s="115"/>
      <c r="K451" s="115"/>
      <c r="L451" s="127"/>
      <c r="M451" s="128"/>
      <c r="N451" s="127"/>
      <c r="O451" s="115"/>
      <c r="P451" s="115"/>
      <c r="Q451" s="115"/>
      <c r="R451" s="115"/>
      <c r="S451" s="120"/>
      <c r="T451" s="120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</row>
    <row r="452" ht="18.0" customHeight="1">
      <c r="A452" s="114"/>
      <c r="B452" s="115"/>
      <c r="C452" s="115"/>
      <c r="D452" s="115"/>
      <c r="E452" s="116"/>
      <c r="F452" s="116"/>
      <c r="G452" s="115"/>
      <c r="H452" s="115"/>
      <c r="I452" s="115"/>
      <c r="J452" s="115"/>
      <c r="K452" s="115"/>
      <c r="L452" s="127"/>
      <c r="M452" s="128"/>
      <c r="N452" s="127"/>
      <c r="O452" s="115"/>
      <c r="P452" s="115"/>
      <c r="Q452" s="115"/>
      <c r="R452" s="115"/>
      <c r="S452" s="120"/>
      <c r="T452" s="120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</row>
    <row r="453" ht="18.0" customHeight="1">
      <c r="A453" s="114"/>
      <c r="B453" s="115"/>
      <c r="C453" s="115"/>
      <c r="D453" s="115"/>
      <c r="E453" s="116"/>
      <c r="F453" s="116"/>
      <c r="G453" s="115"/>
      <c r="H453" s="115"/>
      <c r="I453" s="115"/>
      <c r="J453" s="115"/>
      <c r="K453" s="115"/>
      <c r="L453" s="127"/>
      <c r="M453" s="128"/>
      <c r="N453" s="127"/>
      <c r="O453" s="115"/>
      <c r="P453" s="115"/>
      <c r="Q453" s="115"/>
      <c r="R453" s="115"/>
      <c r="S453" s="120"/>
      <c r="T453" s="120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</row>
    <row r="454" ht="18.0" customHeight="1">
      <c r="A454" s="114"/>
      <c r="B454" s="115"/>
      <c r="C454" s="115"/>
      <c r="D454" s="115"/>
      <c r="E454" s="116"/>
      <c r="F454" s="116"/>
      <c r="G454" s="115"/>
      <c r="H454" s="115"/>
      <c r="I454" s="115"/>
      <c r="J454" s="115"/>
      <c r="K454" s="115"/>
      <c r="L454" s="127"/>
      <c r="M454" s="128"/>
      <c r="N454" s="127"/>
      <c r="O454" s="115"/>
      <c r="P454" s="115"/>
      <c r="Q454" s="115"/>
      <c r="R454" s="115"/>
      <c r="S454" s="120"/>
      <c r="T454" s="120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</row>
    <row r="455" ht="18.0" customHeight="1">
      <c r="A455" s="114"/>
      <c r="B455" s="115"/>
      <c r="C455" s="115"/>
      <c r="D455" s="115"/>
      <c r="E455" s="116"/>
      <c r="F455" s="116"/>
      <c r="G455" s="115"/>
      <c r="H455" s="115"/>
      <c r="I455" s="115"/>
      <c r="J455" s="115"/>
      <c r="K455" s="115"/>
      <c r="L455" s="127"/>
      <c r="M455" s="128"/>
      <c r="N455" s="127"/>
      <c r="O455" s="115"/>
      <c r="P455" s="115"/>
      <c r="Q455" s="115"/>
      <c r="R455" s="115"/>
      <c r="S455" s="120"/>
      <c r="T455" s="120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</row>
    <row r="456" ht="18.0" customHeight="1">
      <c r="A456" s="114"/>
      <c r="B456" s="115"/>
      <c r="C456" s="115"/>
      <c r="D456" s="115"/>
      <c r="E456" s="116"/>
      <c r="F456" s="116"/>
      <c r="G456" s="115"/>
      <c r="H456" s="115"/>
      <c r="I456" s="115"/>
      <c r="J456" s="115"/>
      <c r="K456" s="115"/>
      <c r="L456" s="127"/>
      <c r="M456" s="128"/>
      <c r="N456" s="127"/>
      <c r="O456" s="115"/>
      <c r="P456" s="115"/>
      <c r="Q456" s="115"/>
      <c r="R456" s="115"/>
      <c r="S456" s="120"/>
      <c r="T456" s="120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</row>
    <row r="457" ht="18.0" customHeight="1">
      <c r="A457" s="114"/>
      <c r="B457" s="115"/>
      <c r="C457" s="115"/>
      <c r="D457" s="115"/>
      <c r="E457" s="116"/>
      <c r="F457" s="116"/>
      <c r="G457" s="115"/>
      <c r="H457" s="115"/>
      <c r="I457" s="115"/>
      <c r="J457" s="115"/>
      <c r="K457" s="115"/>
      <c r="L457" s="127"/>
      <c r="M457" s="128"/>
      <c r="N457" s="127"/>
      <c r="O457" s="115"/>
      <c r="P457" s="115"/>
      <c r="Q457" s="115"/>
      <c r="R457" s="115"/>
      <c r="S457" s="120"/>
      <c r="T457" s="120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</row>
    <row r="458" ht="18.0" customHeight="1">
      <c r="A458" s="114"/>
      <c r="B458" s="115"/>
      <c r="C458" s="115"/>
      <c r="D458" s="115"/>
      <c r="E458" s="116"/>
      <c r="F458" s="116"/>
      <c r="G458" s="115"/>
      <c r="H458" s="115"/>
      <c r="I458" s="115"/>
      <c r="J458" s="115"/>
      <c r="K458" s="115"/>
      <c r="L458" s="127"/>
      <c r="M458" s="128"/>
      <c r="N458" s="127"/>
      <c r="O458" s="115"/>
      <c r="P458" s="115"/>
      <c r="Q458" s="115"/>
      <c r="R458" s="115"/>
      <c r="S458" s="120"/>
      <c r="T458" s="120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</row>
    <row r="459" ht="18.0" customHeight="1">
      <c r="A459" s="114"/>
      <c r="B459" s="115"/>
      <c r="C459" s="115"/>
      <c r="D459" s="115"/>
      <c r="E459" s="116"/>
      <c r="F459" s="116"/>
      <c r="G459" s="115"/>
      <c r="H459" s="115"/>
      <c r="I459" s="115"/>
      <c r="J459" s="115"/>
      <c r="K459" s="115"/>
      <c r="L459" s="127"/>
      <c r="M459" s="128"/>
      <c r="N459" s="127"/>
      <c r="O459" s="115"/>
      <c r="P459" s="115"/>
      <c r="Q459" s="115"/>
      <c r="R459" s="115"/>
      <c r="S459" s="120"/>
      <c r="T459" s="120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</row>
    <row r="460" ht="18.0" customHeight="1">
      <c r="A460" s="114"/>
      <c r="B460" s="115"/>
      <c r="C460" s="115"/>
      <c r="D460" s="115"/>
      <c r="E460" s="116"/>
      <c r="F460" s="116"/>
      <c r="G460" s="115"/>
      <c r="H460" s="115"/>
      <c r="I460" s="115"/>
      <c r="J460" s="115"/>
      <c r="K460" s="115"/>
      <c r="L460" s="127"/>
      <c r="M460" s="128"/>
      <c r="N460" s="127"/>
      <c r="O460" s="115"/>
      <c r="P460" s="115"/>
      <c r="Q460" s="115"/>
      <c r="R460" s="115"/>
      <c r="S460" s="120"/>
      <c r="T460" s="120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</row>
    <row r="461" ht="18.0" customHeight="1">
      <c r="A461" s="114"/>
      <c r="B461" s="115"/>
      <c r="C461" s="115"/>
      <c r="D461" s="115"/>
      <c r="E461" s="116"/>
      <c r="F461" s="116"/>
      <c r="G461" s="115"/>
      <c r="H461" s="115"/>
      <c r="I461" s="115"/>
      <c r="J461" s="115"/>
      <c r="K461" s="115"/>
      <c r="L461" s="127"/>
      <c r="M461" s="128"/>
      <c r="N461" s="127"/>
      <c r="O461" s="115"/>
      <c r="P461" s="115"/>
      <c r="Q461" s="115"/>
      <c r="R461" s="115"/>
      <c r="S461" s="120"/>
      <c r="T461" s="120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</row>
    <row r="462" ht="18.0" customHeight="1">
      <c r="A462" s="114"/>
      <c r="B462" s="115"/>
      <c r="C462" s="115"/>
      <c r="D462" s="115"/>
      <c r="E462" s="116"/>
      <c r="F462" s="116"/>
      <c r="G462" s="115"/>
      <c r="H462" s="115"/>
      <c r="I462" s="115"/>
      <c r="J462" s="115"/>
      <c r="K462" s="115"/>
      <c r="L462" s="127"/>
      <c r="M462" s="128"/>
      <c r="N462" s="127"/>
      <c r="O462" s="115"/>
      <c r="P462" s="115"/>
      <c r="Q462" s="115"/>
      <c r="R462" s="115"/>
      <c r="S462" s="120"/>
      <c r="T462" s="120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</row>
    <row r="463" ht="18.0" customHeight="1">
      <c r="A463" s="114"/>
      <c r="B463" s="115"/>
      <c r="C463" s="115"/>
      <c r="D463" s="115"/>
      <c r="E463" s="116"/>
      <c r="F463" s="116"/>
      <c r="G463" s="115"/>
      <c r="H463" s="115"/>
      <c r="I463" s="115"/>
      <c r="J463" s="115"/>
      <c r="K463" s="115"/>
      <c r="L463" s="127"/>
      <c r="M463" s="128"/>
      <c r="N463" s="127"/>
      <c r="O463" s="115"/>
      <c r="P463" s="115"/>
      <c r="Q463" s="115"/>
      <c r="R463" s="115"/>
      <c r="S463" s="120"/>
      <c r="T463" s="120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</row>
    <row r="464" ht="18.0" customHeight="1">
      <c r="A464" s="114"/>
      <c r="B464" s="115"/>
      <c r="C464" s="115"/>
      <c r="D464" s="115"/>
      <c r="E464" s="116"/>
      <c r="F464" s="116"/>
      <c r="G464" s="115"/>
      <c r="H464" s="115"/>
      <c r="I464" s="115"/>
      <c r="J464" s="115"/>
      <c r="K464" s="115"/>
      <c r="L464" s="127"/>
      <c r="M464" s="128"/>
      <c r="N464" s="127"/>
      <c r="O464" s="115"/>
      <c r="P464" s="115"/>
      <c r="Q464" s="115"/>
      <c r="R464" s="115"/>
      <c r="S464" s="120"/>
      <c r="T464" s="120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</row>
    <row r="465" ht="18.0" customHeight="1">
      <c r="A465" s="114"/>
      <c r="B465" s="115"/>
      <c r="C465" s="115"/>
      <c r="D465" s="115"/>
      <c r="E465" s="116"/>
      <c r="F465" s="116"/>
      <c r="G465" s="115"/>
      <c r="H465" s="115"/>
      <c r="I465" s="115"/>
      <c r="J465" s="115"/>
      <c r="K465" s="115"/>
      <c r="L465" s="127"/>
      <c r="M465" s="128"/>
      <c r="N465" s="127"/>
      <c r="O465" s="115"/>
      <c r="P465" s="115"/>
      <c r="Q465" s="115"/>
      <c r="R465" s="115"/>
      <c r="S465" s="120"/>
      <c r="T465" s="120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</row>
    <row r="466" ht="18.0" customHeight="1">
      <c r="A466" s="114"/>
      <c r="B466" s="115"/>
      <c r="C466" s="115"/>
      <c r="D466" s="115"/>
      <c r="E466" s="116"/>
      <c r="F466" s="116"/>
      <c r="G466" s="115"/>
      <c r="H466" s="115"/>
      <c r="I466" s="115"/>
      <c r="J466" s="115"/>
      <c r="K466" s="115"/>
      <c r="L466" s="127"/>
      <c r="M466" s="128"/>
      <c r="N466" s="127"/>
      <c r="O466" s="115"/>
      <c r="P466" s="115"/>
      <c r="Q466" s="115"/>
      <c r="R466" s="115"/>
      <c r="S466" s="120"/>
      <c r="T466" s="120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</row>
    <row r="467" ht="18.0" customHeight="1">
      <c r="A467" s="114"/>
      <c r="B467" s="115"/>
      <c r="C467" s="115"/>
      <c r="D467" s="115"/>
      <c r="E467" s="116"/>
      <c r="F467" s="116"/>
      <c r="G467" s="115"/>
      <c r="H467" s="115"/>
      <c r="I467" s="115"/>
      <c r="J467" s="115"/>
      <c r="K467" s="115"/>
      <c r="L467" s="127"/>
      <c r="M467" s="128"/>
      <c r="N467" s="127"/>
      <c r="O467" s="115"/>
      <c r="P467" s="115"/>
      <c r="Q467" s="115"/>
      <c r="R467" s="115"/>
      <c r="S467" s="120"/>
      <c r="T467" s="120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</row>
    <row r="468" ht="18.0" customHeight="1">
      <c r="A468" s="114"/>
      <c r="B468" s="115"/>
      <c r="C468" s="115"/>
      <c r="D468" s="115"/>
      <c r="E468" s="116"/>
      <c r="F468" s="116"/>
      <c r="G468" s="115"/>
      <c r="H468" s="115"/>
      <c r="I468" s="115"/>
      <c r="J468" s="115"/>
      <c r="K468" s="115"/>
      <c r="L468" s="127"/>
      <c r="M468" s="128"/>
      <c r="N468" s="127"/>
      <c r="O468" s="115"/>
      <c r="P468" s="115"/>
      <c r="Q468" s="115"/>
      <c r="R468" s="115"/>
      <c r="S468" s="120"/>
      <c r="T468" s="120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</row>
    <row r="469" ht="18.0" customHeight="1">
      <c r="A469" s="114"/>
      <c r="B469" s="115"/>
      <c r="C469" s="115"/>
      <c r="D469" s="115"/>
      <c r="E469" s="116"/>
      <c r="F469" s="116"/>
      <c r="G469" s="115"/>
      <c r="H469" s="115"/>
      <c r="I469" s="115"/>
      <c r="J469" s="115"/>
      <c r="K469" s="115"/>
      <c r="L469" s="127"/>
      <c r="M469" s="128"/>
      <c r="N469" s="127"/>
      <c r="O469" s="115"/>
      <c r="P469" s="115"/>
      <c r="Q469" s="115"/>
      <c r="R469" s="115"/>
      <c r="S469" s="120"/>
      <c r="T469" s="120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</row>
    <row r="470" ht="18.0" customHeight="1">
      <c r="A470" s="114"/>
      <c r="B470" s="115"/>
      <c r="C470" s="115"/>
      <c r="D470" s="115"/>
      <c r="E470" s="116"/>
      <c r="F470" s="116"/>
      <c r="G470" s="115"/>
      <c r="H470" s="115"/>
      <c r="I470" s="115"/>
      <c r="J470" s="115"/>
      <c r="K470" s="115"/>
      <c r="L470" s="127"/>
      <c r="M470" s="128"/>
      <c r="N470" s="127"/>
      <c r="O470" s="115"/>
      <c r="P470" s="115"/>
      <c r="Q470" s="115"/>
      <c r="R470" s="115"/>
      <c r="S470" s="120"/>
      <c r="T470" s="120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</row>
    <row r="471" ht="18.0" customHeight="1">
      <c r="A471" s="114"/>
      <c r="B471" s="115"/>
      <c r="C471" s="115"/>
      <c r="D471" s="115"/>
      <c r="E471" s="116"/>
      <c r="F471" s="116"/>
      <c r="G471" s="115"/>
      <c r="H471" s="115"/>
      <c r="I471" s="115"/>
      <c r="J471" s="115"/>
      <c r="K471" s="115"/>
      <c r="L471" s="127"/>
      <c r="M471" s="128"/>
      <c r="N471" s="127"/>
      <c r="O471" s="115"/>
      <c r="P471" s="115"/>
      <c r="Q471" s="115"/>
      <c r="R471" s="115"/>
      <c r="S471" s="120"/>
      <c r="T471" s="120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</row>
    <row r="472" ht="18.0" customHeight="1">
      <c r="A472" s="114"/>
      <c r="B472" s="115"/>
      <c r="C472" s="115"/>
      <c r="D472" s="115"/>
      <c r="E472" s="116"/>
      <c r="F472" s="116"/>
      <c r="G472" s="115"/>
      <c r="H472" s="115"/>
      <c r="I472" s="115"/>
      <c r="J472" s="115"/>
      <c r="K472" s="115"/>
      <c r="L472" s="127"/>
      <c r="M472" s="128"/>
      <c r="N472" s="127"/>
      <c r="O472" s="115"/>
      <c r="P472" s="115"/>
      <c r="Q472" s="115"/>
      <c r="R472" s="115"/>
      <c r="S472" s="120"/>
      <c r="T472" s="120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</row>
    <row r="473" ht="18.0" customHeight="1">
      <c r="A473" s="114"/>
      <c r="B473" s="115"/>
      <c r="C473" s="115"/>
      <c r="D473" s="115"/>
      <c r="E473" s="116"/>
      <c r="F473" s="116"/>
      <c r="G473" s="115"/>
      <c r="H473" s="115"/>
      <c r="I473" s="115"/>
      <c r="J473" s="115"/>
      <c r="K473" s="115"/>
      <c r="L473" s="127"/>
      <c r="M473" s="128"/>
      <c r="N473" s="127"/>
      <c r="O473" s="115"/>
      <c r="P473" s="115"/>
      <c r="Q473" s="115"/>
      <c r="R473" s="115"/>
      <c r="S473" s="120"/>
      <c r="T473" s="120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</row>
    <row r="474" ht="18.0" customHeight="1">
      <c r="A474" s="114"/>
      <c r="B474" s="115"/>
      <c r="C474" s="115"/>
      <c r="D474" s="115"/>
      <c r="E474" s="116"/>
      <c r="F474" s="116"/>
      <c r="G474" s="115"/>
      <c r="H474" s="115"/>
      <c r="I474" s="115"/>
      <c r="J474" s="115"/>
      <c r="K474" s="115"/>
      <c r="L474" s="127"/>
      <c r="M474" s="128"/>
      <c r="N474" s="127"/>
      <c r="O474" s="115"/>
      <c r="P474" s="115"/>
      <c r="Q474" s="115"/>
      <c r="R474" s="115"/>
      <c r="S474" s="120"/>
      <c r="T474" s="120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</row>
    <row r="475" ht="18.0" customHeight="1">
      <c r="A475" s="114"/>
      <c r="B475" s="115"/>
      <c r="C475" s="115"/>
      <c r="D475" s="115"/>
      <c r="E475" s="116"/>
      <c r="F475" s="116"/>
      <c r="G475" s="115"/>
      <c r="H475" s="115"/>
      <c r="I475" s="115"/>
      <c r="J475" s="115"/>
      <c r="K475" s="115"/>
      <c r="L475" s="127"/>
      <c r="M475" s="128"/>
      <c r="N475" s="127"/>
      <c r="O475" s="115"/>
      <c r="P475" s="115"/>
      <c r="Q475" s="115"/>
      <c r="R475" s="115"/>
      <c r="S475" s="120"/>
      <c r="T475" s="120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</row>
    <row r="476" ht="18.0" customHeight="1">
      <c r="A476" s="114"/>
      <c r="B476" s="115"/>
      <c r="C476" s="115"/>
      <c r="D476" s="115"/>
      <c r="E476" s="116"/>
      <c r="F476" s="116"/>
      <c r="G476" s="115"/>
      <c r="H476" s="115"/>
      <c r="I476" s="115"/>
      <c r="J476" s="115"/>
      <c r="K476" s="115"/>
      <c r="L476" s="127"/>
      <c r="M476" s="128"/>
      <c r="N476" s="127"/>
      <c r="O476" s="115"/>
      <c r="P476" s="115"/>
      <c r="Q476" s="115"/>
      <c r="R476" s="115"/>
      <c r="S476" s="120"/>
      <c r="T476" s="120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</row>
    <row r="477" ht="18.0" customHeight="1">
      <c r="A477" s="114"/>
      <c r="B477" s="115"/>
      <c r="C477" s="115"/>
      <c r="D477" s="115"/>
      <c r="E477" s="116"/>
      <c r="F477" s="116"/>
      <c r="G477" s="115"/>
      <c r="H477" s="115"/>
      <c r="I477" s="115"/>
      <c r="J477" s="115"/>
      <c r="K477" s="115"/>
      <c r="L477" s="127"/>
      <c r="M477" s="128"/>
      <c r="N477" s="127"/>
      <c r="O477" s="115"/>
      <c r="P477" s="115"/>
      <c r="Q477" s="115"/>
      <c r="R477" s="115"/>
      <c r="S477" s="120"/>
      <c r="T477" s="120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</row>
    <row r="478" ht="18.0" customHeight="1">
      <c r="A478" s="114"/>
      <c r="B478" s="115"/>
      <c r="C478" s="115"/>
      <c r="D478" s="115"/>
      <c r="E478" s="116"/>
      <c r="F478" s="116"/>
      <c r="G478" s="115"/>
      <c r="H478" s="115"/>
      <c r="I478" s="115"/>
      <c r="J478" s="115"/>
      <c r="K478" s="115"/>
      <c r="L478" s="127"/>
      <c r="M478" s="128"/>
      <c r="N478" s="127"/>
      <c r="O478" s="115"/>
      <c r="P478" s="115"/>
      <c r="Q478" s="115"/>
      <c r="R478" s="115"/>
      <c r="S478" s="120"/>
      <c r="T478" s="120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</row>
    <row r="479" ht="18.0" customHeight="1">
      <c r="A479" s="114"/>
      <c r="B479" s="115"/>
      <c r="C479" s="115"/>
      <c r="D479" s="115"/>
      <c r="E479" s="116"/>
      <c r="F479" s="116"/>
      <c r="G479" s="115"/>
      <c r="H479" s="115"/>
      <c r="I479" s="115"/>
      <c r="J479" s="115"/>
      <c r="K479" s="115"/>
      <c r="L479" s="127"/>
      <c r="M479" s="128"/>
      <c r="N479" s="127"/>
      <c r="O479" s="115"/>
      <c r="P479" s="115"/>
      <c r="Q479" s="115"/>
      <c r="R479" s="115"/>
      <c r="S479" s="120"/>
      <c r="T479" s="120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</row>
    <row r="480" ht="18.0" customHeight="1">
      <c r="A480" s="114"/>
      <c r="B480" s="115"/>
      <c r="C480" s="115"/>
      <c r="D480" s="115"/>
      <c r="E480" s="116"/>
      <c r="F480" s="116"/>
      <c r="G480" s="115"/>
      <c r="H480" s="115"/>
      <c r="I480" s="115"/>
      <c r="J480" s="115"/>
      <c r="K480" s="115"/>
      <c r="L480" s="127"/>
      <c r="M480" s="128"/>
      <c r="N480" s="127"/>
      <c r="O480" s="115"/>
      <c r="P480" s="115"/>
      <c r="Q480" s="115"/>
      <c r="R480" s="115"/>
      <c r="S480" s="120"/>
      <c r="T480" s="120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</row>
    <row r="481" ht="18.0" customHeight="1">
      <c r="A481" s="114"/>
      <c r="B481" s="115"/>
      <c r="C481" s="115"/>
      <c r="D481" s="115"/>
      <c r="E481" s="116"/>
      <c r="F481" s="116"/>
      <c r="G481" s="115"/>
      <c r="H481" s="115"/>
      <c r="I481" s="115"/>
      <c r="J481" s="115"/>
      <c r="K481" s="115"/>
      <c r="L481" s="127"/>
      <c r="M481" s="128"/>
      <c r="N481" s="127"/>
      <c r="O481" s="115"/>
      <c r="P481" s="115"/>
      <c r="Q481" s="115"/>
      <c r="R481" s="115"/>
      <c r="S481" s="120"/>
      <c r="T481" s="120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</row>
    <row r="482" ht="18.0" customHeight="1">
      <c r="A482" s="114"/>
      <c r="B482" s="115"/>
      <c r="C482" s="115"/>
      <c r="D482" s="115"/>
      <c r="E482" s="116"/>
      <c r="F482" s="116"/>
      <c r="G482" s="115"/>
      <c r="H482" s="115"/>
      <c r="I482" s="115"/>
      <c r="J482" s="115"/>
      <c r="K482" s="115"/>
      <c r="L482" s="127"/>
      <c r="M482" s="128"/>
      <c r="N482" s="127"/>
      <c r="O482" s="115"/>
      <c r="P482" s="115"/>
      <c r="Q482" s="115"/>
      <c r="R482" s="115"/>
      <c r="S482" s="120"/>
      <c r="T482" s="120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</row>
    <row r="483" ht="18.0" customHeight="1">
      <c r="A483" s="114"/>
      <c r="B483" s="115"/>
      <c r="C483" s="115"/>
      <c r="D483" s="115"/>
      <c r="E483" s="116"/>
      <c r="F483" s="116"/>
      <c r="G483" s="115"/>
      <c r="H483" s="115"/>
      <c r="I483" s="115"/>
      <c r="J483" s="115"/>
      <c r="K483" s="115"/>
      <c r="L483" s="127"/>
      <c r="M483" s="128"/>
      <c r="N483" s="127"/>
      <c r="O483" s="115"/>
      <c r="P483" s="115"/>
      <c r="Q483" s="115"/>
      <c r="R483" s="115"/>
      <c r="S483" s="120"/>
      <c r="T483" s="120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</row>
    <row r="484" ht="18.0" customHeight="1">
      <c r="A484" s="114"/>
      <c r="B484" s="115"/>
      <c r="C484" s="115"/>
      <c r="D484" s="115"/>
      <c r="E484" s="116"/>
      <c r="F484" s="116"/>
      <c r="G484" s="115"/>
      <c r="H484" s="115"/>
      <c r="I484" s="115"/>
      <c r="J484" s="115"/>
      <c r="K484" s="115"/>
      <c r="L484" s="127"/>
      <c r="M484" s="128"/>
      <c r="N484" s="127"/>
      <c r="O484" s="115"/>
      <c r="P484" s="115"/>
      <c r="Q484" s="115"/>
      <c r="R484" s="115"/>
      <c r="S484" s="120"/>
      <c r="T484" s="120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</row>
    <row r="485" ht="18.0" customHeight="1">
      <c r="A485" s="114"/>
      <c r="B485" s="115"/>
      <c r="C485" s="115"/>
      <c r="D485" s="115"/>
      <c r="E485" s="116"/>
      <c r="F485" s="116"/>
      <c r="G485" s="115"/>
      <c r="H485" s="115"/>
      <c r="I485" s="115"/>
      <c r="J485" s="115"/>
      <c r="K485" s="115"/>
      <c r="L485" s="127"/>
      <c r="M485" s="128"/>
      <c r="N485" s="127"/>
      <c r="O485" s="115"/>
      <c r="P485" s="115"/>
      <c r="Q485" s="115"/>
      <c r="R485" s="115"/>
      <c r="S485" s="120"/>
      <c r="T485" s="120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</row>
    <row r="486" ht="18.0" customHeight="1">
      <c r="A486" s="114"/>
      <c r="B486" s="115"/>
      <c r="C486" s="115"/>
      <c r="D486" s="115"/>
      <c r="E486" s="116"/>
      <c r="F486" s="116"/>
      <c r="G486" s="115"/>
      <c r="H486" s="115"/>
      <c r="I486" s="115"/>
      <c r="J486" s="115"/>
      <c r="K486" s="115"/>
      <c r="L486" s="127"/>
      <c r="M486" s="128"/>
      <c r="N486" s="127"/>
      <c r="O486" s="115"/>
      <c r="P486" s="115"/>
      <c r="Q486" s="115"/>
      <c r="R486" s="115"/>
      <c r="S486" s="120"/>
      <c r="T486" s="120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</row>
    <row r="487" ht="18.0" customHeight="1">
      <c r="A487" s="114"/>
      <c r="B487" s="115"/>
      <c r="C487" s="115"/>
      <c r="D487" s="115"/>
      <c r="E487" s="116"/>
      <c r="F487" s="116"/>
      <c r="G487" s="115"/>
      <c r="H487" s="115"/>
      <c r="I487" s="115"/>
      <c r="J487" s="115"/>
      <c r="K487" s="115"/>
      <c r="L487" s="127"/>
      <c r="M487" s="128"/>
      <c r="N487" s="127"/>
      <c r="O487" s="115"/>
      <c r="P487" s="115"/>
      <c r="Q487" s="115"/>
      <c r="R487" s="115"/>
      <c r="S487" s="120"/>
      <c r="T487" s="120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</row>
    <row r="488" ht="18.0" customHeight="1">
      <c r="A488" s="114"/>
      <c r="B488" s="115"/>
      <c r="C488" s="115"/>
      <c r="D488" s="115"/>
      <c r="E488" s="116"/>
      <c r="F488" s="116"/>
      <c r="G488" s="115"/>
      <c r="H488" s="115"/>
      <c r="I488" s="115"/>
      <c r="J488" s="115"/>
      <c r="K488" s="115"/>
      <c r="L488" s="127"/>
      <c r="M488" s="128"/>
      <c r="N488" s="127"/>
      <c r="O488" s="115"/>
      <c r="P488" s="115"/>
      <c r="Q488" s="115"/>
      <c r="R488" s="115"/>
      <c r="S488" s="120"/>
      <c r="T488" s="120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</row>
    <row r="489" ht="18.0" customHeight="1">
      <c r="A489" s="114"/>
      <c r="B489" s="115"/>
      <c r="C489" s="115"/>
      <c r="D489" s="115"/>
      <c r="E489" s="116"/>
      <c r="F489" s="116"/>
      <c r="G489" s="115"/>
      <c r="H489" s="115"/>
      <c r="I489" s="115"/>
      <c r="J489" s="115"/>
      <c r="K489" s="115"/>
      <c r="L489" s="127"/>
      <c r="M489" s="128"/>
      <c r="N489" s="127"/>
      <c r="O489" s="115"/>
      <c r="P489" s="115"/>
      <c r="Q489" s="115"/>
      <c r="R489" s="115"/>
      <c r="S489" s="120"/>
      <c r="T489" s="120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</row>
    <row r="490" ht="18.0" customHeight="1">
      <c r="A490" s="114"/>
      <c r="B490" s="115"/>
      <c r="C490" s="115"/>
      <c r="D490" s="115"/>
      <c r="E490" s="116"/>
      <c r="F490" s="116"/>
      <c r="G490" s="115"/>
      <c r="H490" s="115"/>
      <c r="I490" s="115"/>
      <c r="J490" s="115"/>
      <c r="K490" s="115"/>
      <c r="L490" s="127"/>
      <c r="M490" s="128"/>
      <c r="N490" s="127"/>
      <c r="O490" s="115"/>
      <c r="P490" s="115"/>
      <c r="Q490" s="115"/>
      <c r="R490" s="115"/>
      <c r="S490" s="120"/>
      <c r="T490" s="120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</row>
    <row r="491" ht="18.0" customHeight="1">
      <c r="A491" s="114"/>
      <c r="B491" s="115"/>
      <c r="C491" s="115"/>
      <c r="D491" s="115"/>
      <c r="E491" s="116"/>
      <c r="F491" s="116"/>
      <c r="G491" s="115"/>
      <c r="H491" s="115"/>
      <c r="I491" s="115"/>
      <c r="J491" s="115"/>
      <c r="K491" s="115"/>
      <c r="L491" s="127"/>
      <c r="M491" s="128"/>
      <c r="N491" s="127"/>
      <c r="O491" s="115"/>
      <c r="P491" s="115"/>
      <c r="Q491" s="115"/>
      <c r="R491" s="115"/>
      <c r="S491" s="120"/>
      <c r="T491" s="120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</row>
    <row r="492" ht="18.0" customHeight="1">
      <c r="A492" s="114"/>
      <c r="B492" s="115"/>
      <c r="C492" s="115"/>
      <c r="D492" s="115"/>
      <c r="E492" s="116"/>
      <c r="F492" s="116"/>
      <c r="G492" s="115"/>
      <c r="H492" s="115"/>
      <c r="I492" s="115"/>
      <c r="J492" s="115"/>
      <c r="K492" s="115"/>
      <c r="L492" s="127"/>
      <c r="M492" s="128"/>
      <c r="N492" s="127"/>
      <c r="O492" s="115"/>
      <c r="P492" s="115"/>
      <c r="Q492" s="115"/>
      <c r="R492" s="115"/>
      <c r="S492" s="120"/>
      <c r="T492" s="120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</row>
    <row r="493" ht="18.0" customHeight="1">
      <c r="A493" s="114"/>
      <c r="B493" s="115"/>
      <c r="C493" s="115"/>
      <c r="D493" s="115"/>
      <c r="E493" s="116"/>
      <c r="F493" s="116"/>
      <c r="G493" s="115"/>
      <c r="H493" s="115"/>
      <c r="I493" s="115"/>
      <c r="J493" s="115"/>
      <c r="K493" s="115"/>
      <c r="L493" s="127"/>
      <c r="M493" s="128"/>
      <c r="N493" s="127"/>
      <c r="O493" s="115"/>
      <c r="P493" s="115"/>
      <c r="Q493" s="115"/>
      <c r="R493" s="115"/>
      <c r="S493" s="120"/>
      <c r="T493" s="120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</row>
    <row r="494" ht="18.0" customHeight="1">
      <c r="A494" s="114"/>
      <c r="B494" s="115"/>
      <c r="C494" s="115"/>
      <c r="D494" s="115"/>
      <c r="E494" s="116"/>
      <c r="F494" s="116"/>
      <c r="G494" s="115"/>
      <c r="H494" s="115"/>
      <c r="I494" s="115"/>
      <c r="J494" s="115"/>
      <c r="K494" s="115"/>
      <c r="L494" s="127"/>
      <c r="M494" s="128"/>
      <c r="N494" s="127"/>
      <c r="O494" s="115"/>
      <c r="P494" s="115"/>
      <c r="Q494" s="115"/>
      <c r="R494" s="115"/>
      <c r="S494" s="120"/>
      <c r="T494" s="120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</row>
    <row r="495" ht="18.0" customHeight="1">
      <c r="A495" s="114"/>
      <c r="B495" s="115"/>
      <c r="C495" s="115"/>
      <c r="D495" s="115"/>
      <c r="E495" s="116"/>
      <c r="F495" s="116"/>
      <c r="G495" s="115"/>
      <c r="H495" s="115"/>
      <c r="I495" s="115"/>
      <c r="J495" s="115"/>
      <c r="K495" s="115"/>
      <c r="L495" s="127"/>
      <c r="M495" s="128"/>
      <c r="N495" s="127"/>
      <c r="O495" s="115"/>
      <c r="P495" s="115"/>
      <c r="Q495" s="115"/>
      <c r="R495" s="115"/>
      <c r="S495" s="120"/>
      <c r="T495" s="120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</row>
    <row r="496" ht="18.0" customHeight="1">
      <c r="A496" s="114"/>
      <c r="B496" s="115"/>
      <c r="C496" s="115"/>
      <c r="D496" s="115"/>
      <c r="E496" s="116"/>
      <c r="F496" s="116"/>
      <c r="G496" s="115"/>
      <c r="H496" s="115"/>
      <c r="I496" s="115"/>
      <c r="J496" s="115"/>
      <c r="K496" s="115"/>
      <c r="L496" s="127"/>
      <c r="M496" s="128"/>
      <c r="N496" s="127"/>
      <c r="O496" s="115"/>
      <c r="P496" s="115"/>
      <c r="Q496" s="115"/>
      <c r="R496" s="115"/>
      <c r="S496" s="120"/>
      <c r="T496" s="120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</row>
    <row r="497" ht="18.0" customHeight="1">
      <c r="A497" s="114"/>
      <c r="B497" s="115"/>
      <c r="C497" s="115"/>
      <c r="D497" s="115"/>
      <c r="E497" s="116"/>
      <c r="F497" s="116"/>
      <c r="G497" s="115"/>
      <c r="H497" s="115"/>
      <c r="I497" s="115"/>
      <c r="J497" s="115"/>
      <c r="K497" s="115"/>
      <c r="L497" s="127"/>
      <c r="M497" s="128"/>
      <c r="N497" s="127"/>
      <c r="O497" s="115"/>
      <c r="P497" s="115"/>
      <c r="Q497" s="115"/>
      <c r="R497" s="115"/>
      <c r="S497" s="120"/>
      <c r="T497" s="120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</row>
    <row r="498" ht="18.0" customHeight="1">
      <c r="A498" s="114"/>
      <c r="B498" s="115"/>
      <c r="C498" s="115"/>
      <c r="D498" s="115"/>
      <c r="E498" s="116"/>
      <c r="F498" s="116"/>
      <c r="G498" s="115"/>
      <c r="H498" s="115"/>
      <c r="I498" s="115"/>
      <c r="J498" s="115"/>
      <c r="K498" s="115"/>
      <c r="L498" s="127"/>
      <c r="M498" s="128"/>
      <c r="N498" s="127"/>
      <c r="O498" s="115"/>
      <c r="P498" s="115"/>
      <c r="Q498" s="115"/>
      <c r="R498" s="115"/>
      <c r="S498" s="120"/>
      <c r="T498" s="120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</row>
    <row r="499" ht="18.0" customHeight="1">
      <c r="A499" s="114"/>
      <c r="B499" s="115"/>
      <c r="C499" s="115"/>
      <c r="D499" s="115"/>
      <c r="E499" s="116"/>
      <c r="F499" s="116"/>
      <c r="G499" s="115"/>
      <c r="H499" s="115"/>
      <c r="I499" s="115"/>
      <c r="J499" s="115"/>
      <c r="K499" s="115"/>
      <c r="L499" s="127"/>
      <c r="M499" s="128"/>
      <c r="N499" s="127"/>
      <c r="O499" s="115"/>
      <c r="P499" s="115"/>
      <c r="Q499" s="115"/>
      <c r="R499" s="115"/>
      <c r="S499" s="120"/>
      <c r="T499" s="120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</row>
    <row r="500" ht="18.0" customHeight="1">
      <c r="A500" s="114"/>
      <c r="B500" s="115"/>
      <c r="C500" s="115"/>
      <c r="D500" s="115"/>
      <c r="E500" s="116"/>
      <c r="F500" s="116"/>
      <c r="G500" s="115"/>
      <c r="H500" s="115"/>
      <c r="I500" s="115"/>
      <c r="J500" s="115"/>
      <c r="K500" s="115"/>
      <c r="L500" s="127"/>
      <c r="M500" s="128"/>
      <c r="N500" s="127"/>
      <c r="O500" s="115"/>
      <c r="P500" s="115"/>
      <c r="Q500" s="115"/>
      <c r="R500" s="115"/>
      <c r="S500" s="120"/>
      <c r="T500" s="120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</row>
    <row r="501" ht="18.0" customHeight="1">
      <c r="A501" s="114"/>
      <c r="B501" s="115"/>
      <c r="C501" s="115"/>
      <c r="D501" s="115"/>
      <c r="E501" s="116"/>
      <c r="F501" s="116"/>
      <c r="G501" s="115"/>
      <c r="H501" s="115"/>
      <c r="I501" s="115"/>
      <c r="J501" s="115"/>
      <c r="K501" s="115"/>
      <c r="L501" s="127"/>
      <c r="M501" s="128"/>
      <c r="N501" s="127"/>
      <c r="O501" s="115"/>
      <c r="P501" s="115"/>
      <c r="Q501" s="115"/>
      <c r="R501" s="115"/>
      <c r="S501" s="120"/>
      <c r="T501" s="120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</row>
    <row r="502" ht="18.0" customHeight="1">
      <c r="A502" s="114"/>
      <c r="B502" s="115"/>
      <c r="C502" s="115"/>
      <c r="D502" s="115"/>
      <c r="E502" s="116"/>
      <c r="F502" s="116"/>
      <c r="G502" s="115"/>
      <c r="H502" s="115"/>
      <c r="I502" s="115"/>
      <c r="J502" s="115"/>
      <c r="K502" s="115"/>
      <c r="L502" s="127"/>
      <c r="M502" s="128"/>
      <c r="N502" s="127"/>
      <c r="O502" s="115"/>
      <c r="P502" s="115"/>
      <c r="Q502" s="115"/>
      <c r="R502" s="115"/>
      <c r="S502" s="120"/>
      <c r="T502" s="120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</row>
    <row r="503" ht="18.0" customHeight="1">
      <c r="A503" s="114"/>
      <c r="B503" s="115"/>
      <c r="C503" s="115"/>
      <c r="D503" s="115"/>
      <c r="E503" s="116"/>
      <c r="F503" s="116"/>
      <c r="G503" s="115"/>
      <c r="H503" s="115"/>
      <c r="I503" s="115"/>
      <c r="J503" s="115"/>
      <c r="K503" s="115"/>
      <c r="L503" s="127"/>
      <c r="M503" s="128"/>
      <c r="N503" s="127"/>
      <c r="O503" s="115"/>
      <c r="P503" s="115"/>
      <c r="Q503" s="115"/>
      <c r="R503" s="115"/>
      <c r="S503" s="120"/>
      <c r="T503" s="120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</row>
    <row r="504" ht="18.0" customHeight="1">
      <c r="A504" s="114"/>
      <c r="B504" s="115"/>
      <c r="C504" s="115"/>
      <c r="D504" s="115"/>
      <c r="E504" s="116"/>
      <c r="F504" s="116"/>
      <c r="G504" s="115"/>
      <c r="H504" s="115"/>
      <c r="I504" s="115"/>
      <c r="J504" s="115"/>
      <c r="K504" s="115"/>
      <c r="L504" s="127"/>
      <c r="M504" s="128"/>
      <c r="N504" s="127"/>
      <c r="O504" s="115"/>
      <c r="P504" s="115"/>
      <c r="Q504" s="115"/>
      <c r="R504" s="115"/>
      <c r="S504" s="120"/>
      <c r="T504" s="120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</row>
    <row r="505" ht="18.0" customHeight="1">
      <c r="A505" s="114"/>
      <c r="B505" s="115"/>
      <c r="C505" s="115"/>
      <c r="D505" s="115"/>
      <c r="E505" s="116"/>
      <c r="F505" s="116"/>
      <c r="G505" s="115"/>
      <c r="H505" s="115"/>
      <c r="I505" s="115"/>
      <c r="J505" s="115"/>
      <c r="K505" s="115"/>
      <c r="L505" s="127"/>
      <c r="M505" s="128"/>
      <c r="N505" s="127"/>
      <c r="O505" s="115"/>
      <c r="P505" s="115"/>
      <c r="Q505" s="115"/>
      <c r="R505" s="115"/>
      <c r="S505" s="120"/>
      <c r="T505" s="120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</row>
    <row r="506" ht="18.0" customHeight="1">
      <c r="A506" s="114"/>
      <c r="B506" s="115"/>
      <c r="C506" s="115"/>
      <c r="D506" s="115"/>
      <c r="E506" s="116"/>
      <c r="F506" s="116"/>
      <c r="G506" s="115"/>
      <c r="H506" s="115"/>
      <c r="I506" s="115"/>
      <c r="J506" s="115"/>
      <c r="K506" s="115"/>
      <c r="L506" s="127"/>
      <c r="M506" s="128"/>
      <c r="N506" s="127"/>
      <c r="O506" s="115"/>
      <c r="P506" s="115"/>
      <c r="Q506" s="115"/>
      <c r="R506" s="115"/>
      <c r="S506" s="120"/>
      <c r="T506" s="120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</row>
    <row r="507" ht="18.0" customHeight="1">
      <c r="A507" s="114"/>
      <c r="B507" s="115"/>
      <c r="C507" s="115"/>
      <c r="D507" s="115"/>
      <c r="E507" s="116"/>
      <c r="F507" s="116"/>
      <c r="G507" s="115"/>
      <c r="H507" s="115"/>
      <c r="I507" s="115"/>
      <c r="J507" s="115"/>
      <c r="K507" s="115"/>
      <c r="L507" s="127"/>
      <c r="M507" s="128"/>
      <c r="N507" s="127"/>
      <c r="O507" s="115"/>
      <c r="P507" s="115"/>
      <c r="Q507" s="115"/>
      <c r="R507" s="115"/>
      <c r="S507" s="120"/>
      <c r="T507" s="120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</row>
    <row r="508" ht="18.0" customHeight="1">
      <c r="A508" s="114"/>
      <c r="B508" s="115"/>
      <c r="C508" s="115"/>
      <c r="D508" s="115"/>
      <c r="E508" s="116"/>
      <c r="F508" s="116"/>
      <c r="G508" s="115"/>
      <c r="H508" s="115"/>
      <c r="I508" s="115"/>
      <c r="J508" s="115"/>
      <c r="K508" s="115"/>
      <c r="L508" s="127"/>
      <c r="M508" s="128"/>
      <c r="N508" s="127"/>
      <c r="O508" s="115"/>
      <c r="P508" s="115"/>
      <c r="Q508" s="115"/>
      <c r="R508" s="115"/>
      <c r="S508" s="120"/>
      <c r="T508" s="120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</row>
    <row r="509" ht="18.0" customHeight="1">
      <c r="A509" s="114"/>
      <c r="B509" s="115"/>
      <c r="C509" s="115"/>
      <c r="D509" s="115"/>
      <c r="E509" s="116"/>
      <c r="F509" s="116"/>
      <c r="G509" s="115"/>
      <c r="H509" s="115"/>
      <c r="I509" s="115"/>
      <c r="J509" s="115"/>
      <c r="K509" s="115"/>
      <c r="L509" s="127"/>
      <c r="M509" s="128"/>
      <c r="N509" s="127"/>
      <c r="O509" s="115"/>
      <c r="P509" s="115"/>
      <c r="Q509" s="115"/>
      <c r="R509" s="115"/>
      <c r="S509" s="120"/>
      <c r="T509" s="120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</row>
    <row r="510" ht="18.0" customHeight="1">
      <c r="A510" s="114"/>
      <c r="B510" s="115"/>
      <c r="C510" s="115"/>
      <c r="D510" s="115"/>
      <c r="E510" s="116"/>
      <c r="F510" s="116"/>
      <c r="G510" s="115"/>
      <c r="H510" s="115"/>
      <c r="I510" s="115"/>
      <c r="J510" s="115"/>
      <c r="K510" s="115"/>
      <c r="L510" s="127"/>
      <c r="M510" s="128"/>
      <c r="N510" s="127"/>
      <c r="O510" s="115"/>
      <c r="P510" s="115"/>
      <c r="Q510" s="115"/>
      <c r="R510" s="115"/>
      <c r="S510" s="120"/>
      <c r="T510" s="120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</row>
    <row r="511" ht="18.0" customHeight="1">
      <c r="A511" s="114"/>
      <c r="B511" s="115"/>
      <c r="C511" s="115"/>
      <c r="D511" s="115"/>
      <c r="E511" s="116"/>
      <c r="F511" s="116"/>
      <c r="G511" s="115"/>
      <c r="H511" s="115"/>
      <c r="I511" s="115"/>
      <c r="J511" s="115"/>
      <c r="K511" s="115"/>
      <c r="L511" s="127"/>
      <c r="M511" s="128"/>
      <c r="N511" s="127"/>
      <c r="O511" s="115"/>
      <c r="P511" s="115"/>
      <c r="Q511" s="115"/>
      <c r="R511" s="115"/>
      <c r="S511" s="120"/>
      <c r="T511" s="120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</row>
    <row r="512" ht="18.0" customHeight="1">
      <c r="A512" s="114"/>
      <c r="B512" s="115"/>
      <c r="C512" s="115"/>
      <c r="D512" s="115"/>
      <c r="E512" s="116"/>
      <c r="F512" s="116"/>
      <c r="G512" s="115"/>
      <c r="H512" s="115"/>
      <c r="I512" s="115"/>
      <c r="J512" s="115"/>
      <c r="K512" s="115"/>
      <c r="L512" s="127"/>
      <c r="M512" s="128"/>
      <c r="N512" s="127"/>
      <c r="O512" s="115"/>
      <c r="P512" s="115"/>
      <c r="Q512" s="115"/>
      <c r="R512" s="115"/>
      <c r="S512" s="120"/>
      <c r="T512" s="120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</row>
    <row r="513" ht="18.0" customHeight="1">
      <c r="A513" s="114"/>
      <c r="B513" s="115"/>
      <c r="C513" s="115"/>
      <c r="D513" s="115"/>
      <c r="E513" s="116"/>
      <c r="F513" s="116"/>
      <c r="G513" s="115"/>
      <c r="H513" s="115"/>
      <c r="I513" s="115"/>
      <c r="J513" s="115"/>
      <c r="K513" s="115"/>
      <c r="L513" s="127"/>
      <c r="M513" s="128"/>
      <c r="N513" s="127"/>
      <c r="O513" s="115"/>
      <c r="P513" s="115"/>
      <c r="Q513" s="115"/>
      <c r="R513" s="115"/>
      <c r="S513" s="120"/>
      <c r="T513" s="120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</row>
    <row r="514" ht="18.0" customHeight="1">
      <c r="A514" s="114"/>
      <c r="B514" s="115"/>
      <c r="C514" s="115"/>
      <c r="D514" s="115"/>
      <c r="E514" s="116"/>
      <c r="F514" s="116"/>
      <c r="G514" s="115"/>
      <c r="H514" s="115"/>
      <c r="I514" s="115"/>
      <c r="J514" s="115"/>
      <c r="K514" s="115"/>
      <c r="L514" s="127"/>
      <c r="M514" s="128"/>
      <c r="N514" s="127"/>
      <c r="O514" s="115"/>
      <c r="P514" s="115"/>
      <c r="Q514" s="115"/>
      <c r="R514" s="115"/>
      <c r="S514" s="120"/>
      <c r="T514" s="120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</row>
    <row r="515" ht="18.0" customHeight="1">
      <c r="A515" s="114"/>
      <c r="B515" s="115"/>
      <c r="C515" s="115"/>
      <c r="D515" s="115"/>
      <c r="E515" s="116"/>
      <c r="F515" s="116"/>
      <c r="G515" s="115"/>
      <c r="H515" s="115"/>
      <c r="I515" s="115"/>
      <c r="J515" s="115"/>
      <c r="K515" s="115"/>
      <c r="L515" s="127"/>
      <c r="M515" s="128"/>
      <c r="N515" s="127"/>
      <c r="O515" s="115"/>
      <c r="P515" s="115"/>
      <c r="Q515" s="115"/>
      <c r="R515" s="115"/>
      <c r="S515" s="120"/>
      <c r="T515" s="120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</row>
    <row r="516" ht="18.0" customHeight="1">
      <c r="A516" s="114"/>
      <c r="B516" s="115"/>
      <c r="C516" s="115"/>
      <c r="D516" s="115"/>
      <c r="E516" s="116"/>
      <c r="F516" s="116"/>
      <c r="G516" s="115"/>
      <c r="H516" s="115"/>
      <c r="I516" s="115"/>
      <c r="J516" s="115"/>
      <c r="K516" s="115"/>
      <c r="L516" s="127"/>
      <c r="M516" s="128"/>
      <c r="N516" s="127"/>
      <c r="O516" s="115"/>
      <c r="P516" s="115"/>
      <c r="Q516" s="115"/>
      <c r="R516" s="115"/>
      <c r="S516" s="120"/>
      <c r="T516" s="120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</row>
    <row r="517" ht="18.0" customHeight="1">
      <c r="A517" s="114"/>
      <c r="B517" s="115"/>
      <c r="C517" s="115"/>
      <c r="D517" s="115"/>
      <c r="E517" s="116"/>
      <c r="F517" s="116"/>
      <c r="G517" s="115"/>
      <c r="H517" s="115"/>
      <c r="I517" s="115"/>
      <c r="J517" s="115"/>
      <c r="K517" s="115"/>
      <c r="L517" s="127"/>
      <c r="M517" s="128"/>
      <c r="N517" s="127"/>
      <c r="O517" s="115"/>
      <c r="P517" s="115"/>
      <c r="Q517" s="115"/>
      <c r="R517" s="115"/>
      <c r="S517" s="120"/>
      <c r="T517" s="120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</row>
    <row r="518" ht="18.0" customHeight="1">
      <c r="A518" s="114"/>
      <c r="B518" s="115"/>
      <c r="C518" s="115"/>
      <c r="D518" s="115"/>
      <c r="E518" s="116"/>
      <c r="F518" s="116"/>
      <c r="G518" s="115"/>
      <c r="H518" s="115"/>
      <c r="I518" s="115"/>
      <c r="J518" s="115"/>
      <c r="K518" s="115"/>
      <c r="L518" s="127"/>
      <c r="M518" s="128"/>
      <c r="N518" s="127"/>
      <c r="O518" s="115"/>
      <c r="P518" s="115"/>
      <c r="Q518" s="115"/>
      <c r="R518" s="115"/>
      <c r="S518" s="120"/>
      <c r="T518" s="120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</row>
    <row r="519" ht="18.0" customHeight="1">
      <c r="A519" s="114"/>
      <c r="B519" s="115"/>
      <c r="C519" s="115"/>
      <c r="D519" s="115"/>
      <c r="E519" s="116"/>
      <c r="F519" s="116"/>
      <c r="G519" s="115"/>
      <c r="H519" s="115"/>
      <c r="I519" s="115"/>
      <c r="J519" s="115"/>
      <c r="K519" s="115"/>
      <c r="L519" s="127"/>
      <c r="M519" s="128"/>
      <c r="N519" s="127"/>
      <c r="O519" s="115"/>
      <c r="P519" s="115"/>
      <c r="Q519" s="115"/>
      <c r="R519" s="115"/>
      <c r="S519" s="120"/>
      <c r="T519" s="120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</row>
    <row r="520" ht="18.0" customHeight="1">
      <c r="A520" s="114"/>
      <c r="B520" s="115"/>
      <c r="C520" s="115"/>
      <c r="D520" s="115"/>
      <c r="E520" s="116"/>
      <c r="F520" s="116"/>
      <c r="G520" s="115"/>
      <c r="H520" s="115"/>
      <c r="I520" s="115"/>
      <c r="J520" s="115"/>
      <c r="K520" s="115"/>
      <c r="L520" s="127"/>
      <c r="M520" s="128"/>
      <c r="N520" s="127"/>
      <c r="O520" s="115"/>
      <c r="P520" s="115"/>
      <c r="Q520" s="115"/>
      <c r="R520" s="115"/>
      <c r="S520" s="120"/>
      <c r="T520" s="120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</row>
    <row r="521" ht="18.0" customHeight="1">
      <c r="A521" s="114"/>
      <c r="B521" s="115"/>
      <c r="C521" s="115"/>
      <c r="D521" s="115"/>
      <c r="E521" s="116"/>
      <c r="F521" s="116"/>
      <c r="G521" s="115"/>
      <c r="H521" s="115"/>
      <c r="I521" s="115"/>
      <c r="J521" s="115"/>
      <c r="K521" s="115"/>
      <c r="L521" s="127"/>
      <c r="M521" s="128"/>
      <c r="N521" s="127"/>
      <c r="O521" s="115"/>
      <c r="P521" s="115"/>
      <c r="Q521" s="115"/>
      <c r="R521" s="115"/>
      <c r="S521" s="120"/>
      <c r="T521" s="120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</row>
    <row r="522" ht="18.0" customHeight="1">
      <c r="A522" s="114"/>
      <c r="B522" s="115"/>
      <c r="C522" s="115"/>
      <c r="D522" s="115"/>
      <c r="E522" s="116"/>
      <c r="F522" s="116"/>
      <c r="G522" s="115"/>
      <c r="H522" s="115"/>
      <c r="I522" s="115"/>
      <c r="J522" s="115"/>
      <c r="K522" s="115"/>
      <c r="L522" s="127"/>
      <c r="M522" s="128"/>
      <c r="N522" s="127"/>
      <c r="O522" s="115"/>
      <c r="P522" s="115"/>
      <c r="Q522" s="115"/>
      <c r="R522" s="115"/>
      <c r="S522" s="120"/>
      <c r="T522" s="120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</row>
    <row r="523" ht="18.0" customHeight="1">
      <c r="A523" s="114"/>
      <c r="B523" s="115"/>
      <c r="C523" s="115"/>
      <c r="D523" s="115"/>
      <c r="E523" s="116"/>
      <c r="F523" s="116"/>
      <c r="G523" s="115"/>
      <c r="H523" s="115"/>
      <c r="I523" s="115"/>
      <c r="J523" s="115"/>
      <c r="K523" s="115"/>
      <c r="L523" s="127"/>
      <c r="M523" s="128"/>
      <c r="N523" s="127"/>
      <c r="O523" s="115"/>
      <c r="P523" s="115"/>
      <c r="Q523" s="115"/>
      <c r="R523" s="115"/>
      <c r="S523" s="120"/>
      <c r="T523" s="120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</row>
    <row r="524" ht="18.0" customHeight="1">
      <c r="A524" s="114"/>
      <c r="B524" s="115"/>
      <c r="C524" s="115"/>
      <c r="D524" s="115"/>
      <c r="E524" s="116"/>
      <c r="F524" s="116"/>
      <c r="G524" s="115"/>
      <c r="H524" s="115"/>
      <c r="I524" s="115"/>
      <c r="J524" s="115"/>
      <c r="K524" s="115"/>
      <c r="L524" s="127"/>
      <c r="M524" s="128"/>
      <c r="N524" s="127"/>
      <c r="O524" s="115"/>
      <c r="P524" s="115"/>
      <c r="Q524" s="115"/>
      <c r="R524" s="115"/>
      <c r="S524" s="120"/>
      <c r="T524" s="120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</row>
    <row r="525" ht="18.0" customHeight="1">
      <c r="A525" s="114"/>
      <c r="B525" s="115"/>
      <c r="C525" s="115"/>
      <c r="D525" s="115"/>
      <c r="E525" s="116"/>
      <c r="F525" s="116"/>
      <c r="G525" s="115"/>
      <c r="H525" s="115"/>
      <c r="I525" s="115"/>
      <c r="J525" s="115"/>
      <c r="K525" s="115"/>
      <c r="L525" s="127"/>
      <c r="M525" s="128"/>
      <c r="N525" s="127"/>
      <c r="O525" s="115"/>
      <c r="P525" s="115"/>
      <c r="Q525" s="115"/>
      <c r="R525" s="115"/>
      <c r="S525" s="120"/>
      <c r="T525" s="120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</row>
    <row r="526" ht="18.0" customHeight="1">
      <c r="A526" s="114"/>
      <c r="B526" s="115"/>
      <c r="C526" s="115"/>
      <c r="D526" s="115"/>
      <c r="E526" s="116"/>
      <c r="F526" s="116"/>
      <c r="G526" s="115"/>
      <c r="H526" s="115"/>
      <c r="I526" s="115"/>
      <c r="J526" s="115"/>
      <c r="K526" s="115"/>
      <c r="L526" s="127"/>
      <c r="M526" s="128"/>
      <c r="N526" s="127"/>
      <c r="O526" s="115"/>
      <c r="P526" s="115"/>
      <c r="Q526" s="115"/>
      <c r="R526" s="115"/>
      <c r="S526" s="120"/>
      <c r="T526" s="120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</row>
    <row r="527" ht="18.0" customHeight="1">
      <c r="A527" s="114"/>
      <c r="B527" s="115"/>
      <c r="C527" s="115"/>
      <c r="D527" s="115"/>
      <c r="E527" s="116"/>
      <c r="F527" s="116"/>
      <c r="G527" s="115"/>
      <c r="H527" s="115"/>
      <c r="I527" s="115"/>
      <c r="J527" s="115"/>
      <c r="K527" s="115"/>
      <c r="L527" s="127"/>
      <c r="M527" s="128"/>
      <c r="N527" s="127"/>
      <c r="O527" s="115"/>
      <c r="P527" s="115"/>
      <c r="Q527" s="115"/>
      <c r="R527" s="115"/>
      <c r="S527" s="120"/>
      <c r="T527" s="120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</row>
    <row r="528" ht="18.0" customHeight="1">
      <c r="A528" s="114"/>
      <c r="B528" s="115"/>
      <c r="C528" s="115"/>
      <c r="D528" s="115"/>
      <c r="E528" s="116"/>
      <c r="F528" s="116"/>
      <c r="G528" s="115"/>
      <c r="H528" s="115"/>
      <c r="I528" s="115"/>
      <c r="J528" s="115"/>
      <c r="K528" s="115"/>
      <c r="L528" s="127"/>
      <c r="M528" s="128"/>
      <c r="N528" s="127"/>
      <c r="O528" s="115"/>
      <c r="P528" s="115"/>
      <c r="Q528" s="115"/>
      <c r="R528" s="115"/>
      <c r="S528" s="120"/>
      <c r="T528" s="120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</row>
    <row r="529" ht="18.0" customHeight="1">
      <c r="A529" s="114"/>
      <c r="B529" s="115"/>
      <c r="C529" s="115"/>
      <c r="D529" s="115"/>
      <c r="E529" s="116"/>
      <c r="F529" s="116"/>
      <c r="G529" s="115"/>
      <c r="H529" s="115"/>
      <c r="I529" s="115"/>
      <c r="J529" s="115"/>
      <c r="K529" s="115"/>
      <c r="L529" s="127"/>
      <c r="M529" s="128"/>
      <c r="N529" s="127"/>
      <c r="O529" s="115"/>
      <c r="P529" s="115"/>
      <c r="Q529" s="115"/>
      <c r="R529" s="115"/>
      <c r="S529" s="120"/>
      <c r="T529" s="120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</row>
    <row r="530" ht="18.0" customHeight="1">
      <c r="A530" s="114"/>
      <c r="B530" s="115"/>
      <c r="C530" s="115"/>
      <c r="D530" s="115"/>
      <c r="E530" s="116"/>
      <c r="F530" s="116"/>
      <c r="G530" s="115"/>
      <c r="H530" s="115"/>
      <c r="I530" s="115"/>
      <c r="J530" s="115"/>
      <c r="K530" s="115"/>
      <c r="L530" s="127"/>
      <c r="M530" s="128"/>
      <c r="N530" s="127"/>
      <c r="O530" s="115"/>
      <c r="P530" s="115"/>
      <c r="Q530" s="115"/>
      <c r="R530" s="115"/>
      <c r="S530" s="120"/>
      <c r="T530" s="120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</row>
    <row r="531" ht="18.0" customHeight="1">
      <c r="A531" s="114"/>
      <c r="B531" s="115"/>
      <c r="C531" s="115"/>
      <c r="D531" s="115"/>
      <c r="E531" s="116"/>
      <c r="F531" s="116"/>
      <c r="G531" s="115"/>
      <c r="H531" s="115"/>
      <c r="I531" s="115"/>
      <c r="J531" s="115"/>
      <c r="K531" s="115"/>
      <c r="L531" s="127"/>
      <c r="M531" s="128"/>
      <c r="N531" s="127"/>
      <c r="O531" s="115"/>
      <c r="P531" s="115"/>
      <c r="Q531" s="115"/>
      <c r="R531" s="115"/>
      <c r="S531" s="120"/>
      <c r="T531" s="120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</row>
    <row r="532" ht="18.0" customHeight="1">
      <c r="A532" s="114"/>
      <c r="B532" s="115"/>
      <c r="C532" s="115"/>
      <c r="D532" s="115"/>
      <c r="E532" s="116"/>
      <c r="F532" s="116"/>
      <c r="G532" s="115"/>
      <c r="H532" s="115"/>
      <c r="I532" s="115"/>
      <c r="J532" s="115"/>
      <c r="K532" s="115"/>
      <c r="L532" s="127"/>
      <c r="M532" s="128"/>
      <c r="N532" s="127"/>
      <c r="O532" s="115"/>
      <c r="P532" s="115"/>
      <c r="Q532" s="115"/>
      <c r="R532" s="115"/>
      <c r="S532" s="120"/>
      <c r="T532" s="120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</row>
    <row r="533" ht="18.0" customHeight="1">
      <c r="A533" s="114"/>
      <c r="B533" s="115"/>
      <c r="C533" s="115"/>
      <c r="D533" s="115"/>
      <c r="E533" s="116"/>
      <c r="F533" s="116"/>
      <c r="G533" s="115"/>
      <c r="H533" s="115"/>
      <c r="I533" s="115"/>
      <c r="J533" s="115"/>
      <c r="K533" s="115"/>
      <c r="L533" s="127"/>
      <c r="M533" s="128"/>
      <c r="N533" s="127"/>
      <c r="O533" s="115"/>
      <c r="P533" s="115"/>
      <c r="Q533" s="115"/>
      <c r="R533" s="115"/>
      <c r="S533" s="120"/>
      <c r="T533" s="120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</row>
    <row r="534" ht="18.0" customHeight="1">
      <c r="A534" s="114"/>
      <c r="B534" s="115"/>
      <c r="C534" s="115"/>
      <c r="D534" s="115"/>
      <c r="E534" s="116"/>
      <c r="F534" s="116"/>
      <c r="G534" s="115"/>
      <c r="H534" s="115"/>
      <c r="I534" s="115"/>
      <c r="J534" s="115"/>
      <c r="K534" s="115"/>
      <c r="L534" s="127"/>
      <c r="M534" s="128"/>
      <c r="N534" s="127"/>
      <c r="O534" s="115"/>
      <c r="P534" s="115"/>
      <c r="Q534" s="115"/>
      <c r="R534" s="115"/>
      <c r="S534" s="120"/>
      <c r="T534" s="120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</row>
    <row r="535" ht="18.0" customHeight="1">
      <c r="A535" s="114"/>
      <c r="B535" s="115"/>
      <c r="C535" s="115"/>
      <c r="D535" s="115"/>
      <c r="E535" s="116"/>
      <c r="F535" s="116"/>
      <c r="G535" s="115"/>
      <c r="H535" s="115"/>
      <c r="I535" s="115"/>
      <c r="J535" s="115"/>
      <c r="K535" s="115"/>
      <c r="L535" s="127"/>
      <c r="M535" s="128"/>
      <c r="N535" s="127"/>
      <c r="O535" s="115"/>
      <c r="P535" s="115"/>
      <c r="Q535" s="115"/>
      <c r="R535" s="115"/>
      <c r="S535" s="120"/>
      <c r="T535" s="120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</row>
    <row r="536" ht="18.0" customHeight="1">
      <c r="A536" s="114"/>
      <c r="B536" s="115"/>
      <c r="C536" s="115"/>
      <c r="D536" s="115"/>
      <c r="E536" s="116"/>
      <c r="F536" s="116"/>
      <c r="G536" s="115"/>
      <c r="H536" s="115"/>
      <c r="I536" s="115"/>
      <c r="J536" s="115"/>
      <c r="K536" s="115"/>
      <c r="L536" s="127"/>
      <c r="M536" s="128"/>
      <c r="N536" s="127"/>
      <c r="O536" s="115"/>
      <c r="P536" s="115"/>
      <c r="Q536" s="115"/>
      <c r="R536" s="115"/>
      <c r="S536" s="120"/>
      <c r="T536" s="120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</row>
    <row r="537" ht="18.0" customHeight="1">
      <c r="A537" s="114"/>
      <c r="B537" s="115"/>
      <c r="C537" s="115"/>
      <c r="D537" s="115"/>
      <c r="E537" s="116"/>
      <c r="F537" s="116"/>
      <c r="G537" s="115"/>
      <c r="H537" s="115"/>
      <c r="I537" s="115"/>
      <c r="J537" s="115"/>
      <c r="K537" s="115"/>
      <c r="L537" s="127"/>
      <c r="M537" s="128"/>
      <c r="N537" s="127"/>
      <c r="O537" s="115"/>
      <c r="P537" s="115"/>
      <c r="Q537" s="115"/>
      <c r="R537" s="115"/>
      <c r="S537" s="120"/>
      <c r="T537" s="120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</row>
    <row r="538" ht="18.0" customHeight="1">
      <c r="A538" s="114"/>
      <c r="B538" s="115"/>
      <c r="C538" s="115"/>
      <c r="D538" s="115"/>
      <c r="E538" s="116"/>
      <c r="F538" s="116"/>
      <c r="G538" s="115"/>
      <c r="H538" s="115"/>
      <c r="I538" s="115"/>
      <c r="J538" s="115"/>
      <c r="K538" s="115"/>
      <c r="L538" s="127"/>
      <c r="M538" s="128"/>
      <c r="N538" s="127"/>
      <c r="O538" s="115"/>
      <c r="P538" s="115"/>
      <c r="Q538" s="115"/>
      <c r="R538" s="115"/>
      <c r="S538" s="120"/>
      <c r="T538" s="120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</row>
    <row r="539" ht="18.0" customHeight="1">
      <c r="A539" s="114"/>
      <c r="B539" s="115"/>
      <c r="C539" s="115"/>
      <c r="D539" s="115"/>
      <c r="E539" s="116"/>
      <c r="F539" s="116"/>
      <c r="G539" s="115"/>
      <c r="H539" s="115"/>
      <c r="I539" s="115"/>
      <c r="J539" s="115"/>
      <c r="K539" s="115"/>
      <c r="L539" s="127"/>
      <c r="M539" s="128"/>
      <c r="N539" s="127"/>
      <c r="O539" s="115"/>
      <c r="P539" s="115"/>
      <c r="Q539" s="115"/>
      <c r="R539" s="115"/>
      <c r="S539" s="120"/>
      <c r="T539" s="120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</row>
    <row r="540" ht="18.0" customHeight="1">
      <c r="A540" s="114"/>
      <c r="B540" s="115"/>
      <c r="C540" s="115"/>
      <c r="D540" s="115"/>
      <c r="E540" s="116"/>
      <c r="F540" s="116"/>
      <c r="G540" s="115"/>
      <c r="H540" s="115"/>
      <c r="I540" s="115"/>
      <c r="J540" s="115"/>
      <c r="K540" s="115"/>
      <c r="L540" s="127"/>
      <c r="M540" s="128"/>
      <c r="N540" s="127"/>
      <c r="O540" s="115"/>
      <c r="P540" s="115"/>
      <c r="Q540" s="115"/>
      <c r="R540" s="115"/>
      <c r="S540" s="120"/>
      <c r="T540" s="120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</row>
    <row r="541" ht="18.0" customHeight="1">
      <c r="A541" s="114"/>
      <c r="B541" s="115"/>
      <c r="C541" s="115"/>
      <c r="D541" s="115"/>
      <c r="E541" s="116"/>
      <c r="F541" s="116"/>
      <c r="G541" s="115"/>
      <c r="H541" s="115"/>
      <c r="I541" s="115"/>
      <c r="J541" s="115"/>
      <c r="K541" s="115"/>
      <c r="L541" s="127"/>
      <c r="M541" s="128"/>
      <c r="N541" s="127"/>
      <c r="O541" s="115"/>
      <c r="P541" s="115"/>
      <c r="Q541" s="115"/>
      <c r="R541" s="115"/>
      <c r="S541" s="120"/>
      <c r="T541" s="120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</row>
    <row r="542" ht="18.0" customHeight="1">
      <c r="A542" s="114"/>
      <c r="B542" s="115"/>
      <c r="C542" s="115"/>
      <c r="D542" s="115"/>
      <c r="E542" s="116"/>
      <c r="F542" s="116"/>
      <c r="G542" s="115"/>
      <c r="H542" s="115"/>
      <c r="I542" s="115"/>
      <c r="J542" s="115"/>
      <c r="K542" s="115"/>
      <c r="L542" s="127"/>
      <c r="M542" s="128"/>
      <c r="N542" s="127"/>
      <c r="O542" s="115"/>
      <c r="P542" s="115"/>
      <c r="Q542" s="115"/>
      <c r="R542" s="115"/>
      <c r="S542" s="120"/>
      <c r="T542" s="120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</row>
    <row r="543" ht="18.0" customHeight="1">
      <c r="A543" s="114"/>
      <c r="B543" s="115"/>
      <c r="C543" s="115"/>
      <c r="D543" s="115"/>
      <c r="E543" s="116"/>
      <c r="F543" s="116"/>
      <c r="G543" s="115"/>
      <c r="H543" s="115"/>
      <c r="I543" s="115"/>
      <c r="J543" s="115"/>
      <c r="K543" s="115"/>
      <c r="L543" s="127"/>
      <c r="M543" s="128"/>
      <c r="N543" s="127"/>
      <c r="O543" s="115"/>
      <c r="P543" s="115"/>
      <c r="Q543" s="115"/>
      <c r="R543" s="115"/>
      <c r="S543" s="120"/>
      <c r="T543" s="120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</row>
    <row r="544" ht="18.0" customHeight="1">
      <c r="A544" s="114"/>
      <c r="B544" s="115"/>
      <c r="C544" s="115"/>
      <c r="D544" s="115"/>
      <c r="E544" s="116"/>
      <c r="F544" s="116"/>
      <c r="G544" s="115"/>
      <c r="H544" s="115"/>
      <c r="I544" s="115"/>
      <c r="J544" s="115"/>
      <c r="K544" s="115"/>
      <c r="L544" s="127"/>
      <c r="M544" s="128"/>
      <c r="N544" s="127"/>
      <c r="O544" s="115"/>
      <c r="P544" s="115"/>
      <c r="Q544" s="115"/>
      <c r="R544" s="115"/>
      <c r="S544" s="120"/>
      <c r="T544" s="120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</row>
    <row r="545" ht="18.0" customHeight="1">
      <c r="A545" s="114"/>
      <c r="B545" s="115"/>
      <c r="C545" s="115"/>
      <c r="D545" s="115"/>
      <c r="E545" s="116"/>
      <c r="F545" s="116"/>
      <c r="G545" s="115"/>
      <c r="H545" s="115"/>
      <c r="I545" s="115"/>
      <c r="J545" s="115"/>
      <c r="K545" s="115"/>
      <c r="L545" s="127"/>
      <c r="M545" s="128"/>
      <c r="N545" s="127"/>
      <c r="O545" s="115"/>
      <c r="P545" s="115"/>
      <c r="Q545" s="115"/>
      <c r="R545" s="115"/>
      <c r="S545" s="120"/>
      <c r="T545" s="120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</row>
    <row r="546" ht="18.0" customHeight="1">
      <c r="A546" s="114"/>
      <c r="B546" s="115"/>
      <c r="C546" s="115"/>
      <c r="D546" s="115"/>
      <c r="E546" s="116"/>
      <c r="F546" s="116"/>
      <c r="G546" s="115"/>
      <c r="H546" s="115"/>
      <c r="I546" s="115"/>
      <c r="J546" s="115"/>
      <c r="K546" s="115"/>
      <c r="L546" s="127"/>
      <c r="M546" s="128"/>
      <c r="N546" s="127"/>
      <c r="O546" s="115"/>
      <c r="P546" s="115"/>
      <c r="Q546" s="115"/>
      <c r="R546" s="115"/>
      <c r="S546" s="120"/>
      <c r="T546" s="120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</row>
    <row r="547" ht="18.0" customHeight="1">
      <c r="A547" s="114"/>
      <c r="B547" s="115"/>
      <c r="C547" s="115"/>
      <c r="D547" s="115"/>
      <c r="E547" s="116"/>
      <c r="F547" s="116"/>
      <c r="G547" s="115"/>
      <c r="H547" s="115"/>
      <c r="I547" s="115"/>
      <c r="J547" s="115"/>
      <c r="K547" s="115"/>
      <c r="L547" s="127"/>
      <c r="M547" s="128"/>
      <c r="N547" s="127"/>
      <c r="O547" s="115"/>
      <c r="P547" s="115"/>
      <c r="Q547" s="115"/>
      <c r="R547" s="115"/>
      <c r="S547" s="120"/>
      <c r="T547" s="120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</row>
    <row r="548" ht="18.0" customHeight="1">
      <c r="A548" s="114"/>
      <c r="B548" s="115"/>
      <c r="C548" s="115"/>
      <c r="D548" s="115"/>
      <c r="E548" s="116"/>
      <c r="F548" s="116"/>
      <c r="G548" s="115"/>
      <c r="H548" s="115"/>
      <c r="I548" s="115"/>
      <c r="J548" s="115"/>
      <c r="K548" s="115"/>
      <c r="L548" s="127"/>
      <c r="M548" s="128"/>
      <c r="N548" s="127"/>
      <c r="O548" s="115"/>
      <c r="P548" s="115"/>
      <c r="Q548" s="115"/>
      <c r="R548" s="115"/>
      <c r="S548" s="120"/>
      <c r="T548" s="120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</row>
    <row r="549" ht="18.0" customHeight="1">
      <c r="A549" s="114"/>
      <c r="B549" s="115"/>
      <c r="C549" s="115"/>
      <c r="D549" s="115"/>
      <c r="E549" s="116"/>
      <c r="F549" s="116"/>
      <c r="G549" s="115"/>
      <c r="H549" s="115"/>
      <c r="I549" s="115"/>
      <c r="J549" s="115"/>
      <c r="K549" s="115"/>
      <c r="L549" s="127"/>
      <c r="M549" s="128"/>
      <c r="N549" s="127"/>
      <c r="O549" s="115"/>
      <c r="P549" s="115"/>
      <c r="Q549" s="115"/>
      <c r="R549" s="115"/>
      <c r="S549" s="120"/>
      <c r="T549" s="120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</row>
    <row r="550" ht="18.0" customHeight="1">
      <c r="A550" s="114"/>
      <c r="B550" s="115"/>
      <c r="C550" s="115"/>
      <c r="D550" s="115"/>
      <c r="E550" s="116"/>
      <c r="F550" s="116"/>
      <c r="G550" s="115"/>
      <c r="H550" s="115"/>
      <c r="I550" s="115"/>
      <c r="J550" s="115"/>
      <c r="K550" s="115"/>
      <c r="L550" s="127"/>
      <c r="M550" s="128"/>
      <c r="N550" s="127"/>
      <c r="O550" s="115"/>
      <c r="P550" s="115"/>
      <c r="Q550" s="115"/>
      <c r="R550" s="115"/>
      <c r="S550" s="120"/>
      <c r="T550" s="120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</row>
    <row r="551" ht="18.0" customHeight="1">
      <c r="A551" s="114"/>
      <c r="B551" s="115"/>
      <c r="C551" s="115"/>
      <c r="D551" s="115"/>
      <c r="E551" s="116"/>
      <c r="F551" s="116"/>
      <c r="G551" s="115"/>
      <c r="H551" s="115"/>
      <c r="I551" s="115"/>
      <c r="J551" s="115"/>
      <c r="K551" s="115"/>
      <c r="L551" s="127"/>
      <c r="M551" s="128"/>
      <c r="N551" s="127"/>
      <c r="O551" s="115"/>
      <c r="P551" s="115"/>
      <c r="Q551" s="115"/>
      <c r="R551" s="115"/>
      <c r="S551" s="120"/>
      <c r="T551" s="120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</row>
    <row r="552" ht="18.0" customHeight="1">
      <c r="A552" s="114"/>
      <c r="B552" s="115"/>
      <c r="C552" s="115"/>
      <c r="D552" s="115"/>
      <c r="E552" s="116"/>
      <c r="F552" s="116"/>
      <c r="G552" s="115"/>
      <c r="H552" s="115"/>
      <c r="I552" s="115"/>
      <c r="J552" s="115"/>
      <c r="K552" s="115"/>
      <c r="L552" s="127"/>
      <c r="M552" s="128"/>
      <c r="N552" s="127"/>
      <c r="O552" s="115"/>
      <c r="P552" s="115"/>
      <c r="Q552" s="115"/>
      <c r="R552" s="115"/>
      <c r="S552" s="120"/>
      <c r="T552" s="120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</row>
    <row r="553" ht="18.0" customHeight="1">
      <c r="A553" s="114"/>
      <c r="B553" s="115"/>
      <c r="C553" s="115"/>
      <c r="D553" s="115"/>
      <c r="E553" s="116"/>
      <c r="F553" s="116"/>
      <c r="G553" s="115"/>
      <c r="H553" s="115"/>
      <c r="I553" s="115"/>
      <c r="J553" s="115"/>
      <c r="K553" s="115"/>
      <c r="L553" s="127"/>
      <c r="M553" s="128"/>
      <c r="N553" s="127"/>
      <c r="O553" s="115"/>
      <c r="P553" s="115"/>
      <c r="Q553" s="115"/>
      <c r="R553" s="115"/>
      <c r="S553" s="120"/>
      <c r="T553" s="120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</row>
    <row r="554" ht="18.0" customHeight="1">
      <c r="A554" s="114"/>
      <c r="B554" s="115"/>
      <c r="C554" s="115"/>
      <c r="D554" s="115"/>
      <c r="E554" s="116"/>
      <c r="F554" s="116"/>
      <c r="G554" s="115"/>
      <c r="H554" s="115"/>
      <c r="I554" s="115"/>
      <c r="J554" s="115"/>
      <c r="K554" s="115"/>
      <c r="L554" s="127"/>
      <c r="M554" s="128"/>
      <c r="N554" s="127"/>
      <c r="O554" s="115"/>
      <c r="P554" s="115"/>
      <c r="Q554" s="115"/>
      <c r="R554" s="115"/>
      <c r="S554" s="120"/>
      <c r="T554" s="120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</row>
    <row r="555" ht="18.0" customHeight="1">
      <c r="A555" s="114"/>
      <c r="B555" s="115"/>
      <c r="C555" s="115"/>
      <c r="D555" s="115"/>
      <c r="E555" s="116"/>
      <c r="F555" s="116"/>
      <c r="G555" s="115"/>
      <c r="H555" s="115"/>
      <c r="I555" s="115"/>
      <c r="J555" s="115"/>
      <c r="K555" s="115"/>
      <c r="L555" s="127"/>
      <c r="M555" s="128"/>
      <c r="N555" s="127"/>
      <c r="O555" s="115"/>
      <c r="P555" s="115"/>
      <c r="Q555" s="115"/>
      <c r="R555" s="115"/>
      <c r="S555" s="120"/>
      <c r="T555" s="120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</row>
    <row r="556" ht="18.0" customHeight="1">
      <c r="A556" s="114"/>
      <c r="B556" s="115"/>
      <c r="C556" s="115"/>
      <c r="D556" s="115"/>
      <c r="E556" s="116"/>
      <c r="F556" s="116"/>
      <c r="G556" s="115"/>
      <c r="H556" s="115"/>
      <c r="I556" s="115"/>
      <c r="J556" s="115"/>
      <c r="K556" s="115"/>
      <c r="L556" s="127"/>
      <c r="M556" s="128"/>
      <c r="N556" s="127"/>
      <c r="O556" s="115"/>
      <c r="P556" s="115"/>
      <c r="Q556" s="115"/>
      <c r="R556" s="115"/>
      <c r="S556" s="120"/>
      <c r="T556" s="120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</row>
    <row r="557" ht="18.0" customHeight="1">
      <c r="A557" s="114"/>
      <c r="B557" s="115"/>
      <c r="C557" s="115"/>
      <c r="D557" s="115"/>
      <c r="E557" s="116"/>
      <c r="F557" s="116"/>
      <c r="G557" s="115"/>
      <c r="H557" s="115"/>
      <c r="I557" s="115"/>
      <c r="J557" s="115"/>
      <c r="K557" s="115"/>
      <c r="L557" s="127"/>
      <c r="M557" s="128"/>
      <c r="N557" s="127"/>
      <c r="O557" s="115"/>
      <c r="P557" s="115"/>
      <c r="Q557" s="115"/>
      <c r="R557" s="115"/>
      <c r="S557" s="120"/>
      <c r="T557" s="120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</row>
    <row r="558" ht="18.0" customHeight="1">
      <c r="A558" s="114"/>
      <c r="B558" s="115"/>
      <c r="C558" s="115"/>
      <c r="D558" s="115"/>
      <c r="E558" s="116"/>
      <c r="F558" s="116"/>
      <c r="G558" s="115"/>
      <c r="H558" s="115"/>
      <c r="I558" s="115"/>
      <c r="J558" s="115"/>
      <c r="K558" s="115"/>
      <c r="L558" s="127"/>
      <c r="M558" s="128"/>
      <c r="N558" s="127"/>
      <c r="O558" s="115"/>
      <c r="P558" s="115"/>
      <c r="Q558" s="115"/>
      <c r="R558" s="115"/>
      <c r="S558" s="120"/>
      <c r="T558" s="120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</row>
    <row r="559" ht="18.0" customHeight="1">
      <c r="A559" s="114"/>
      <c r="B559" s="115"/>
      <c r="C559" s="115"/>
      <c r="D559" s="115"/>
      <c r="E559" s="116"/>
      <c r="F559" s="116"/>
      <c r="G559" s="115"/>
      <c r="H559" s="115"/>
      <c r="I559" s="115"/>
      <c r="J559" s="115"/>
      <c r="K559" s="115"/>
      <c r="L559" s="127"/>
      <c r="M559" s="128"/>
      <c r="N559" s="127"/>
      <c r="O559" s="115"/>
      <c r="P559" s="115"/>
      <c r="Q559" s="115"/>
      <c r="R559" s="115"/>
      <c r="S559" s="120"/>
      <c r="T559" s="120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</row>
    <row r="560" ht="18.0" customHeight="1">
      <c r="A560" s="114"/>
      <c r="B560" s="115"/>
      <c r="C560" s="115"/>
      <c r="D560" s="115"/>
      <c r="E560" s="116"/>
      <c r="F560" s="116"/>
      <c r="G560" s="115"/>
      <c r="H560" s="115"/>
      <c r="I560" s="115"/>
      <c r="J560" s="115"/>
      <c r="K560" s="115"/>
      <c r="L560" s="127"/>
      <c r="M560" s="128"/>
      <c r="N560" s="127"/>
      <c r="O560" s="115"/>
      <c r="P560" s="115"/>
      <c r="Q560" s="115"/>
      <c r="R560" s="115"/>
      <c r="S560" s="120"/>
      <c r="T560" s="120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</row>
    <row r="561" ht="18.0" customHeight="1">
      <c r="A561" s="114"/>
      <c r="B561" s="115"/>
      <c r="C561" s="115"/>
      <c r="D561" s="115"/>
      <c r="E561" s="116"/>
      <c r="F561" s="116"/>
      <c r="G561" s="115"/>
      <c r="H561" s="115"/>
      <c r="I561" s="115"/>
      <c r="J561" s="115"/>
      <c r="K561" s="115"/>
      <c r="L561" s="127"/>
      <c r="M561" s="128"/>
      <c r="N561" s="127"/>
      <c r="O561" s="115"/>
      <c r="P561" s="115"/>
      <c r="Q561" s="115"/>
      <c r="R561" s="115"/>
      <c r="S561" s="120"/>
      <c r="T561" s="120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</row>
    <row r="562" ht="18.0" customHeight="1">
      <c r="A562" s="114"/>
      <c r="B562" s="115"/>
      <c r="C562" s="115"/>
      <c r="D562" s="115"/>
      <c r="E562" s="116"/>
      <c r="F562" s="116"/>
      <c r="G562" s="115"/>
      <c r="H562" s="115"/>
      <c r="I562" s="115"/>
      <c r="J562" s="115"/>
      <c r="K562" s="115"/>
      <c r="L562" s="127"/>
      <c r="M562" s="128"/>
      <c r="N562" s="127"/>
      <c r="O562" s="115"/>
      <c r="P562" s="115"/>
      <c r="Q562" s="115"/>
      <c r="R562" s="115"/>
      <c r="S562" s="120"/>
      <c r="T562" s="120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</row>
    <row r="563" ht="18.0" customHeight="1">
      <c r="A563" s="114"/>
      <c r="B563" s="115"/>
      <c r="C563" s="115"/>
      <c r="D563" s="115"/>
      <c r="E563" s="116"/>
      <c r="F563" s="116"/>
      <c r="G563" s="115"/>
      <c r="H563" s="115"/>
      <c r="I563" s="115"/>
      <c r="J563" s="115"/>
      <c r="K563" s="115"/>
      <c r="L563" s="127"/>
      <c r="M563" s="128"/>
      <c r="N563" s="127"/>
      <c r="O563" s="115"/>
      <c r="P563" s="115"/>
      <c r="Q563" s="115"/>
      <c r="R563" s="115"/>
      <c r="S563" s="120"/>
      <c r="T563" s="120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</row>
    <row r="564" ht="18.0" customHeight="1">
      <c r="A564" s="114"/>
      <c r="B564" s="115"/>
      <c r="C564" s="115"/>
      <c r="D564" s="115"/>
      <c r="E564" s="116"/>
      <c r="F564" s="116"/>
      <c r="G564" s="115"/>
      <c r="H564" s="115"/>
      <c r="I564" s="115"/>
      <c r="J564" s="115"/>
      <c r="K564" s="115"/>
      <c r="L564" s="127"/>
      <c r="M564" s="128"/>
      <c r="N564" s="127"/>
      <c r="O564" s="115"/>
      <c r="P564" s="115"/>
      <c r="Q564" s="115"/>
      <c r="R564" s="115"/>
      <c r="S564" s="120"/>
      <c r="T564" s="120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</row>
    <row r="565" ht="18.0" customHeight="1">
      <c r="A565" s="114"/>
      <c r="B565" s="115"/>
      <c r="C565" s="115"/>
      <c r="D565" s="115"/>
      <c r="E565" s="116"/>
      <c r="F565" s="116"/>
      <c r="G565" s="115"/>
      <c r="H565" s="115"/>
      <c r="I565" s="115"/>
      <c r="J565" s="115"/>
      <c r="K565" s="115"/>
      <c r="L565" s="127"/>
      <c r="M565" s="128"/>
      <c r="N565" s="127"/>
      <c r="O565" s="115"/>
      <c r="P565" s="115"/>
      <c r="Q565" s="115"/>
      <c r="R565" s="115"/>
      <c r="S565" s="120"/>
      <c r="T565" s="120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</row>
    <row r="566" ht="18.0" customHeight="1">
      <c r="A566" s="114"/>
      <c r="B566" s="115"/>
      <c r="C566" s="115"/>
      <c r="D566" s="115"/>
      <c r="E566" s="116"/>
      <c r="F566" s="116"/>
      <c r="G566" s="115"/>
      <c r="H566" s="115"/>
      <c r="I566" s="115"/>
      <c r="J566" s="115"/>
      <c r="K566" s="115"/>
      <c r="L566" s="127"/>
      <c r="M566" s="128"/>
      <c r="N566" s="127"/>
      <c r="O566" s="115"/>
      <c r="P566" s="115"/>
      <c r="Q566" s="115"/>
      <c r="R566" s="115"/>
      <c r="S566" s="120"/>
      <c r="T566" s="120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</row>
    <row r="567" ht="18.0" customHeight="1">
      <c r="A567" s="114"/>
      <c r="B567" s="115"/>
      <c r="C567" s="115"/>
      <c r="D567" s="115"/>
      <c r="E567" s="116"/>
      <c r="F567" s="116"/>
      <c r="G567" s="115"/>
      <c r="H567" s="115"/>
      <c r="I567" s="115"/>
      <c r="J567" s="115"/>
      <c r="K567" s="115"/>
      <c r="L567" s="127"/>
      <c r="M567" s="128"/>
      <c r="N567" s="127"/>
      <c r="O567" s="115"/>
      <c r="P567" s="115"/>
      <c r="Q567" s="115"/>
      <c r="R567" s="115"/>
      <c r="S567" s="120"/>
      <c r="T567" s="120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</row>
    <row r="568" ht="18.0" customHeight="1">
      <c r="A568" s="114"/>
      <c r="B568" s="115"/>
      <c r="C568" s="115"/>
      <c r="D568" s="115"/>
      <c r="E568" s="116"/>
      <c r="F568" s="116"/>
      <c r="G568" s="115"/>
      <c r="H568" s="115"/>
      <c r="I568" s="115"/>
      <c r="J568" s="115"/>
      <c r="K568" s="115"/>
      <c r="L568" s="127"/>
      <c r="M568" s="128"/>
      <c r="N568" s="127"/>
      <c r="O568" s="115"/>
      <c r="P568" s="115"/>
      <c r="Q568" s="115"/>
      <c r="R568" s="115"/>
      <c r="S568" s="120"/>
      <c r="T568" s="120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</row>
    <row r="569" ht="18.0" customHeight="1">
      <c r="A569" s="114"/>
      <c r="B569" s="115"/>
      <c r="C569" s="115"/>
      <c r="D569" s="115"/>
      <c r="E569" s="116"/>
      <c r="F569" s="116"/>
      <c r="G569" s="115"/>
      <c r="H569" s="115"/>
      <c r="I569" s="115"/>
      <c r="J569" s="115"/>
      <c r="K569" s="115"/>
      <c r="L569" s="127"/>
      <c r="M569" s="128"/>
      <c r="N569" s="127"/>
      <c r="O569" s="115"/>
      <c r="P569" s="115"/>
      <c r="Q569" s="115"/>
      <c r="R569" s="115"/>
      <c r="S569" s="120"/>
      <c r="T569" s="120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</row>
    <row r="570" ht="18.0" customHeight="1">
      <c r="A570" s="114"/>
      <c r="B570" s="115"/>
      <c r="C570" s="115"/>
      <c r="D570" s="115"/>
      <c r="E570" s="116"/>
      <c r="F570" s="116"/>
      <c r="G570" s="115"/>
      <c r="H570" s="115"/>
      <c r="I570" s="115"/>
      <c r="J570" s="115"/>
      <c r="K570" s="115"/>
      <c r="L570" s="127"/>
      <c r="M570" s="128"/>
      <c r="N570" s="127"/>
      <c r="O570" s="115"/>
      <c r="P570" s="115"/>
      <c r="Q570" s="115"/>
      <c r="R570" s="115"/>
      <c r="S570" s="120"/>
      <c r="T570" s="120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</row>
    <row r="571" ht="18.0" customHeight="1">
      <c r="A571" s="114"/>
      <c r="B571" s="115"/>
      <c r="C571" s="115"/>
      <c r="D571" s="115"/>
      <c r="E571" s="116"/>
      <c r="F571" s="116"/>
      <c r="G571" s="115"/>
      <c r="H571" s="115"/>
      <c r="I571" s="115"/>
      <c r="J571" s="115"/>
      <c r="K571" s="115"/>
      <c r="L571" s="127"/>
      <c r="M571" s="128"/>
      <c r="N571" s="127"/>
      <c r="O571" s="115"/>
      <c r="P571" s="115"/>
      <c r="Q571" s="115"/>
      <c r="R571" s="115"/>
      <c r="S571" s="120"/>
      <c r="T571" s="120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</row>
    <row r="572" ht="18.0" customHeight="1">
      <c r="A572" s="114"/>
      <c r="B572" s="115"/>
      <c r="C572" s="115"/>
      <c r="D572" s="115"/>
      <c r="E572" s="116"/>
      <c r="F572" s="116"/>
      <c r="G572" s="115"/>
      <c r="H572" s="115"/>
      <c r="I572" s="115"/>
      <c r="J572" s="115"/>
      <c r="K572" s="115"/>
      <c r="L572" s="127"/>
      <c r="M572" s="128"/>
      <c r="N572" s="127"/>
      <c r="O572" s="115"/>
      <c r="P572" s="115"/>
      <c r="Q572" s="115"/>
      <c r="R572" s="115"/>
      <c r="S572" s="120"/>
      <c r="T572" s="120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</row>
    <row r="573" ht="18.0" customHeight="1">
      <c r="A573" s="114"/>
      <c r="B573" s="115"/>
      <c r="C573" s="115"/>
      <c r="D573" s="115"/>
      <c r="E573" s="116"/>
      <c r="F573" s="116"/>
      <c r="G573" s="115"/>
      <c r="H573" s="115"/>
      <c r="I573" s="115"/>
      <c r="J573" s="115"/>
      <c r="K573" s="115"/>
      <c r="L573" s="127"/>
      <c r="M573" s="128"/>
      <c r="N573" s="127"/>
      <c r="O573" s="115"/>
      <c r="P573" s="115"/>
      <c r="Q573" s="115"/>
      <c r="R573" s="115"/>
      <c r="S573" s="120"/>
      <c r="T573" s="120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</row>
    <row r="574" ht="18.0" customHeight="1">
      <c r="A574" s="114"/>
      <c r="B574" s="115"/>
      <c r="C574" s="115"/>
      <c r="D574" s="115"/>
      <c r="E574" s="116"/>
      <c r="F574" s="116"/>
      <c r="G574" s="115"/>
      <c r="H574" s="115"/>
      <c r="I574" s="115"/>
      <c r="J574" s="115"/>
      <c r="K574" s="115"/>
      <c r="L574" s="127"/>
      <c r="M574" s="128"/>
      <c r="N574" s="127"/>
      <c r="O574" s="115"/>
      <c r="P574" s="115"/>
      <c r="Q574" s="115"/>
      <c r="R574" s="115"/>
      <c r="S574" s="120"/>
      <c r="T574" s="120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</row>
    <row r="575" ht="18.0" customHeight="1">
      <c r="A575" s="114"/>
      <c r="B575" s="115"/>
      <c r="C575" s="115"/>
      <c r="D575" s="115"/>
      <c r="E575" s="116"/>
      <c r="F575" s="116"/>
      <c r="G575" s="115"/>
      <c r="H575" s="115"/>
      <c r="I575" s="115"/>
      <c r="J575" s="115"/>
      <c r="K575" s="115"/>
      <c r="L575" s="127"/>
      <c r="M575" s="128"/>
      <c r="N575" s="127"/>
      <c r="O575" s="115"/>
      <c r="P575" s="115"/>
      <c r="Q575" s="115"/>
      <c r="R575" s="115"/>
      <c r="S575" s="120"/>
      <c r="T575" s="120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</row>
    <row r="576" ht="18.0" customHeight="1">
      <c r="A576" s="114"/>
      <c r="B576" s="115"/>
      <c r="C576" s="115"/>
      <c r="D576" s="115"/>
      <c r="E576" s="116"/>
      <c r="F576" s="116"/>
      <c r="G576" s="115"/>
      <c r="H576" s="115"/>
      <c r="I576" s="115"/>
      <c r="J576" s="115"/>
      <c r="K576" s="115"/>
      <c r="L576" s="127"/>
      <c r="M576" s="128"/>
      <c r="N576" s="127"/>
      <c r="O576" s="115"/>
      <c r="P576" s="115"/>
      <c r="Q576" s="115"/>
      <c r="R576" s="115"/>
      <c r="S576" s="120"/>
      <c r="T576" s="120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</row>
    <row r="577" ht="18.0" customHeight="1">
      <c r="A577" s="114"/>
      <c r="B577" s="115"/>
      <c r="C577" s="115"/>
      <c r="D577" s="115"/>
      <c r="E577" s="116"/>
      <c r="F577" s="116"/>
      <c r="G577" s="115"/>
      <c r="H577" s="115"/>
      <c r="I577" s="115"/>
      <c r="J577" s="115"/>
      <c r="K577" s="115"/>
      <c r="L577" s="127"/>
      <c r="M577" s="128"/>
      <c r="N577" s="127"/>
      <c r="O577" s="115"/>
      <c r="P577" s="115"/>
      <c r="Q577" s="115"/>
      <c r="R577" s="115"/>
      <c r="S577" s="120"/>
      <c r="T577" s="120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</row>
    <row r="578" ht="18.0" customHeight="1">
      <c r="A578" s="114"/>
      <c r="B578" s="115"/>
      <c r="C578" s="115"/>
      <c r="D578" s="115"/>
      <c r="E578" s="116"/>
      <c r="F578" s="116"/>
      <c r="G578" s="115"/>
      <c r="H578" s="115"/>
      <c r="I578" s="115"/>
      <c r="J578" s="115"/>
      <c r="K578" s="115"/>
      <c r="L578" s="127"/>
      <c r="M578" s="128"/>
      <c r="N578" s="127"/>
      <c r="O578" s="115"/>
      <c r="P578" s="115"/>
      <c r="Q578" s="115"/>
      <c r="R578" s="115"/>
      <c r="S578" s="120"/>
      <c r="T578" s="120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</row>
    <row r="579" ht="18.0" customHeight="1">
      <c r="A579" s="114"/>
      <c r="B579" s="115"/>
      <c r="C579" s="115"/>
      <c r="D579" s="115"/>
      <c r="E579" s="116"/>
      <c r="F579" s="116"/>
      <c r="G579" s="115"/>
      <c r="H579" s="115"/>
      <c r="I579" s="115"/>
      <c r="J579" s="115"/>
      <c r="K579" s="115"/>
      <c r="L579" s="127"/>
      <c r="M579" s="128"/>
      <c r="N579" s="127"/>
      <c r="O579" s="115"/>
      <c r="P579" s="115"/>
      <c r="Q579" s="115"/>
      <c r="R579" s="115"/>
      <c r="S579" s="120"/>
      <c r="T579" s="120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</row>
    <row r="580" ht="18.0" customHeight="1">
      <c r="A580" s="114"/>
      <c r="B580" s="115"/>
      <c r="C580" s="115"/>
      <c r="D580" s="115"/>
      <c r="E580" s="116"/>
      <c r="F580" s="116"/>
      <c r="G580" s="115"/>
      <c r="H580" s="115"/>
      <c r="I580" s="115"/>
      <c r="J580" s="115"/>
      <c r="K580" s="115"/>
      <c r="L580" s="127"/>
      <c r="M580" s="128"/>
      <c r="N580" s="127"/>
      <c r="O580" s="115"/>
      <c r="P580" s="115"/>
      <c r="Q580" s="115"/>
      <c r="R580" s="115"/>
      <c r="S580" s="120"/>
      <c r="T580" s="120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</row>
    <row r="581" ht="18.0" customHeight="1">
      <c r="A581" s="114"/>
      <c r="B581" s="115"/>
      <c r="C581" s="115"/>
      <c r="D581" s="115"/>
      <c r="E581" s="116"/>
      <c r="F581" s="116"/>
      <c r="G581" s="115"/>
      <c r="H581" s="115"/>
      <c r="I581" s="115"/>
      <c r="J581" s="115"/>
      <c r="K581" s="115"/>
      <c r="L581" s="127"/>
      <c r="M581" s="128"/>
      <c r="N581" s="127"/>
      <c r="O581" s="115"/>
      <c r="P581" s="115"/>
      <c r="Q581" s="115"/>
      <c r="R581" s="115"/>
      <c r="S581" s="120"/>
      <c r="T581" s="120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</row>
    <row r="582" ht="18.0" customHeight="1">
      <c r="A582" s="114"/>
      <c r="B582" s="115"/>
      <c r="C582" s="115"/>
      <c r="D582" s="115"/>
      <c r="E582" s="116"/>
      <c r="F582" s="116"/>
      <c r="G582" s="115"/>
      <c r="H582" s="115"/>
      <c r="I582" s="115"/>
      <c r="J582" s="115"/>
      <c r="K582" s="115"/>
      <c r="L582" s="127"/>
      <c r="M582" s="128"/>
      <c r="N582" s="127"/>
      <c r="O582" s="115"/>
      <c r="P582" s="115"/>
      <c r="Q582" s="115"/>
      <c r="R582" s="115"/>
      <c r="S582" s="120"/>
      <c r="T582" s="120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</row>
    <row r="583" ht="18.0" customHeight="1">
      <c r="A583" s="114"/>
      <c r="B583" s="115"/>
      <c r="C583" s="115"/>
      <c r="D583" s="115"/>
      <c r="E583" s="116"/>
      <c r="F583" s="116"/>
      <c r="G583" s="115"/>
      <c r="H583" s="115"/>
      <c r="I583" s="115"/>
      <c r="J583" s="115"/>
      <c r="K583" s="115"/>
      <c r="L583" s="127"/>
      <c r="M583" s="128"/>
      <c r="N583" s="127"/>
      <c r="O583" s="115"/>
      <c r="P583" s="115"/>
      <c r="Q583" s="115"/>
      <c r="R583" s="115"/>
      <c r="S583" s="120"/>
      <c r="T583" s="120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</row>
    <row r="584" ht="18.0" customHeight="1">
      <c r="A584" s="114"/>
      <c r="B584" s="115"/>
      <c r="C584" s="115"/>
      <c r="D584" s="115"/>
      <c r="E584" s="116"/>
      <c r="F584" s="116"/>
      <c r="G584" s="115"/>
      <c r="H584" s="115"/>
      <c r="I584" s="115"/>
      <c r="J584" s="115"/>
      <c r="K584" s="115"/>
      <c r="L584" s="127"/>
      <c r="M584" s="128"/>
      <c r="N584" s="127"/>
      <c r="O584" s="115"/>
      <c r="P584" s="115"/>
      <c r="Q584" s="115"/>
      <c r="R584" s="115"/>
      <c r="S584" s="120"/>
      <c r="T584" s="120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</row>
    <row r="585" ht="18.0" customHeight="1">
      <c r="A585" s="114"/>
      <c r="B585" s="115"/>
      <c r="C585" s="115"/>
      <c r="D585" s="115"/>
      <c r="E585" s="116"/>
      <c r="F585" s="116"/>
      <c r="G585" s="115"/>
      <c r="H585" s="115"/>
      <c r="I585" s="115"/>
      <c r="J585" s="115"/>
      <c r="K585" s="115"/>
      <c r="L585" s="127"/>
      <c r="M585" s="128"/>
      <c r="N585" s="127"/>
      <c r="O585" s="115"/>
      <c r="P585" s="115"/>
      <c r="Q585" s="115"/>
      <c r="R585" s="115"/>
      <c r="S585" s="120"/>
      <c r="T585" s="120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</row>
    <row r="586" ht="18.0" customHeight="1">
      <c r="A586" s="114"/>
      <c r="B586" s="115"/>
      <c r="C586" s="115"/>
      <c r="D586" s="115"/>
      <c r="E586" s="116"/>
      <c r="F586" s="116"/>
      <c r="G586" s="115"/>
      <c r="H586" s="115"/>
      <c r="I586" s="115"/>
      <c r="J586" s="115"/>
      <c r="K586" s="115"/>
      <c r="L586" s="127"/>
      <c r="M586" s="128"/>
      <c r="N586" s="127"/>
      <c r="O586" s="115"/>
      <c r="P586" s="115"/>
      <c r="Q586" s="115"/>
      <c r="R586" s="115"/>
      <c r="S586" s="120"/>
      <c r="T586" s="120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</row>
    <row r="587" ht="18.0" customHeight="1">
      <c r="A587" s="114"/>
      <c r="B587" s="115"/>
      <c r="C587" s="115"/>
      <c r="D587" s="115"/>
      <c r="E587" s="116"/>
      <c r="F587" s="116"/>
      <c r="G587" s="115"/>
      <c r="H587" s="115"/>
      <c r="I587" s="115"/>
      <c r="J587" s="115"/>
      <c r="K587" s="115"/>
      <c r="L587" s="127"/>
      <c r="M587" s="128"/>
      <c r="N587" s="127"/>
      <c r="O587" s="115"/>
      <c r="P587" s="115"/>
      <c r="Q587" s="115"/>
      <c r="R587" s="115"/>
      <c r="S587" s="120"/>
      <c r="T587" s="120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</row>
    <row r="588" ht="18.0" customHeight="1">
      <c r="A588" s="114"/>
      <c r="B588" s="115"/>
      <c r="C588" s="115"/>
      <c r="D588" s="115"/>
      <c r="E588" s="116"/>
      <c r="F588" s="116"/>
      <c r="G588" s="115"/>
      <c r="H588" s="115"/>
      <c r="I588" s="115"/>
      <c r="J588" s="115"/>
      <c r="K588" s="115"/>
      <c r="L588" s="127"/>
      <c r="M588" s="128"/>
      <c r="N588" s="127"/>
      <c r="O588" s="115"/>
      <c r="P588" s="115"/>
      <c r="Q588" s="115"/>
      <c r="R588" s="115"/>
      <c r="S588" s="120"/>
      <c r="T588" s="120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</row>
    <row r="589" ht="18.0" customHeight="1">
      <c r="A589" s="114"/>
      <c r="B589" s="115"/>
      <c r="C589" s="115"/>
      <c r="D589" s="115"/>
      <c r="E589" s="116"/>
      <c r="F589" s="116"/>
      <c r="G589" s="115"/>
      <c r="H589" s="115"/>
      <c r="I589" s="115"/>
      <c r="J589" s="115"/>
      <c r="K589" s="115"/>
      <c r="L589" s="127"/>
      <c r="M589" s="128"/>
      <c r="N589" s="127"/>
      <c r="O589" s="115"/>
      <c r="P589" s="115"/>
      <c r="Q589" s="115"/>
      <c r="R589" s="115"/>
      <c r="S589" s="120"/>
      <c r="T589" s="120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</row>
    <row r="590" ht="18.0" customHeight="1">
      <c r="A590" s="114"/>
      <c r="B590" s="115"/>
      <c r="C590" s="115"/>
      <c r="D590" s="115"/>
      <c r="E590" s="116"/>
      <c r="F590" s="116"/>
      <c r="G590" s="115"/>
      <c r="H590" s="115"/>
      <c r="I590" s="115"/>
      <c r="J590" s="115"/>
      <c r="K590" s="115"/>
      <c r="L590" s="127"/>
      <c r="M590" s="128"/>
      <c r="N590" s="127"/>
      <c r="O590" s="115"/>
      <c r="P590" s="115"/>
      <c r="Q590" s="115"/>
      <c r="R590" s="115"/>
      <c r="S590" s="120"/>
      <c r="T590" s="120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</row>
    <row r="591" ht="18.0" customHeight="1">
      <c r="A591" s="114"/>
      <c r="B591" s="115"/>
      <c r="C591" s="115"/>
      <c r="D591" s="115"/>
      <c r="E591" s="116"/>
      <c r="F591" s="116"/>
      <c r="G591" s="115"/>
      <c r="H591" s="115"/>
      <c r="I591" s="115"/>
      <c r="J591" s="115"/>
      <c r="K591" s="115"/>
      <c r="L591" s="127"/>
      <c r="M591" s="128"/>
      <c r="N591" s="127"/>
      <c r="O591" s="115"/>
      <c r="P591" s="115"/>
      <c r="Q591" s="115"/>
      <c r="R591" s="115"/>
      <c r="S591" s="120"/>
      <c r="T591" s="120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</row>
    <row r="592" ht="18.0" customHeight="1">
      <c r="A592" s="114"/>
      <c r="B592" s="115"/>
      <c r="C592" s="115"/>
      <c r="D592" s="115"/>
      <c r="E592" s="116"/>
      <c r="F592" s="116"/>
      <c r="G592" s="115"/>
      <c r="H592" s="115"/>
      <c r="I592" s="115"/>
      <c r="J592" s="115"/>
      <c r="K592" s="115"/>
      <c r="L592" s="127"/>
      <c r="M592" s="128"/>
      <c r="N592" s="127"/>
      <c r="O592" s="115"/>
      <c r="P592" s="115"/>
      <c r="Q592" s="115"/>
      <c r="R592" s="115"/>
      <c r="S592" s="120"/>
      <c r="T592" s="120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</row>
    <row r="593" ht="18.0" customHeight="1">
      <c r="A593" s="114"/>
      <c r="B593" s="115"/>
      <c r="C593" s="115"/>
      <c r="D593" s="115"/>
      <c r="E593" s="116"/>
      <c r="F593" s="116"/>
      <c r="G593" s="115"/>
      <c r="H593" s="115"/>
      <c r="I593" s="115"/>
      <c r="J593" s="115"/>
      <c r="K593" s="115"/>
      <c r="L593" s="127"/>
      <c r="M593" s="128"/>
      <c r="N593" s="127"/>
      <c r="O593" s="115"/>
      <c r="P593" s="115"/>
      <c r="Q593" s="115"/>
      <c r="R593" s="115"/>
      <c r="S593" s="120"/>
      <c r="T593" s="120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</row>
    <row r="594" ht="18.0" customHeight="1">
      <c r="A594" s="114"/>
      <c r="B594" s="115"/>
      <c r="C594" s="115"/>
      <c r="D594" s="115"/>
      <c r="E594" s="116"/>
      <c r="F594" s="116"/>
      <c r="G594" s="115"/>
      <c r="H594" s="115"/>
      <c r="I594" s="115"/>
      <c r="J594" s="115"/>
      <c r="K594" s="115"/>
      <c r="L594" s="127"/>
      <c r="M594" s="128"/>
      <c r="N594" s="127"/>
      <c r="O594" s="115"/>
      <c r="P594" s="115"/>
      <c r="Q594" s="115"/>
      <c r="R594" s="115"/>
      <c r="S594" s="120"/>
      <c r="T594" s="120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</row>
    <row r="595" ht="18.0" customHeight="1">
      <c r="A595" s="114"/>
      <c r="B595" s="115"/>
      <c r="C595" s="115"/>
      <c r="D595" s="115"/>
      <c r="E595" s="116"/>
      <c r="F595" s="116"/>
      <c r="G595" s="115"/>
      <c r="H595" s="115"/>
      <c r="I595" s="115"/>
      <c r="J595" s="115"/>
      <c r="K595" s="115"/>
      <c r="L595" s="127"/>
      <c r="M595" s="128"/>
      <c r="N595" s="127"/>
      <c r="O595" s="115"/>
      <c r="P595" s="115"/>
      <c r="Q595" s="115"/>
      <c r="R595" s="115"/>
      <c r="S595" s="120"/>
      <c r="T595" s="120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</row>
    <row r="596" ht="18.0" customHeight="1">
      <c r="A596" s="114"/>
      <c r="B596" s="115"/>
      <c r="C596" s="115"/>
      <c r="D596" s="115"/>
      <c r="E596" s="116"/>
      <c r="F596" s="116"/>
      <c r="G596" s="115"/>
      <c r="H596" s="115"/>
      <c r="I596" s="115"/>
      <c r="J596" s="115"/>
      <c r="K596" s="115"/>
      <c r="L596" s="127"/>
      <c r="M596" s="128"/>
      <c r="N596" s="127"/>
      <c r="O596" s="115"/>
      <c r="P596" s="115"/>
      <c r="Q596" s="115"/>
      <c r="R596" s="115"/>
      <c r="S596" s="120"/>
      <c r="T596" s="120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</row>
    <row r="597" ht="18.0" customHeight="1">
      <c r="A597" s="114"/>
      <c r="B597" s="115"/>
      <c r="C597" s="115"/>
      <c r="D597" s="115"/>
      <c r="E597" s="116"/>
      <c r="F597" s="116"/>
      <c r="G597" s="115"/>
      <c r="H597" s="115"/>
      <c r="I597" s="115"/>
      <c r="J597" s="115"/>
      <c r="K597" s="115"/>
      <c r="L597" s="127"/>
      <c r="M597" s="128"/>
      <c r="N597" s="127"/>
      <c r="O597" s="115"/>
      <c r="P597" s="115"/>
      <c r="Q597" s="115"/>
      <c r="R597" s="115"/>
      <c r="S597" s="120"/>
      <c r="T597" s="120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</row>
    <row r="598" ht="18.0" customHeight="1">
      <c r="A598" s="114"/>
      <c r="B598" s="115"/>
      <c r="C598" s="115"/>
      <c r="D598" s="115"/>
      <c r="E598" s="116"/>
      <c r="F598" s="116"/>
      <c r="G598" s="115"/>
      <c r="H598" s="115"/>
      <c r="I598" s="115"/>
      <c r="J598" s="115"/>
      <c r="K598" s="115"/>
      <c r="L598" s="127"/>
      <c r="M598" s="128"/>
      <c r="N598" s="127"/>
      <c r="O598" s="115"/>
      <c r="P598" s="115"/>
      <c r="Q598" s="115"/>
      <c r="R598" s="115"/>
      <c r="S598" s="120"/>
      <c r="T598" s="120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</row>
    <row r="599" ht="18.0" customHeight="1">
      <c r="A599" s="114"/>
      <c r="B599" s="115"/>
      <c r="C599" s="115"/>
      <c r="D599" s="115"/>
      <c r="E599" s="116"/>
      <c r="F599" s="116"/>
      <c r="G599" s="115"/>
      <c r="H599" s="115"/>
      <c r="I599" s="115"/>
      <c r="J599" s="115"/>
      <c r="K599" s="115"/>
      <c r="L599" s="127"/>
      <c r="M599" s="128"/>
      <c r="N599" s="127"/>
      <c r="O599" s="115"/>
      <c r="P599" s="115"/>
      <c r="Q599" s="115"/>
      <c r="R599" s="115"/>
      <c r="S599" s="120"/>
      <c r="T599" s="120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</row>
    <row r="600" ht="18.0" customHeight="1">
      <c r="A600" s="114"/>
      <c r="B600" s="115"/>
      <c r="C600" s="115"/>
      <c r="D600" s="115"/>
      <c r="E600" s="116"/>
      <c r="F600" s="116"/>
      <c r="G600" s="115"/>
      <c r="H600" s="115"/>
      <c r="I600" s="115"/>
      <c r="J600" s="115"/>
      <c r="K600" s="115"/>
      <c r="L600" s="127"/>
      <c r="M600" s="128"/>
      <c r="N600" s="127"/>
      <c r="O600" s="115"/>
      <c r="P600" s="115"/>
      <c r="Q600" s="115"/>
      <c r="R600" s="115"/>
      <c r="S600" s="120"/>
      <c r="T600" s="120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</row>
    <row r="601" ht="18.0" customHeight="1">
      <c r="A601" s="114"/>
      <c r="B601" s="115"/>
      <c r="C601" s="115"/>
      <c r="D601" s="115"/>
      <c r="E601" s="116"/>
      <c r="F601" s="116"/>
      <c r="G601" s="115"/>
      <c r="H601" s="115"/>
      <c r="I601" s="115"/>
      <c r="J601" s="115"/>
      <c r="K601" s="115"/>
      <c r="L601" s="127"/>
      <c r="M601" s="128"/>
      <c r="N601" s="127"/>
      <c r="O601" s="115"/>
      <c r="P601" s="115"/>
      <c r="Q601" s="115"/>
      <c r="R601" s="115"/>
      <c r="S601" s="120"/>
      <c r="T601" s="120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</row>
    <row r="602" ht="18.0" customHeight="1">
      <c r="A602" s="114"/>
      <c r="B602" s="115"/>
      <c r="C602" s="115"/>
      <c r="D602" s="115"/>
      <c r="E602" s="116"/>
      <c r="F602" s="116"/>
      <c r="G602" s="115"/>
      <c r="H602" s="115"/>
      <c r="I602" s="115"/>
      <c r="J602" s="115"/>
      <c r="K602" s="115"/>
      <c r="L602" s="127"/>
      <c r="M602" s="128"/>
      <c r="N602" s="127"/>
      <c r="O602" s="115"/>
      <c r="P602" s="115"/>
      <c r="Q602" s="115"/>
      <c r="R602" s="115"/>
      <c r="S602" s="120"/>
      <c r="T602" s="120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</row>
    <row r="603" ht="18.0" customHeight="1">
      <c r="A603" s="114"/>
      <c r="B603" s="115"/>
      <c r="C603" s="115"/>
      <c r="D603" s="115"/>
      <c r="E603" s="116"/>
      <c r="F603" s="116"/>
      <c r="G603" s="115"/>
      <c r="H603" s="115"/>
      <c r="I603" s="115"/>
      <c r="J603" s="115"/>
      <c r="K603" s="115"/>
      <c r="L603" s="127"/>
      <c r="M603" s="128"/>
      <c r="N603" s="127"/>
      <c r="O603" s="115"/>
      <c r="P603" s="115"/>
      <c r="Q603" s="115"/>
      <c r="R603" s="115"/>
      <c r="S603" s="120"/>
      <c r="T603" s="120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</row>
    <row r="604" ht="18.0" customHeight="1">
      <c r="A604" s="114"/>
      <c r="B604" s="115"/>
      <c r="C604" s="115"/>
      <c r="D604" s="115"/>
      <c r="E604" s="116"/>
      <c r="F604" s="116"/>
      <c r="G604" s="115"/>
      <c r="H604" s="115"/>
      <c r="I604" s="115"/>
      <c r="J604" s="115"/>
      <c r="K604" s="115"/>
      <c r="L604" s="127"/>
      <c r="M604" s="128"/>
      <c r="N604" s="127"/>
      <c r="O604" s="115"/>
      <c r="P604" s="115"/>
      <c r="Q604" s="115"/>
      <c r="R604" s="115"/>
      <c r="S604" s="120"/>
      <c r="T604" s="120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</row>
    <row r="605" ht="18.0" customHeight="1">
      <c r="A605" s="114"/>
      <c r="B605" s="115"/>
      <c r="C605" s="115"/>
      <c r="D605" s="115"/>
      <c r="E605" s="116"/>
      <c r="F605" s="116"/>
      <c r="G605" s="115"/>
      <c r="H605" s="115"/>
      <c r="I605" s="115"/>
      <c r="J605" s="115"/>
      <c r="K605" s="115"/>
      <c r="L605" s="127"/>
      <c r="M605" s="128"/>
      <c r="N605" s="127"/>
      <c r="O605" s="115"/>
      <c r="P605" s="115"/>
      <c r="Q605" s="115"/>
      <c r="R605" s="115"/>
      <c r="S605" s="120"/>
      <c r="T605" s="120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</row>
    <row r="606" ht="18.0" customHeight="1">
      <c r="A606" s="114"/>
      <c r="B606" s="115"/>
      <c r="C606" s="115"/>
      <c r="D606" s="115"/>
      <c r="E606" s="116"/>
      <c r="F606" s="116"/>
      <c r="G606" s="115"/>
      <c r="H606" s="115"/>
      <c r="I606" s="115"/>
      <c r="J606" s="115"/>
      <c r="K606" s="115"/>
      <c r="L606" s="127"/>
      <c r="M606" s="128"/>
      <c r="N606" s="127"/>
      <c r="O606" s="115"/>
      <c r="P606" s="115"/>
      <c r="Q606" s="115"/>
      <c r="R606" s="115"/>
      <c r="S606" s="120"/>
      <c r="T606" s="120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</row>
    <row r="607" ht="18.0" customHeight="1">
      <c r="A607" s="114"/>
      <c r="B607" s="115"/>
      <c r="C607" s="115"/>
      <c r="D607" s="115"/>
      <c r="E607" s="116"/>
      <c r="F607" s="116"/>
      <c r="G607" s="115"/>
      <c r="H607" s="115"/>
      <c r="I607" s="115"/>
      <c r="J607" s="115"/>
      <c r="K607" s="115"/>
      <c r="L607" s="127"/>
      <c r="M607" s="128"/>
      <c r="N607" s="127"/>
      <c r="O607" s="115"/>
      <c r="P607" s="115"/>
      <c r="Q607" s="115"/>
      <c r="R607" s="115"/>
      <c r="S607" s="120"/>
      <c r="T607" s="120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</row>
    <row r="608" ht="18.0" customHeight="1">
      <c r="A608" s="114"/>
      <c r="B608" s="115"/>
      <c r="C608" s="115"/>
      <c r="D608" s="115"/>
      <c r="E608" s="116"/>
      <c r="F608" s="116"/>
      <c r="G608" s="115"/>
      <c r="H608" s="115"/>
      <c r="I608" s="115"/>
      <c r="J608" s="115"/>
      <c r="K608" s="115"/>
      <c r="L608" s="127"/>
      <c r="M608" s="128"/>
      <c r="N608" s="127"/>
      <c r="O608" s="115"/>
      <c r="P608" s="115"/>
      <c r="Q608" s="115"/>
      <c r="R608" s="115"/>
      <c r="S608" s="120"/>
      <c r="T608" s="120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</row>
    <row r="609" ht="18.0" customHeight="1">
      <c r="A609" s="114"/>
      <c r="B609" s="115"/>
      <c r="C609" s="115"/>
      <c r="D609" s="115"/>
      <c r="E609" s="116"/>
      <c r="F609" s="116"/>
      <c r="G609" s="115"/>
      <c r="H609" s="115"/>
      <c r="I609" s="115"/>
      <c r="J609" s="115"/>
      <c r="K609" s="115"/>
      <c r="L609" s="127"/>
      <c r="M609" s="128"/>
      <c r="N609" s="127"/>
      <c r="O609" s="115"/>
      <c r="P609" s="115"/>
      <c r="Q609" s="115"/>
      <c r="R609" s="115"/>
      <c r="S609" s="120"/>
      <c r="T609" s="120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</row>
    <row r="610" ht="18.0" customHeight="1">
      <c r="A610" s="114"/>
      <c r="B610" s="115"/>
      <c r="C610" s="115"/>
      <c r="D610" s="115"/>
      <c r="E610" s="116"/>
      <c r="F610" s="116"/>
      <c r="G610" s="115"/>
      <c r="H610" s="115"/>
      <c r="I610" s="115"/>
      <c r="J610" s="115"/>
      <c r="K610" s="115"/>
      <c r="L610" s="127"/>
      <c r="M610" s="128"/>
      <c r="N610" s="127"/>
      <c r="O610" s="115"/>
      <c r="P610" s="115"/>
      <c r="Q610" s="115"/>
      <c r="R610" s="115"/>
      <c r="S610" s="120"/>
      <c r="T610" s="120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</row>
    <row r="611" ht="18.0" customHeight="1">
      <c r="A611" s="114"/>
      <c r="B611" s="115"/>
      <c r="C611" s="115"/>
      <c r="D611" s="115"/>
      <c r="E611" s="116"/>
      <c r="F611" s="116"/>
      <c r="G611" s="115"/>
      <c r="H611" s="115"/>
      <c r="I611" s="115"/>
      <c r="J611" s="115"/>
      <c r="K611" s="115"/>
      <c r="L611" s="127"/>
      <c r="M611" s="128"/>
      <c r="N611" s="127"/>
      <c r="O611" s="115"/>
      <c r="P611" s="115"/>
      <c r="Q611" s="115"/>
      <c r="R611" s="115"/>
      <c r="S611" s="120"/>
      <c r="T611" s="120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</row>
    <row r="612" ht="18.0" customHeight="1">
      <c r="A612" s="114"/>
      <c r="B612" s="115"/>
      <c r="C612" s="115"/>
      <c r="D612" s="115"/>
      <c r="E612" s="116"/>
      <c r="F612" s="116"/>
      <c r="G612" s="115"/>
      <c r="H612" s="115"/>
      <c r="I612" s="115"/>
      <c r="J612" s="115"/>
      <c r="K612" s="115"/>
      <c r="L612" s="127"/>
      <c r="M612" s="128"/>
      <c r="N612" s="127"/>
      <c r="O612" s="115"/>
      <c r="P612" s="115"/>
      <c r="Q612" s="115"/>
      <c r="R612" s="115"/>
      <c r="S612" s="120"/>
      <c r="T612" s="120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</row>
    <row r="613" ht="18.0" customHeight="1">
      <c r="A613" s="114"/>
      <c r="B613" s="115"/>
      <c r="C613" s="115"/>
      <c r="D613" s="115"/>
      <c r="E613" s="116"/>
      <c r="F613" s="116"/>
      <c r="G613" s="115"/>
      <c r="H613" s="115"/>
      <c r="I613" s="115"/>
      <c r="J613" s="115"/>
      <c r="K613" s="115"/>
      <c r="L613" s="127"/>
      <c r="M613" s="128"/>
      <c r="N613" s="127"/>
      <c r="O613" s="115"/>
      <c r="P613" s="115"/>
      <c r="Q613" s="115"/>
      <c r="R613" s="115"/>
      <c r="S613" s="120"/>
      <c r="T613" s="120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</row>
    <row r="614" ht="18.0" customHeight="1">
      <c r="A614" s="114"/>
      <c r="B614" s="115"/>
      <c r="C614" s="115"/>
      <c r="D614" s="115"/>
      <c r="E614" s="116"/>
      <c r="F614" s="116"/>
      <c r="G614" s="115"/>
      <c r="H614" s="115"/>
      <c r="I614" s="115"/>
      <c r="J614" s="115"/>
      <c r="K614" s="115"/>
      <c r="L614" s="127"/>
      <c r="M614" s="128"/>
      <c r="N614" s="127"/>
      <c r="O614" s="115"/>
      <c r="P614" s="115"/>
      <c r="Q614" s="115"/>
      <c r="R614" s="115"/>
      <c r="S614" s="120"/>
      <c r="T614" s="120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</row>
    <row r="615" ht="18.0" customHeight="1">
      <c r="A615" s="114"/>
      <c r="B615" s="115"/>
      <c r="C615" s="115"/>
      <c r="D615" s="115"/>
      <c r="E615" s="116"/>
      <c r="F615" s="116"/>
      <c r="G615" s="115"/>
      <c r="H615" s="115"/>
      <c r="I615" s="115"/>
      <c r="J615" s="115"/>
      <c r="K615" s="115"/>
      <c r="L615" s="127"/>
      <c r="M615" s="128"/>
      <c r="N615" s="127"/>
      <c r="O615" s="115"/>
      <c r="P615" s="115"/>
      <c r="Q615" s="115"/>
      <c r="R615" s="115"/>
      <c r="S615" s="120"/>
      <c r="T615" s="120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</row>
    <row r="616" ht="18.0" customHeight="1">
      <c r="A616" s="114"/>
      <c r="B616" s="115"/>
      <c r="C616" s="115"/>
      <c r="D616" s="115"/>
      <c r="E616" s="116"/>
      <c r="F616" s="116"/>
      <c r="G616" s="115"/>
      <c r="H616" s="115"/>
      <c r="I616" s="115"/>
      <c r="J616" s="115"/>
      <c r="K616" s="115"/>
      <c r="L616" s="127"/>
      <c r="M616" s="128"/>
      <c r="N616" s="127"/>
      <c r="O616" s="115"/>
      <c r="P616" s="115"/>
      <c r="Q616" s="115"/>
      <c r="R616" s="115"/>
      <c r="S616" s="120"/>
      <c r="T616" s="120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</row>
    <row r="617" ht="18.0" customHeight="1">
      <c r="A617" s="114"/>
      <c r="B617" s="115"/>
      <c r="C617" s="115"/>
      <c r="D617" s="115"/>
      <c r="E617" s="116"/>
      <c r="F617" s="116"/>
      <c r="G617" s="115"/>
      <c r="H617" s="115"/>
      <c r="I617" s="115"/>
      <c r="J617" s="115"/>
      <c r="K617" s="115"/>
      <c r="L617" s="127"/>
      <c r="M617" s="128"/>
      <c r="N617" s="127"/>
      <c r="O617" s="115"/>
      <c r="P617" s="115"/>
      <c r="Q617" s="115"/>
      <c r="R617" s="115"/>
      <c r="S617" s="120"/>
      <c r="T617" s="120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</row>
    <row r="618" ht="18.0" customHeight="1">
      <c r="A618" s="114"/>
      <c r="B618" s="115"/>
      <c r="C618" s="115"/>
      <c r="D618" s="115"/>
      <c r="E618" s="116"/>
      <c r="F618" s="116"/>
      <c r="G618" s="115"/>
      <c r="H618" s="115"/>
      <c r="I618" s="115"/>
      <c r="J618" s="115"/>
      <c r="K618" s="115"/>
      <c r="L618" s="127"/>
      <c r="M618" s="128"/>
      <c r="N618" s="127"/>
      <c r="O618" s="115"/>
      <c r="P618" s="115"/>
      <c r="Q618" s="115"/>
      <c r="R618" s="115"/>
      <c r="S618" s="120"/>
      <c r="T618" s="120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</row>
    <row r="619" ht="18.0" customHeight="1">
      <c r="A619" s="114"/>
      <c r="B619" s="115"/>
      <c r="C619" s="115"/>
      <c r="D619" s="115"/>
      <c r="E619" s="116"/>
      <c r="F619" s="116"/>
      <c r="G619" s="115"/>
      <c r="H619" s="115"/>
      <c r="I619" s="115"/>
      <c r="J619" s="115"/>
      <c r="K619" s="115"/>
      <c r="L619" s="127"/>
      <c r="M619" s="128"/>
      <c r="N619" s="127"/>
      <c r="O619" s="115"/>
      <c r="P619" s="115"/>
      <c r="Q619" s="115"/>
      <c r="R619" s="115"/>
      <c r="S619" s="120"/>
      <c r="T619" s="120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</row>
    <row r="620" ht="18.0" customHeight="1">
      <c r="A620" s="114"/>
      <c r="B620" s="115"/>
      <c r="C620" s="115"/>
      <c r="D620" s="115"/>
      <c r="E620" s="116"/>
      <c r="F620" s="116"/>
      <c r="G620" s="115"/>
      <c r="H620" s="115"/>
      <c r="I620" s="115"/>
      <c r="J620" s="115"/>
      <c r="K620" s="115"/>
      <c r="L620" s="127"/>
      <c r="M620" s="128"/>
      <c r="N620" s="127"/>
      <c r="O620" s="115"/>
      <c r="P620" s="115"/>
      <c r="Q620" s="115"/>
      <c r="R620" s="115"/>
      <c r="S620" s="120"/>
      <c r="T620" s="120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</row>
    <row r="621" ht="18.0" customHeight="1">
      <c r="A621" s="114"/>
      <c r="B621" s="115"/>
      <c r="C621" s="115"/>
      <c r="D621" s="115"/>
      <c r="E621" s="116"/>
      <c r="F621" s="116"/>
      <c r="G621" s="115"/>
      <c r="H621" s="115"/>
      <c r="I621" s="115"/>
      <c r="J621" s="115"/>
      <c r="K621" s="115"/>
      <c r="L621" s="127"/>
      <c r="M621" s="128"/>
      <c r="N621" s="127"/>
      <c r="O621" s="115"/>
      <c r="P621" s="115"/>
      <c r="Q621" s="115"/>
      <c r="R621" s="115"/>
      <c r="S621" s="120"/>
      <c r="T621" s="120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</row>
    <row r="622" ht="18.0" customHeight="1">
      <c r="A622" s="114"/>
      <c r="B622" s="115"/>
      <c r="C622" s="115"/>
      <c r="D622" s="115"/>
      <c r="E622" s="116"/>
      <c r="F622" s="116"/>
      <c r="G622" s="115"/>
      <c r="H622" s="115"/>
      <c r="I622" s="115"/>
      <c r="J622" s="115"/>
      <c r="K622" s="115"/>
      <c r="L622" s="127"/>
      <c r="M622" s="128"/>
      <c r="N622" s="127"/>
      <c r="O622" s="115"/>
      <c r="P622" s="115"/>
      <c r="Q622" s="115"/>
      <c r="R622" s="115"/>
      <c r="S622" s="120"/>
      <c r="T622" s="120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</row>
    <row r="623" ht="18.0" customHeight="1">
      <c r="A623" s="114"/>
      <c r="B623" s="115"/>
      <c r="C623" s="115"/>
      <c r="D623" s="115"/>
      <c r="E623" s="116"/>
      <c r="F623" s="116"/>
      <c r="G623" s="115"/>
      <c r="H623" s="115"/>
      <c r="I623" s="115"/>
      <c r="J623" s="115"/>
      <c r="K623" s="115"/>
      <c r="L623" s="127"/>
      <c r="M623" s="128"/>
      <c r="N623" s="127"/>
      <c r="O623" s="115"/>
      <c r="P623" s="115"/>
      <c r="Q623" s="115"/>
      <c r="R623" s="115"/>
      <c r="S623" s="120"/>
      <c r="T623" s="120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</row>
    <row r="624" ht="18.0" customHeight="1">
      <c r="A624" s="114"/>
      <c r="B624" s="115"/>
      <c r="C624" s="115"/>
      <c r="D624" s="115"/>
      <c r="E624" s="116"/>
      <c r="F624" s="116"/>
      <c r="G624" s="115"/>
      <c r="H624" s="115"/>
      <c r="I624" s="115"/>
      <c r="J624" s="115"/>
      <c r="K624" s="115"/>
      <c r="L624" s="127"/>
      <c r="M624" s="128"/>
      <c r="N624" s="127"/>
      <c r="O624" s="115"/>
      <c r="P624" s="115"/>
      <c r="Q624" s="115"/>
      <c r="R624" s="115"/>
      <c r="S624" s="120"/>
      <c r="T624" s="120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</row>
    <row r="625" ht="18.0" customHeight="1">
      <c r="A625" s="114"/>
      <c r="B625" s="115"/>
      <c r="C625" s="115"/>
      <c r="D625" s="115"/>
      <c r="E625" s="116"/>
      <c r="F625" s="116"/>
      <c r="G625" s="115"/>
      <c r="H625" s="115"/>
      <c r="I625" s="115"/>
      <c r="J625" s="115"/>
      <c r="K625" s="115"/>
      <c r="L625" s="127"/>
      <c r="M625" s="128"/>
      <c r="N625" s="127"/>
      <c r="O625" s="115"/>
      <c r="P625" s="115"/>
      <c r="Q625" s="115"/>
      <c r="R625" s="115"/>
      <c r="S625" s="120"/>
      <c r="T625" s="120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</row>
    <row r="626" ht="18.0" customHeight="1">
      <c r="A626" s="114"/>
      <c r="B626" s="115"/>
      <c r="C626" s="115"/>
      <c r="D626" s="115"/>
      <c r="E626" s="116"/>
      <c r="F626" s="116"/>
      <c r="G626" s="115"/>
      <c r="H626" s="115"/>
      <c r="I626" s="115"/>
      <c r="J626" s="115"/>
      <c r="K626" s="115"/>
      <c r="L626" s="127"/>
      <c r="M626" s="128"/>
      <c r="N626" s="127"/>
      <c r="O626" s="115"/>
      <c r="P626" s="115"/>
      <c r="Q626" s="115"/>
      <c r="R626" s="115"/>
      <c r="S626" s="120"/>
      <c r="T626" s="120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</row>
    <row r="627" ht="18.0" customHeight="1">
      <c r="A627" s="114"/>
      <c r="B627" s="115"/>
      <c r="C627" s="115"/>
      <c r="D627" s="115"/>
      <c r="E627" s="116"/>
      <c r="F627" s="116"/>
      <c r="G627" s="115"/>
      <c r="H627" s="115"/>
      <c r="I627" s="115"/>
      <c r="J627" s="115"/>
      <c r="K627" s="115"/>
      <c r="L627" s="127"/>
      <c r="M627" s="128"/>
      <c r="N627" s="127"/>
      <c r="O627" s="115"/>
      <c r="P627" s="115"/>
      <c r="Q627" s="115"/>
      <c r="R627" s="115"/>
      <c r="S627" s="120"/>
      <c r="T627" s="120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</row>
    <row r="628" ht="18.0" customHeight="1">
      <c r="A628" s="114"/>
      <c r="B628" s="115"/>
      <c r="C628" s="115"/>
      <c r="D628" s="115"/>
      <c r="E628" s="116"/>
      <c r="F628" s="116"/>
      <c r="G628" s="115"/>
      <c r="H628" s="115"/>
      <c r="I628" s="115"/>
      <c r="J628" s="115"/>
      <c r="K628" s="115"/>
      <c r="L628" s="127"/>
      <c r="M628" s="128"/>
      <c r="N628" s="127"/>
      <c r="O628" s="115"/>
      <c r="P628" s="115"/>
      <c r="Q628" s="115"/>
      <c r="R628" s="115"/>
      <c r="S628" s="120"/>
      <c r="T628" s="120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</row>
    <row r="629" ht="18.0" customHeight="1">
      <c r="A629" s="114"/>
      <c r="B629" s="115"/>
      <c r="C629" s="115"/>
      <c r="D629" s="115"/>
      <c r="E629" s="116"/>
      <c r="F629" s="116"/>
      <c r="G629" s="115"/>
      <c r="H629" s="115"/>
      <c r="I629" s="115"/>
      <c r="J629" s="115"/>
      <c r="K629" s="115"/>
      <c r="L629" s="127"/>
      <c r="M629" s="128"/>
      <c r="N629" s="127"/>
      <c r="O629" s="115"/>
      <c r="P629" s="115"/>
      <c r="Q629" s="115"/>
      <c r="R629" s="115"/>
      <c r="S629" s="120"/>
      <c r="T629" s="120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</row>
    <row r="630" ht="18.0" customHeight="1">
      <c r="A630" s="114"/>
      <c r="B630" s="115"/>
      <c r="C630" s="115"/>
      <c r="D630" s="115"/>
      <c r="E630" s="116"/>
      <c r="F630" s="116"/>
      <c r="G630" s="115"/>
      <c r="H630" s="115"/>
      <c r="I630" s="115"/>
      <c r="J630" s="115"/>
      <c r="K630" s="115"/>
      <c r="L630" s="127"/>
      <c r="M630" s="128"/>
      <c r="N630" s="127"/>
      <c r="O630" s="115"/>
      <c r="P630" s="115"/>
      <c r="Q630" s="115"/>
      <c r="R630" s="115"/>
      <c r="S630" s="120"/>
      <c r="T630" s="120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</row>
    <row r="631" ht="18.0" customHeight="1">
      <c r="A631" s="114"/>
      <c r="B631" s="115"/>
      <c r="C631" s="115"/>
      <c r="D631" s="115"/>
      <c r="E631" s="116"/>
      <c r="F631" s="116"/>
      <c r="G631" s="115"/>
      <c r="H631" s="115"/>
      <c r="I631" s="115"/>
      <c r="J631" s="115"/>
      <c r="K631" s="115"/>
      <c r="L631" s="127"/>
      <c r="M631" s="128"/>
      <c r="N631" s="127"/>
      <c r="O631" s="115"/>
      <c r="P631" s="115"/>
      <c r="Q631" s="115"/>
      <c r="R631" s="115"/>
      <c r="S631" s="120"/>
      <c r="T631" s="120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</row>
    <row r="632" ht="18.0" customHeight="1">
      <c r="A632" s="114"/>
      <c r="B632" s="115"/>
      <c r="C632" s="115"/>
      <c r="D632" s="115"/>
      <c r="E632" s="116"/>
      <c r="F632" s="116"/>
      <c r="G632" s="115"/>
      <c r="H632" s="115"/>
      <c r="I632" s="115"/>
      <c r="J632" s="115"/>
      <c r="K632" s="115"/>
      <c r="L632" s="127"/>
      <c r="M632" s="128"/>
      <c r="N632" s="127"/>
      <c r="O632" s="115"/>
      <c r="P632" s="115"/>
      <c r="Q632" s="115"/>
      <c r="R632" s="115"/>
      <c r="S632" s="120"/>
      <c r="T632" s="120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</row>
    <row r="633" ht="18.0" customHeight="1">
      <c r="A633" s="114"/>
      <c r="B633" s="115"/>
      <c r="C633" s="115"/>
      <c r="D633" s="115"/>
      <c r="E633" s="116"/>
      <c r="F633" s="116"/>
      <c r="G633" s="115"/>
      <c r="H633" s="115"/>
      <c r="I633" s="115"/>
      <c r="J633" s="115"/>
      <c r="K633" s="115"/>
      <c r="L633" s="127"/>
      <c r="M633" s="128"/>
      <c r="N633" s="127"/>
      <c r="O633" s="115"/>
      <c r="P633" s="115"/>
      <c r="Q633" s="115"/>
      <c r="R633" s="115"/>
      <c r="S633" s="120"/>
      <c r="T633" s="120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</row>
    <row r="634" ht="18.0" customHeight="1">
      <c r="A634" s="114"/>
      <c r="B634" s="115"/>
      <c r="C634" s="115"/>
      <c r="D634" s="115"/>
      <c r="E634" s="116"/>
      <c r="F634" s="116"/>
      <c r="G634" s="115"/>
      <c r="H634" s="115"/>
      <c r="I634" s="115"/>
      <c r="J634" s="115"/>
      <c r="K634" s="115"/>
      <c r="L634" s="127"/>
      <c r="M634" s="128"/>
      <c r="N634" s="127"/>
      <c r="O634" s="115"/>
      <c r="P634" s="115"/>
      <c r="Q634" s="115"/>
      <c r="R634" s="115"/>
      <c r="S634" s="120"/>
      <c r="T634" s="120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</row>
    <row r="635" ht="18.0" customHeight="1">
      <c r="A635" s="114"/>
      <c r="B635" s="115"/>
      <c r="C635" s="115"/>
      <c r="D635" s="115"/>
      <c r="E635" s="116"/>
      <c r="F635" s="116"/>
      <c r="G635" s="115"/>
      <c r="H635" s="115"/>
      <c r="I635" s="115"/>
      <c r="J635" s="115"/>
      <c r="K635" s="115"/>
      <c r="L635" s="127"/>
      <c r="M635" s="128"/>
      <c r="N635" s="127"/>
      <c r="O635" s="115"/>
      <c r="P635" s="115"/>
      <c r="Q635" s="115"/>
      <c r="R635" s="115"/>
      <c r="S635" s="120"/>
      <c r="T635" s="120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</row>
    <row r="636" ht="18.0" customHeight="1">
      <c r="A636" s="114"/>
      <c r="B636" s="115"/>
      <c r="C636" s="115"/>
      <c r="D636" s="115"/>
      <c r="E636" s="116"/>
      <c r="F636" s="116"/>
      <c r="G636" s="115"/>
      <c r="H636" s="115"/>
      <c r="I636" s="115"/>
      <c r="J636" s="115"/>
      <c r="K636" s="115"/>
      <c r="L636" s="127"/>
      <c r="M636" s="128"/>
      <c r="N636" s="127"/>
      <c r="O636" s="115"/>
      <c r="P636" s="115"/>
      <c r="Q636" s="115"/>
      <c r="R636" s="115"/>
      <c r="S636" s="120"/>
      <c r="T636" s="120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</row>
    <row r="637" ht="18.0" customHeight="1">
      <c r="A637" s="114"/>
      <c r="B637" s="115"/>
      <c r="C637" s="115"/>
      <c r="D637" s="115"/>
      <c r="E637" s="116"/>
      <c r="F637" s="116"/>
      <c r="G637" s="115"/>
      <c r="H637" s="115"/>
      <c r="I637" s="115"/>
      <c r="J637" s="115"/>
      <c r="K637" s="115"/>
      <c r="L637" s="127"/>
      <c r="M637" s="128"/>
      <c r="N637" s="127"/>
      <c r="O637" s="115"/>
      <c r="P637" s="115"/>
      <c r="Q637" s="115"/>
      <c r="R637" s="115"/>
      <c r="S637" s="120"/>
      <c r="T637" s="120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</row>
    <row r="638" ht="18.0" customHeight="1">
      <c r="A638" s="114"/>
      <c r="B638" s="115"/>
      <c r="C638" s="115"/>
      <c r="D638" s="115"/>
      <c r="E638" s="116"/>
      <c r="F638" s="116"/>
      <c r="G638" s="115"/>
      <c r="H638" s="115"/>
      <c r="I638" s="115"/>
      <c r="J638" s="115"/>
      <c r="K638" s="115"/>
      <c r="L638" s="127"/>
      <c r="M638" s="128"/>
      <c r="N638" s="127"/>
      <c r="O638" s="115"/>
      <c r="P638" s="115"/>
      <c r="Q638" s="115"/>
      <c r="R638" s="115"/>
      <c r="S638" s="120"/>
      <c r="T638" s="120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</row>
    <row r="639" ht="18.0" customHeight="1">
      <c r="A639" s="114"/>
      <c r="B639" s="115"/>
      <c r="C639" s="115"/>
      <c r="D639" s="115"/>
      <c r="E639" s="116"/>
      <c r="F639" s="116"/>
      <c r="G639" s="115"/>
      <c r="H639" s="115"/>
      <c r="I639" s="115"/>
      <c r="J639" s="115"/>
      <c r="K639" s="115"/>
      <c r="L639" s="127"/>
      <c r="M639" s="128"/>
      <c r="N639" s="127"/>
      <c r="O639" s="115"/>
      <c r="P639" s="115"/>
      <c r="Q639" s="115"/>
      <c r="R639" s="115"/>
      <c r="S639" s="120"/>
      <c r="T639" s="120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</row>
    <row r="640" ht="18.0" customHeight="1">
      <c r="A640" s="114"/>
      <c r="B640" s="115"/>
      <c r="C640" s="115"/>
      <c r="D640" s="115"/>
      <c r="E640" s="116"/>
      <c r="F640" s="116"/>
      <c r="G640" s="115"/>
      <c r="H640" s="115"/>
      <c r="I640" s="115"/>
      <c r="J640" s="115"/>
      <c r="K640" s="115"/>
      <c r="L640" s="127"/>
      <c r="M640" s="128"/>
      <c r="N640" s="127"/>
      <c r="O640" s="115"/>
      <c r="P640" s="115"/>
      <c r="Q640" s="115"/>
      <c r="R640" s="115"/>
      <c r="S640" s="120"/>
      <c r="T640" s="120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</row>
    <row r="641" ht="18.0" customHeight="1">
      <c r="A641" s="114"/>
      <c r="B641" s="115"/>
      <c r="C641" s="115"/>
      <c r="D641" s="115"/>
      <c r="E641" s="116"/>
      <c r="F641" s="116"/>
      <c r="G641" s="115"/>
      <c r="H641" s="115"/>
      <c r="I641" s="115"/>
      <c r="J641" s="115"/>
      <c r="K641" s="115"/>
      <c r="L641" s="127"/>
      <c r="M641" s="128"/>
      <c r="N641" s="127"/>
      <c r="O641" s="115"/>
      <c r="P641" s="115"/>
      <c r="Q641" s="115"/>
      <c r="R641" s="115"/>
      <c r="S641" s="120"/>
      <c r="T641" s="120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</row>
    <row r="642" ht="18.0" customHeight="1">
      <c r="A642" s="114"/>
      <c r="B642" s="115"/>
      <c r="C642" s="115"/>
      <c r="D642" s="115"/>
      <c r="E642" s="116"/>
      <c r="F642" s="116"/>
      <c r="G642" s="115"/>
      <c r="H642" s="115"/>
      <c r="I642" s="115"/>
      <c r="J642" s="115"/>
      <c r="K642" s="115"/>
      <c r="L642" s="127"/>
      <c r="M642" s="128"/>
      <c r="N642" s="127"/>
      <c r="O642" s="115"/>
      <c r="P642" s="115"/>
      <c r="Q642" s="115"/>
      <c r="R642" s="115"/>
      <c r="S642" s="120"/>
      <c r="T642" s="120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</row>
    <row r="643" ht="18.0" customHeight="1">
      <c r="A643" s="114"/>
      <c r="B643" s="115"/>
      <c r="C643" s="115"/>
      <c r="D643" s="115"/>
      <c r="E643" s="116"/>
      <c r="F643" s="116"/>
      <c r="G643" s="115"/>
      <c r="H643" s="115"/>
      <c r="I643" s="115"/>
      <c r="J643" s="115"/>
      <c r="K643" s="115"/>
      <c r="L643" s="127"/>
      <c r="M643" s="128"/>
      <c r="N643" s="127"/>
      <c r="O643" s="115"/>
      <c r="P643" s="115"/>
      <c r="Q643" s="115"/>
      <c r="R643" s="115"/>
      <c r="S643" s="120"/>
      <c r="T643" s="120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</row>
    <row r="644" ht="18.0" customHeight="1">
      <c r="A644" s="114"/>
      <c r="B644" s="115"/>
      <c r="C644" s="115"/>
      <c r="D644" s="115"/>
      <c r="E644" s="116"/>
      <c r="F644" s="116"/>
      <c r="G644" s="115"/>
      <c r="H644" s="115"/>
      <c r="I644" s="115"/>
      <c r="J644" s="115"/>
      <c r="K644" s="115"/>
      <c r="L644" s="127"/>
      <c r="M644" s="128"/>
      <c r="N644" s="127"/>
      <c r="O644" s="115"/>
      <c r="P644" s="115"/>
      <c r="Q644" s="115"/>
      <c r="R644" s="115"/>
      <c r="S644" s="120"/>
      <c r="T644" s="120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</row>
    <row r="645" ht="18.0" customHeight="1">
      <c r="A645" s="114"/>
      <c r="B645" s="115"/>
      <c r="C645" s="115"/>
      <c r="D645" s="115"/>
      <c r="E645" s="116"/>
      <c r="F645" s="116"/>
      <c r="G645" s="115"/>
      <c r="H645" s="115"/>
      <c r="I645" s="115"/>
      <c r="J645" s="115"/>
      <c r="K645" s="115"/>
      <c r="L645" s="127"/>
      <c r="M645" s="128"/>
      <c r="N645" s="127"/>
      <c r="O645" s="115"/>
      <c r="P645" s="115"/>
      <c r="Q645" s="115"/>
      <c r="R645" s="115"/>
      <c r="S645" s="120"/>
      <c r="T645" s="120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</row>
    <row r="646" ht="18.0" customHeight="1">
      <c r="A646" s="114"/>
      <c r="B646" s="115"/>
      <c r="C646" s="115"/>
      <c r="D646" s="115"/>
      <c r="E646" s="116"/>
      <c r="F646" s="116"/>
      <c r="G646" s="115"/>
      <c r="H646" s="115"/>
      <c r="I646" s="115"/>
      <c r="J646" s="115"/>
      <c r="K646" s="115"/>
      <c r="L646" s="127"/>
      <c r="M646" s="128"/>
      <c r="N646" s="127"/>
      <c r="O646" s="115"/>
      <c r="P646" s="115"/>
      <c r="Q646" s="115"/>
      <c r="R646" s="115"/>
      <c r="S646" s="120"/>
      <c r="T646" s="120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</row>
    <row r="647" ht="18.0" customHeight="1">
      <c r="A647" s="114"/>
      <c r="B647" s="115"/>
      <c r="C647" s="115"/>
      <c r="D647" s="115"/>
      <c r="E647" s="116"/>
      <c r="F647" s="116"/>
      <c r="G647" s="115"/>
      <c r="H647" s="115"/>
      <c r="I647" s="115"/>
      <c r="J647" s="115"/>
      <c r="K647" s="115"/>
      <c r="L647" s="127"/>
      <c r="M647" s="128"/>
      <c r="N647" s="127"/>
      <c r="O647" s="115"/>
      <c r="P647" s="115"/>
      <c r="Q647" s="115"/>
      <c r="R647" s="115"/>
      <c r="S647" s="120"/>
      <c r="T647" s="120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</row>
    <row r="648" ht="18.0" customHeight="1">
      <c r="A648" s="114"/>
      <c r="B648" s="115"/>
      <c r="C648" s="115"/>
      <c r="D648" s="115"/>
      <c r="E648" s="116"/>
      <c r="F648" s="116"/>
      <c r="G648" s="115"/>
      <c r="H648" s="115"/>
      <c r="I648" s="115"/>
      <c r="J648" s="115"/>
      <c r="K648" s="115"/>
      <c r="L648" s="127"/>
      <c r="M648" s="128"/>
      <c r="N648" s="127"/>
      <c r="O648" s="115"/>
      <c r="P648" s="115"/>
      <c r="Q648" s="115"/>
      <c r="R648" s="115"/>
      <c r="S648" s="120"/>
      <c r="T648" s="120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</row>
    <row r="649" ht="18.0" customHeight="1">
      <c r="A649" s="114"/>
      <c r="B649" s="115"/>
      <c r="C649" s="115"/>
      <c r="D649" s="115"/>
      <c r="E649" s="116"/>
      <c r="F649" s="116"/>
      <c r="G649" s="115"/>
      <c r="H649" s="115"/>
      <c r="I649" s="115"/>
      <c r="J649" s="115"/>
      <c r="K649" s="115"/>
      <c r="L649" s="127"/>
      <c r="M649" s="128"/>
      <c r="N649" s="127"/>
      <c r="O649" s="115"/>
      <c r="P649" s="115"/>
      <c r="Q649" s="115"/>
      <c r="R649" s="115"/>
      <c r="S649" s="120"/>
      <c r="T649" s="120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</row>
    <row r="650" ht="18.0" customHeight="1">
      <c r="A650" s="114"/>
      <c r="B650" s="115"/>
      <c r="C650" s="115"/>
      <c r="D650" s="115"/>
      <c r="E650" s="116"/>
      <c r="F650" s="116"/>
      <c r="G650" s="115"/>
      <c r="H650" s="115"/>
      <c r="I650" s="115"/>
      <c r="J650" s="115"/>
      <c r="K650" s="115"/>
      <c r="L650" s="127"/>
      <c r="M650" s="128"/>
      <c r="N650" s="127"/>
      <c r="O650" s="115"/>
      <c r="P650" s="115"/>
      <c r="Q650" s="115"/>
      <c r="R650" s="115"/>
      <c r="S650" s="120"/>
      <c r="T650" s="120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</row>
    <row r="651" ht="18.0" customHeight="1">
      <c r="A651" s="114"/>
      <c r="B651" s="115"/>
      <c r="C651" s="115"/>
      <c r="D651" s="115"/>
      <c r="E651" s="116"/>
      <c r="F651" s="116"/>
      <c r="G651" s="115"/>
      <c r="H651" s="115"/>
      <c r="I651" s="115"/>
      <c r="J651" s="115"/>
      <c r="K651" s="115"/>
      <c r="L651" s="127"/>
      <c r="M651" s="128"/>
      <c r="N651" s="127"/>
      <c r="O651" s="115"/>
      <c r="P651" s="115"/>
      <c r="Q651" s="115"/>
      <c r="R651" s="115"/>
      <c r="S651" s="120"/>
      <c r="T651" s="120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</row>
    <row r="652" ht="18.0" customHeight="1">
      <c r="A652" s="114"/>
      <c r="B652" s="115"/>
      <c r="C652" s="115"/>
      <c r="D652" s="115"/>
      <c r="E652" s="116"/>
      <c r="F652" s="116"/>
      <c r="G652" s="115"/>
      <c r="H652" s="115"/>
      <c r="I652" s="115"/>
      <c r="J652" s="115"/>
      <c r="K652" s="115"/>
      <c r="L652" s="127"/>
      <c r="M652" s="128"/>
      <c r="N652" s="127"/>
      <c r="O652" s="115"/>
      <c r="P652" s="115"/>
      <c r="Q652" s="115"/>
      <c r="R652" s="115"/>
      <c r="S652" s="120"/>
      <c r="T652" s="120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</row>
    <row r="653" ht="18.0" customHeight="1">
      <c r="A653" s="114"/>
      <c r="B653" s="115"/>
      <c r="C653" s="115"/>
      <c r="D653" s="115"/>
      <c r="E653" s="116"/>
      <c r="F653" s="116"/>
      <c r="G653" s="115"/>
      <c r="H653" s="115"/>
      <c r="I653" s="115"/>
      <c r="J653" s="115"/>
      <c r="K653" s="115"/>
      <c r="L653" s="127"/>
      <c r="M653" s="128"/>
      <c r="N653" s="127"/>
      <c r="O653" s="115"/>
      <c r="P653" s="115"/>
      <c r="Q653" s="115"/>
      <c r="R653" s="115"/>
      <c r="S653" s="120"/>
      <c r="T653" s="120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</row>
    <row r="654" ht="18.0" customHeight="1">
      <c r="A654" s="114"/>
      <c r="B654" s="115"/>
      <c r="C654" s="115"/>
      <c r="D654" s="115"/>
      <c r="E654" s="116"/>
      <c r="F654" s="116"/>
      <c r="G654" s="115"/>
      <c r="H654" s="115"/>
      <c r="I654" s="115"/>
      <c r="J654" s="115"/>
      <c r="K654" s="115"/>
      <c r="L654" s="127"/>
      <c r="M654" s="128"/>
      <c r="N654" s="127"/>
      <c r="O654" s="115"/>
      <c r="P654" s="115"/>
      <c r="Q654" s="115"/>
      <c r="R654" s="115"/>
      <c r="S654" s="120"/>
      <c r="T654" s="120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</row>
    <row r="655" ht="18.0" customHeight="1">
      <c r="A655" s="114"/>
      <c r="B655" s="115"/>
      <c r="C655" s="115"/>
      <c r="D655" s="115"/>
      <c r="E655" s="116"/>
      <c r="F655" s="116"/>
      <c r="G655" s="115"/>
      <c r="H655" s="115"/>
      <c r="I655" s="115"/>
      <c r="J655" s="115"/>
      <c r="K655" s="115"/>
      <c r="L655" s="127"/>
      <c r="M655" s="128"/>
      <c r="N655" s="127"/>
      <c r="O655" s="115"/>
      <c r="P655" s="115"/>
      <c r="Q655" s="115"/>
      <c r="R655" s="115"/>
      <c r="S655" s="120"/>
      <c r="T655" s="120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</row>
    <row r="656" ht="18.0" customHeight="1">
      <c r="A656" s="114"/>
      <c r="B656" s="115"/>
      <c r="C656" s="115"/>
      <c r="D656" s="115"/>
      <c r="E656" s="116"/>
      <c r="F656" s="116"/>
      <c r="G656" s="115"/>
      <c r="H656" s="115"/>
      <c r="I656" s="115"/>
      <c r="J656" s="115"/>
      <c r="K656" s="115"/>
      <c r="L656" s="127"/>
      <c r="M656" s="128"/>
      <c r="N656" s="127"/>
      <c r="O656" s="115"/>
      <c r="P656" s="115"/>
      <c r="Q656" s="115"/>
      <c r="R656" s="115"/>
      <c r="S656" s="120"/>
      <c r="T656" s="120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</row>
    <row r="657" ht="18.0" customHeight="1">
      <c r="A657" s="114"/>
      <c r="B657" s="115"/>
      <c r="C657" s="115"/>
      <c r="D657" s="115"/>
      <c r="E657" s="116"/>
      <c r="F657" s="116"/>
      <c r="G657" s="115"/>
      <c r="H657" s="115"/>
      <c r="I657" s="115"/>
      <c r="J657" s="115"/>
      <c r="K657" s="115"/>
      <c r="L657" s="127"/>
      <c r="M657" s="128"/>
      <c r="N657" s="127"/>
      <c r="O657" s="115"/>
      <c r="P657" s="115"/>
      <c r="Q657" s="115"/>
      <c r="R657" s="115"/>
      <c r="S657" s="120"/>
      <c r="T657" s="120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</row>
    <row r="658" ht="18.0" customHeight="1">
      <c r="A658" s="114"/>
      <c r="B658" s="115"/>
      <c r="C658" s="115"/>
      <c r="D658" s="115"/>
      <c r="E658" s="116"/>
      <c r="F658" s="116"/>
      <c r="G658" s="115"/>
      <c r="H658" s="115"/>
      <c r="I658" s="115"/>
      <c r="J658" s="115"/>
      <c r="K658" s="115"/>
      <c r="L658" s="127"/>
      <c r="M658" s="128"/>
      <c r="N658" s="127"/>
      <c r="O658" s="115"/>
      <c r="P658" s="115"/>
      <c r="Q658" s="115"/>
      <c r="R658" s="115"/>
      <c r="S658" s="120"/>
      <c r="T658" s="120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</row>
    <row r="659" ht="18.0" customHeight="1">
      <c r="A659" s="114"/>
      <c r="B659" s="115"/>
      <c r="C659" s="115"/>
      <c r="D659" s="115"/>
      <c r="E659" s="116"/>
      <c r="F659" s="116"/>
      <c r="G659" s="115"/>
      <c r="H659" s="115"/>
      <c r="I659" s="115"/>
      <c r="J659" s="115"/>
      <c r="K659" s="115"/>
      <c r="L659" s="127"/>
      <c r="M659" s="128"/>
      <c r="N659" s="127"/>
      <c r="O659" s="115"/>
      <c r="P659" s="115"/>
      <c r="Q659" s="115"/>
      <c r="R659" s="115"/>
      <c r="S659" s="120"/>
      <c r="T659" s="120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</row>
    <row r="660" ht="18.0" customHeight="1">
      <c r="A660" s="114"/>
      <c r="B660" s="115"/>
      <c r="C660" s="115"/>
      <c r="D660" s="115"/>
      <c r="E660" s="116"/>
      <c r="F660" s="116"/>
      <c r="G660" s="115"/>
      <c r="H660" s="115"/>
      <c r="I660" s="115"/>
      <c r="J660" s="115"/>
      <c r="K660" s="115"/>
      <c r="L660" s="127"/>
      <c r="M660" s="128"/>
      <c r="N660" s="127"/>
      <c r="O660" s="115"/>
      <c r="P660" s="115"/>
      <c r="Q660" s="115"/>
      <c r="R660" s="115"/>
      <c r="S660" s="120"/>
      <c r="T660" s="120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</row>
    <row r="661" ht="18.0" customHeight="1">
      <c r="A661" s="114"/>
      <c r="B661" s="115"/>
      <c r="C661" s="115"/>
      <c r="D661" s="115"/>
      <c r="E661" s="116"/>
      <c r="F661" s="116"/>
      <c r="G661" s="115"/>
      <c r="H661" s="115"/>
      <c r="I661" s="115"/>
      <c r="J661" s="115"/>
      <c r="K661" s="115"/>
      <c r="L661" s="127"/>
      <c r="M661" s="128"/>
      <c r="N661" s="127"/>
      <c r="O661" s="115"/>
      <c r="P661" s="115"/>
      <c r="Q661" s="115"/>
      <c r="R661" s="115"/>
      <c r="S661" s="120"/>
      <c r="T661" s="120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</row>
    <row r="662" ht="18.0" customHeight="1">
      <c r="A662" s="114"/>
      <c r="B662" s="115"/>
      <c r="C662" s="115"/>
      <c r="D662" s="115"/>
      <c r="E662" s="116"/>
      <c r="F662" s="116"/>
      <c r="G662" s="115"/>
      <c r="H662" s="115"/>
      <c r="I662" s="115"/>
      <c r="J662" s="115"/>
      <c r="K662" s="115"/>
      <c r="L662" s="127"/>
      <c r="M662" s="128"/>
      <c r="N662" s="127"/>
      <c r="O662" s="115"/>
      <c r="P662" s="115"/>
      <c r="Q662" s="115"/>
      <c r="R662" s="115"/>
      <c r="S662" s="120"/>
      <c r="T662" s="120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</row>
    <row r="663" ht="18.0" customHeight="1">
      <c r="A663" s="114"/>
      <c r="B663" s="115"/>
      <c r="C663" s="115"/>
      <c r="D663" s="115"/>
      <c r="E663" s="116"/>
      <c r="F663" s="116"/>
      <c r="G663" s="115"/>
      <c r="H663" s="115"/>
      <c r="I663" s="115"/>
      <c r="J663" s="115"/>
      <c r="K663" s="115"/>
      <c r="L663" s="127"/>
      <c r="M663" s="128"/>
      <c r="N663" s="127"/>
      <c r="O663" s="115"/>
      <c r="P663" s="115"/>
      <c r="Q663" s="115"/>
      <c r="R663" s="115"/>
      <c r="S663" s="120"/>
      <c r="T663" s="120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</row>
    <row r="664" ht="18.0" customHeight="1">
      <c r="A664" s="114"/>
      <c r="B664" s="115"/>
      <c r="C664" s="115"/>
      <c r="D664" s="115"/>
      <c r="E664" s="116"/>
      <c r="F664" s="116"/>
      <c r="G664" s="115"/>
      <c r="H664" s="115"/>
      <c r="I664" s="115"/>
      <c r="J664" s="115"/>
      <c r="K664" s="115"/>
      <c r="L664" s="127"/>
      <c r="M664" s="128"/>
      <c r="N664" s="127"/>
      <c r="O664" s="115"/>
      <c r="P664" s="115"/>
      <c r="Q664" s="115"/>
      <c r="R664" s="115"/>
      <c r="S664" s="120"/>
      <c r="T664" s="120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</row>
    <row r="665" ht="18.0" customHeight="1">
      <c r="A665" s="114"/>
      <c r="B665" s="115"/>
      <c r="C665" s="115"/>
      <c r="D665" s="115"/>
      <c r="E665" s="116"/>
      <c r="F665" s="116"/>
      <c r="G665" s="115"/>
      <c r="H665" s="115"/>
      <c r="I665" s="115"/>
      <c r="J665" s="115"/>
      <c r="K665" s="115"/>
      <c r="L665" s="127"/>
      <c r="M665" s="128"/>
      <c r="N665" s="127"/>
      <c r="O665" s="115"/>
      <c r="P665" s="115"/>
      <c r="Q665" s="115"/>
      <c r="R665" s="115"/>
      <c r="S665" s="120"/>
      <c r="T665" s="120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</row>
    <row r="666" ht="18.0" customHeight="1">
      <c r="A666" s="114"/>
      <c r="B666" s="115"/>
      <c r="C666" s="115"/>
      <c r="D666" s="115"/>
      <c r="E666" s="116"/>
      <c r="F666" s="116"/>
      <c r="G666" s="115"/>
      <c r="H666" s="115"/>
      <c r="I666" s="115"/>
      <c r="J666" s="115"/>
      <c r="K666" s="115"/>
      <c r="L666" s="127"/>
      <c r="M666" s="128"/>
      <c r="N666" s="127"/>
      <c r="O666" s="115"/>
      <c r="P666" s="115"/>
      <c r="Q666" s="115"/>
      <c r="R666" s="115"/>
      <c r="S666" s="120"/>
      <c r="T666" s="120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</row>
    <row r="667" ht="18.0" customHeight="1">
      <c r="A667" s="114"/>
      <c r="B667" s="115"/>
      <c r="C667" s="115"/>
      <c r="D667" s="115"/>
      <c r="E667" s="116"/>
      <c r="F667" s="116"/>
      <c r="G667" s="115"/>
      <c r="H667" s="115"/>
      <c r="I667" s="115"/>
      <c r="J667" s="115"/>
      <c r="K667" s="115"/>
      <c r="L667" s="127"/>
      <c r="M667" s="128"/>
      <c r="N667" s="127"/>
      <c r="O667" s="115"/>
      <c r="P667" s="115"/>
      <c r="Q667" s="115"/>
      <c r="R667" s="115"/>
      <c r="S667" s="120"/>
      <c r="T667" s="120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</row>
    <row r="668" ht="18.0" customHeight="1">
      <c r="A668" s="114"/>
      <c r="B668" s="115"/>
      <c r="C668" s="115"/>
      <c r="D668" s="115"/>
      <c r="E668" s="116"/>
      <c r="F668" s="116"/>
      <c r="G668" s="115"/>
      <c r="H668" s="115"/>
      <c r="I668" s="115"/>
      <c r="J668" s="115"/>
      <c r="K668" s="115"/>
      <c r="L668" s="127"/>
      <c r="M668" s="128"/>
      <c r="N668" s="127"/>
      <c r="O668" s="115"/>
      <c r="P668" s="115"/>
      <c r="Q668" s="115"/>
      <c r="R668" s="115"/>
      <c r="S668" s="120"/>
      <c r="T668" s="120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</row>
    <row r="669" ht="18.0" customHeight="1">
      <c r="A669" s="114"/>
      <c r="B669" s="115"/>
      <c r="C669" s="115"/>
      <c r="D669" s="115"/>
      <c r="E669" s="116"/>
      <c r="F669" s="116"/>
      <c r="G669" s="115"/>
      <c r="H669" s="115"/>
      <c r="I669" s="115"/>
      <c r="J669" s="115"/>
      <c r="K669" s="115"/>
      <c r="L669" s="127"/>
      <c r="M669" s="128"/>
      <c r="N669" s="127"/>
      <c r="O669" s="115"/>
      <c r="P669" s="115"/>
      <c r="Q669" s="115"/>
      <c r="R669" s="115"/>
      <c r="S669" s="120"/>
      <c r="T669" s="120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</row>
    <row r="670" ht="18.0" customHeight="1">
      <c r="A670" s="114"/>
      <c r="B670" s="115"/>
      <c r="C670" s="115"/>
      <c r="D670" s="115"/>
      <c r="E670" s="116"/>
      <c r="F670" s="116"/>
      <c r="G670" s="115"/>
      <c r="H670" s="115"/>
      <c r="I670" s="115"/>
      <c r="J670" s="115"/>
      <c r="K670" s="115"/>
      <c r="L670" s="127"/>
      <c r="M670" s="128"/>
      <c r="N670" s="127"/>
      <c r="O670" s="115"/>
      <c r="P670" s="115"/>
      <c r="Q670" s="115"/>
      <c r="R670" s="115"/>
      <c r="S670" s="120"/>
      <c r="T670" s="120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</row>
    <row r="671" ht="18.0" customHeight="1">
      <c r="A671" s="114"/>
      <c r="B671" s="115"/>
      <c r="C671" s="115"/>
      <c r="D671" s="115"/>
      <c r="E671" s="116"/>
      <c r="F671" s="116"/>
      <c r="G671" s="115"/>
      <c r="H671" s="115"/>
      <c r="I671" s="115"/>
      <c r="J671" s="115"/>
      <c r="K671" s="115"/>
      <c r="L671" s="127"/>
      <c r="M671" s="128"/>
      <c r="N671" s="127"/>
      <c r="O671" s="115"/>
      <c r="P671" s="115"/>
      <c r="Q671" s="115"/>
      <c r="R671" s="115"/>
      <c r="S671" s="120"/>
      <c r="T671" s="120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</row>
    <row r="672" ht="18.0" customHeight="1">
      <c r="A672" s="114"/>
      <c r="B672" s="115"/>
      <c r="C672" s="115"/>
      <c r="D672" s="115"/>
      <c r="E672" s="116"/>
      <c r="F672" s="116"/>
      <c r="G672" s="115"/>
      <c r="H672" s="115"/>
      <c r="I672" s="115"/>
      <c r="J672" s="115"/>
      <c r="K672" s="115"/>
      <c r="L672" s="127"/>
      <c r="M672" s="128"/>
      <c r="N672" s="127"/>
      <c r="O672" s="115"/>
      <c r="P672" s="115"/>
      <c r="Q672" s="115"/>
      <c r="R672" s="115"/>
      <c r="S672" s="120"/>
      <c r="T672" s="120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</row>
    <row r="673" ht="18.0" customHeight="1">
      <c r="A673" s="114"/>
      <c r="B673" s="115"/>
      <c r="C673" s="115"/>
      <c r="D673" s="115"/>
      <c r="E673" s="116"/>
      <c r="F673" s="116"/>
      <c r="G673" s="115"/>
      <c r="H673" s="115"/>
      <c r="I673" s="115"/>
      <c r="J673" s="115"/>
      <c r="K673" s="115"/>
      <c r="L673" s="127"/>
      <c r="M673" s="128"/>
      <c r="N673" s="127"/>
      <c r="O673" s="115"/>
      <c r="P673" s="115"/>
      <c r="Q673" s="115"/>
      <c r="R673" s="115"/>
      <c r="S673" s="120"/>
      <c r="T673" s="120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</row>
    <row r="674" ht="18.0" customHeight="1">
      <c r="A674" s="114"/>
      <c r="B674" s="115"/>
      <c r="C674" s="115"/>
      <c r="D674" s="115"/>
      <c r="E674" s="116"/>
      <c r="F674" s="116"/>
      <c r="G674" s="115"/>
      <c r="H674" s="115"/>
      <c r="I674" s="115"/>
      <c r="J674" s="115"/>
      <c r="K674" s="115"/>
      <c r="L674" s="127"/>
      <c r="M674" s="128"/>
      <c r="N674" s="127"/>
      <c r="O674" s="115"/>
      <c r="P674" s="115"/>
      <c r="Q674" s="115"/>
      <c r="R674" s="115"/>
      <c r="S674" s="120"/>
      <c r="T674" s="120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</row>
    <row r="675" ht="18.0" customHeight="1">
      <c r="A675" s="114"/>
      <c r="B675" s="115"/>
      <c r="C675" s="115"/>
      <c r="D675" s="115"/>
      <c r="E675" s="116"/>
      <c r="F675" s="116"/>
      <c r="G675" s="115"/>
      <c r="H675" s="115"/>
      <c r="I675" s="115"/>
      <c r="J675" s="115"/>
      <c r="K675" s="115"/>
      <c r="L675" s="127"/>
      <c r="M675" s="128"/>
      <c r="N675" s="127"/>
      <c r="O675" s="115"/>
      <c r="P675" s="115"/>
      <c r="Q675" s="115"/>
      <c r="R675" s="115"/>
      <c r="S675" s="120"/>
      <c r="T675" s="120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</row>
    <row r="676" ht="18.0" customHeight="1">
      <c r="A676" s="114"/>
      <c r="B676" s="115"/>
      <c r="C676" s="115"/>
      <c r="D676" s="115"/>
      <c r="E676" s="116"/>
      <c r="F676" s="116"/>
      <c r="G676" s="115"/>
      <c r="H676" s="115"/>
      <c r="I676" s="115"/>
      <c r="J676" s="115"/>
      <c r="K676" s="115"/>
      <c r="L676" s="127"/>
      <c r="M676" s="128"/>
      <c r="N676" s="127"/>
      <c r="O676" s="115"/>
      <c r="P676" s="115"/>
      <c r="Q676" s="115"/>
      <c r="R676" s="115"/>
      <c r="S676" s="120"/>
      <c r="T676" s="120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</row>
    <row r="677" ht="18.0" customHeight="1">
      <c r="A677" s="114"/>
      <c r="B677" s="115"/>
      <c r="C677" s="115"/>
      <c r="D677" s="115"/>
      <c r="E677" s="116"/>
      <c r="F677" s="116"/>
      <c r="G677" s="115"/>
      <c r="H677" s="115"/>
      <c r="I677" s="115"/>
      <c r="J677" s="115"/>
      <c r="K677" s="115"/>
      <c r="L677" s="127"/>
      <c r="M677" s="128"/>
      <c r="N677" s="127"/>
      <c r="O677" s="115"/>
      <c r="P677" s="115"/>
      <c r="Q677" s="115"/>
      <c r="R677" s="115"/>
      <c r="S677" s="120"/>
      <c r="T677" s="120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</row>
    <row r="678" ht="18.0" customHeight="1">
      <c r="A678" s="114"/>
      <c r="B678" s="115"/>
      <c r="C678" s="115"/>
      <c r="D678" s="115"/>
      <c r="E678" s="116"/>
      <c r="F678" s="116"/>
      <c r="G678" s="115"/>
      <c r="H678" s="115"/>
      <c r="I678" s="115"/>
      <c r="J678" s="115"/>
      <c r="K678" s="115"/>
      <c r="L678" s="127"/>
      <c r="M678" s="128"/>
      <c r="N678" s="127"/>
      <c r="O678" s="115"/>
      <c r="P678" s="115"/>
      <c r="Q678" s="115"/>
      <c r="R678" s="115"/>
      <c r="S678" s="120"/>
      <c r="T678" s="120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</row>
    <row r="679" ht="18.0" customHeight="1">
      <c r="A679" s="114"/>
      <c r="B679" s="115"/>
      <c r="C679" s="115"/>
      <c r="D679" s="115"/>
      <c r="E679" s="116"/>
      <c r="F679" s="116"/>
      <c r="G679" s="115"/>
      <c r="H679" s="115"/>
      <c r="I679" s="115"/>
      <c r="J679" s="115"/>
      <c r="K679" s="115"/>
      <c r="L679" s="127"/>
      <c r="M679" s="128"/>
      <c r="N679" s="127"/>
      <c r="O679" s="115"/>
      <c r="P679" s="115"/>
      <c r="Q679" s="115"/>
      <c r="R679" s="115"/>
      <c r="S679" s="120"/>
      <c r="T679" s="120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</row>
    <row r="680" ht="18.0" customHeight="1">
      <c r="A680" s="114"/>
      <c r="B680" s="115"/>
      <c r="C680" s="115"/>
      <c r="D680" s="115"/>
      <c r="E680" s="116"/>
      <c r="F680" s="116"/>
      <c r="G680" s="115"/>
      <c r="H680" s="115"/>
      <c r="I680" s="115"/>
      <c r="J680" s="115"/>
      <c r="K680" s="115"/>
      <c r="L680" s="127"/>
      <c r="M680" s="128"/>
      <c r="N680" s="127"/>
      <c r="O680" s="115"/>
      <c r="P680" s="115"/>
      <c r="Q680" s="115"/>
      <c r="R680" s="115"/>
      <c r="S680" s="120"/>
      <c r="T680" s="120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</row>
    <row r="681" ht="18.0" customHeight="1">
      <c r="A681" s="114"/>
      <c r="B681" s="115"/>
      <c r="C681" s="115"/>
      <c r="D681" s="115"/>
      <c r="E681" s="116"/>
      <c r="F681" s="116"/>
      <c r="G681" s="115"/>
      <c r="H681" s="115"/>
      <c r="I681" s="115"/>
      <c r="J681" s="115"/>
      <c r="K681" s="115"/>
      <c r="L681" s="127"/>
      <c r="M681" s="128"/>
      <c r="N681" s="127"/>
      <c r="O681" s="115"/>
      <c r="P681" s="115"/>
      <c r="Q681" s="115"/>
      <c r="R681" s="115"/>
      <c r="S681" s="120"/>
      <c r="T681" s="120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</row>
    <row r="682" ht="18.0" customHeight="1">
      <c r="A682" s="114"/>
      <c r="B682" s="115"/>
      <c r="C682" s="115"/>
      <c r="D682" s="115"/>
      <c r="E682" s="116"/>
      <c r="F682" s="116"/>
      <c r="G682" s="115"/>
      <c r="H682" s="115"/>
      <c r="I682" s="115"/>
      <c r="J682" s="115"/>
      <c r="K682" s="115"/>
      <c r="L682" s="127"/>
      <c r="M682" s="128"/>
      <c r="N682" s="127"/>
      <c r="O682" s="115"/>
      <c r="P682" s="115"/>
      <c r="Q682" s="115"/>
      <c r="R682" s="115"/>
      <c r="S682" s="120"/>
      <c r="T682" s="120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</row>
    <row r="683" ht="18.0" customHeight="1">
      <c r="A683" s="114"/>
      <c r="B683" s="115"/>
      <c r="C683" s="115"/>
      <c r="D683" s="115"/>
      <c r="E683" s="116"/>
      <c r="F683" s="116"/>
      <c r="G683" s="115"/>
      <c r="H683" s="115"/>
      <c r="I683" s="115"/>
      <c r="J683" s="115"/>
      <c r="K683" s="115"/>
      <c r="L683" s="127"/>
      <c r="M683" s="128"/>
      <c r="N683" s="127"/>
      <c r="O683" s="115"/>
      <c r="P683" s="115"/>
      <c r="Q683" s="115"/>
      <c r="R683" s="115"/>
      <c r="S683" s="120"/>
      <c r="T683" s="120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</row>
    <row r="684" ht="18.0" customHeight="1">
      <c r="A684" s="114"/>
      <c r="B684" s="115"/>
      <c r="C684" s="115"/>
      <c r="D684" s="115"/>
      <c r="E684" s="116"/>
      <c r="F684" s="116"/>
      <c r="G684" s="115"/>
      <c r="H684" s="115"/>
      <c r="I684" s="115"/>
      <c r="J684" s="115"/>
      <c r="K684" s="115"/>
      <c r="L684" s="127"/>
      <c r="M684" s="128"/>
      <c r="N684" s="127"/>
      <c r="O684" s="115"/>
      <c r="P684" s="115"/>
      <c r="Q684" s="115"/>
      <c r="R684" s="115"/>
      <c r="S684" s="120"/>
      <c r="T684" s="120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</row>
    <row r="685" ht="18.0" customHeight="1">
      <c r="A685" s="114"/>
      <c r="B685" s="115"/>
      <c r="C685" s="115"/>
      <c r="D685" s="115"/>
      <c r="E685" s="116"/>
      <c r="F685" s="116"/>
      <c r="G685" s="115"/>
      <c r="H685" s="115"/>
      <c r="I685" s="115"/>
      <c r="J685" s="115"/>
      <c r="K685" s="115"/>
      <c r="L685" s="127"/>
      <c r="M685" s="128"/>
      <c r="N685" s="127"/>
      <c r="O685" s="115"/>
      <c r="P685" s="115"/>
      <c r="Q685" s="115"/>
      <c r="R685" s="115"/>
      <c r="S685" s="120"/>
      <c r="T685" s="120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</row>
    <row r="686" ht="18.0" customHeight="1">
      <c r="A686" s="114"/>
      <c r="B686" s="115"/>
      <c r="C686" s="115"/>
      <c r="D686" s="115"/>
      <c r="E686" s="116"/>
      <c r="F686" s="116"/>
      <c r="G686" s="115"/>
      <c r="H686" s="115"/>
      <c r="I686" s="115"/>
      <c r="J686" s="115"/>
      <c r="K686" s="115"/>
      <c r="L686" s="127"/>
      <c r="M686" s="128"/>
      <c r="N686" s="127"/>
      <c r="O686" s="115"/>
      <c r="P686" s="115"/>
      <c r="Q686" s="115"/>
      <c r="R686" s="115"/>
      <c r="S686" s="120"/>
      <c r="T686" s="120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</row>
    <row r="687" ht="18.0" customHeight="1">
      <c r="A687" s="114"/>
      <c r="B687" s="115"/>
      <c r="C687" s="115"/>
      <c r="D687" s="115"/>
      <c r="E687" s="116"/>
      <c r="F687" s="116"/>
      <c r="G687" s="115"/>
      <c r="H687" s="115"/>
      <c r="I687" s="115"/>
      <c r="J687" s="115"/>
      <c r="K687" s="115"/>
      <c r="L687" s="127"/>
      <c r="M687" s="128"/>
      <c r="N687" s="127"/>
      <c r="O687" s="115"/>
      <c r="P687" s="115"/>
      <c r="Q687" s="115"/>
      <c r="R687" s="115"/>
      <c r="S687" s="120"/>
      <c r="T687" s="120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</row>
    <row r="688" ht="18.0" customHeight="1">
      <c r="A688" s="114"/>
      <c r="B688" s="115"/>
      <c r="C688" s="115"/>
      <c r="D688" s="115"/>
      <c r="E688" s="116"/>
      <c r="F688" s="116"/>
      <c r="G688" s="115"/>
      <c r="H688" s="115"/>
      <c r="I688" s="115"/>
      <c r="J688" s="115"/>
      <c r="K688" s="115"/>
      <c r="L688" s="127"/>
      <c r="M688" s="128"/>
      <c r="N688" s="127"/>
      <c r="O688" s="115"/>
      <c r="P688" s="115"/>
      <c r="Q688" s="115"/>
      <c r="R688" s="115"/>
      <c r="S688" s="120"/>
      <c r="T688" s="120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</row>
    <row r="689" ht="18.0" customHeight="1">
      <c r="A689" s="114"/>
      <c r="B689" s="115"/>
      <c r="C689" s="115"/>
      <c r="D689" s="115"/>
      <c r="E689" s="116"/>
      <c r="F689" s="116"/>
      <c r="G689" s="115"/>
      <c r="H689" s="115"/>
      <c r="I689" s="115"/>
      <c r="J689" s="115"/>
      <c r="K689" s="115"/>
      <c r="L689" s="127"/>
      <c r="M689" s="128"/>
      <c r="N689" s="127"/>
      <c r="O689" s="115"/>
      <c r="P689" s="115"/>
      <c r="Q689" s="115"/>
      <c r="R689" s="115"/>
      <c r="S689" s="120"/>
      <c r="T689" s="120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</row>
    <row r="690" ht="18.0" customHeight="1">
      <c r="A690" s="114"/>
      <c r="B690" s="115"/>
      <c r="C690" s="115"/>
      <c r="D690" s="115"/>
      <c r="E690" s="116"/>
      <c r="F690" s="116"/>
      <c r="G690" s="115"/>
      <c r="H690" s="115"/>
      <c r="I690" s="115"/>
      <c r="J690" s="115"/>
      <c r="K690" s="115"/>
      <c r="L690" s="127"/>
      <c r="M690" s="128"/>
      <c r="N690" s="127"/>
      <c r="O690" s="115"/>
      <c r="P690" s="115"/>
      <c r="Q690" s="115"/>
      <c r="R690" s="115"/>
      <c r="S690" s="120"/>
      <c r="T690" s="120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</row>
    <row r="691" ht="18.0" customHeight="1">
      <c r="A691" s="114"/>
      <c r="B691" s="115"/>
      <c r="C691" s="115"/>
      <c r="D691" s="115"/>
      <c r="E691" s="116"/>
      <c r="F691" s="116"/>
      <c r="G691" s="115"/>
      <c r="H691" s="115"/>
      <c r="I691" s="115"/>
      <c r="J691" s="115"/>
      <c r="K691" s="115"/>
      <c r="L691" s="127"/>
      <c r="M691" s="128"/>
      <c r="N691" s="127"/>
      <c r="O691" s="115"/>
      <c r="P691" s="115"/>
      <c r="Q691" s="115"/>
      <c r="R691" s="115"/>
      <c r="S691" s="120"/>
      <c r="T691" s="120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</row>
    <row r="692" ht="18.0" customHeight="1">
      <c r="A692" s="114"/>
      <c r="B692" s="115"/>
      <c r="C692" s="115"/>
      <c r="D692" s="115"/>
      <c r="E692" s="116"/>
      <c r="F692" s="116"/>
      <c r="G692" s="115"/>
      <c r="H692" s="115"/>
      <c r="I692" s="115"/>
      <c r="J692" s="115"/>
      <c r="K692" s="115"/>
      <c r="L692" s="127"/>
      <c r="M692" s="128"/>
      <c r="N692" s="127"/>
      <c r="O692" s="115"/>
      <c r="P692" s="115"/>
      <c r="Q692" s="115"/>
      <c r="R692" s="115"/>
      <c r="S692" s="120"/>
      <c r="T692" s="120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</row>
    <row r="693" ht="18.0" customHeight="1">
      <c r="A693" s="114"/>
      <c r="B693" s="115"/>
      <c r="C693" s="115"/>
      <c r="D693" s="115"/>
      <c r="E693" s="116"/>
      <c r="F693" s="116"/>
      <c r="G693" s="115"/>
      <c r="H693" s="115"/>
      <c r="I693" s="115"/>
      <c r="J693" s="115"/>
      <c r="K693" s="115"/>
      <c r="L693" s="127"/>
      <c r="M693" s="128"/>
      <c r="N693" s="127"/>
      <c r="O693" s="115"/>
      <c r="P693" s="115"/>
      <c r="Q693" s="115"/>
      <c r="R693" s="115"/>
      <c r="S693" s="120"/>
      <c r="T693" s="120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</row>
    <row r="694" ht="18.0" customHeight="1">
      <c r="A694" s="114"/>
      <c r="B694" s="115"/>
      <c r="C694" s="115"/>
      <c r="D694" s="115"/>
      <c r="E694" s="116"/>
      <c r="F694" s="116"/>
      <c r="G694" s="115"/>
      <c r="H694" s="115"/>
      <c r="I694" s="115"/>
      <c r="J694" s="115"/>
      <c r="K694" s="115"/>
      <c r="L694" s="127"/>
      <c r="M694" s="128"/>
      <c r="N694" s="127"/>
      <c r="O694" s="115"/>
      <c r="P694" s="115"/>
      <c r="Q694" s="115"/>
      <c r="R694" s="115"/>
      <c r="S694" s="120"/>
      <c r="T694" s="120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</row>
    <row r="695" ht="18.0" customHeight="1">
      <c r="A695" s="114"/>
      <c r="B695" s="115"/>
      <c r="C695" s="115"/>
      <c r="D695" s="115"/>
      <c r="E695" s="116"/>
      <c r="F695" s="116"/>
      <c r="G695" s="115"/>
      <c r="H695" s="115"/>
      <c r="I695" s="115"/>
      <c r="J695" s="115"/>
      <c r="K695" s="115"/>
      <c r="L695" s="127"/>
      <c r="M695" s="128"/>
      <c r="N695" s="127"/>
      <c r="O695" s="115"/>
      <c r="P695" s="115"/>
      <c r="Q695" s="115"/>
      <c r="R695" s="115"/>
      <c r="S695" s="120"/>
      <c r="T695" s="120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</row>
    <row r="696" ht="18.0" customHeight="1">
      <c r="A696" s="114"/>
      <c r="B696" s="115"/>
      <c r="C696" s="115"/>
      <c r="D696" s="115"/>
      <c r="E696" s="116"/>
      <c r="F696" s="116"/>
      <c r="G696" s="115"/>
      <c r="H696" s="115"/>
      <c r="I696" s="115"/>
      <c r="J696" s="115"/>
      <c r="K696" s="115"/>
      <c r="L696" s="127"/>
      <c r="M696" s="128"/>
      <c r="N696" s="127"/>
      <c r="O696" s="115"/>
      <c r="P696" s="115"/>
      <c r="Q696" s="115"/>
      <c r="R696" s="115"/>
      <c r="S696" s="120"/>
      <c r="T696" s="120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</row>
    <row r="697" ht="18.0" customHeight="1">
      <c r="A697" s="114"/>
      <c r="B697" s="115"/>
      <c r="C697" s="115"/>
      <c r="D697" s="115"/>
      <c r="E697" s="116"/>
      <c r="F697" s="116"/>
      <c r="G697" s="115"/>
      <c r="H697" s="115"/>
      <c r="I697" s="115"/>
      <c r="J697" s="115"/>
      <c r="K697" s="115"/>
      <c r="L697" s="127"/>
      <c r="M697" s="128"/>
      <c r="N697" s="127"/>
      <c r="O697" s="115"/>
      <c r="P697" s="115"/>
      <c r="Q697" s="115"/>
      <c r="R697" s="115"/>
      <c r="S697" s="120"/>
      <c r="T697" s="120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</row>
    <row r="698" ht="18.0" customHeight="1">
      <c r="A698" s="114"/>
      <c r="B698" s="115"/>
      <c r="C698" s="115"/>
      <c r="D698" s="115"/>
      <c r="E698" s="116"/>
      <c r="F698" s="116"/>
      <c r="G698" s="115"/>
      <c r="H698" s="115"/>
      <c r="I698" s="115"/>
      <c r="J698" s="115"/>
      <c r="K698" s="115"/>
      <c r="L698" s="127"/>
      <c r="M698" s="128"/>
      <c r="N698" s="127"/>
      <c r="O698" s="115"/>
      <c r="P698" s="115"/>
      <c r="Q698" s="115"/>
      <c r="R698" s="115"/>
      <c r="S698" s="120"/>
      <c r="T698" s="120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</row>
    <row r="699" ht="18.0" customHeight="1">
      <c r="A699" s="114"/>
      <c r="B699" s="115"/>
      <c r="C699" s="115"/>
      <c r="D699" s="115"/>
      <c r="E699" s="116"/>
      <c r="F699" s="116"/>
      <c r="G699" s="115"/>
      <c r="H699" s="115"/>
      <c r="I699" s="115"/>
      <c r="J699" s="115"/>
      <c r="K699" s="115"/>
      <c r="L699" s="127"/>
      <c r="M699" s="128"/>
      <c r="N699" s="127"/>
      <c r="O699" s="115"/>
      <c r="P699" s="115"/>
      <c r="Q699" s="115"/>
      <c r="R699" s="115"/>
      <c r="S699" s="120"/>
      <c r="T699" s="120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</row>
    <row r="700" ht="18.0" customHeight="1">
      <c r="A700" s="114"/>
      <c r="B700" s="115"/>
      <c r="C700" s="115"/>
      <c r="D700" s="115"/>
      <c r="E700" s="116"/>
      <c r="F700" s="116"/>
      <c r="G700" s="115"/>
      <c r="H700" s="115"/>
      <c r="I700" s="115"/>
      <c r="J700" s="115"/>
      <c r="K700" s="115"/>
      <c r="L700" s="127"/>
      <c r="M700" s="128"/>
      <c r="N700" s="127"/>
      <c r="O700" s="115"/>
      <c r="P700" s="115"/>
      <c r="Q700" s="115"/>
      <c r="R700" s="115"/>
      <c r="S700" s="120"/>
      <c r="T700" s="120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</row>
    <row r="701" ht="18.0" customHeight="1">
      <c r="A701" s="114"/>
      <c r="B701" s="115"/>
      <c r="C701" s="115"/>
      <c r="D701" s="115"/>
      <c r="E701" s="116"/>
      <c r="F701" s="116"/>
      <c r="G701" s="115"/>
      <c r="H701" s="115"/>
      <c r="I701" s="115"/>
      <c r="J701" s="115"/>
      <c r="K701" s="115"/>
      <c r="L701" s="127"/>
      <c r="M701" s="128"/>
      <c r="N701" s="127"/>
      <c r="O701" s="115"/>
      <c r="P701" s="115"/>
      <c r="Q701" s="115"/>
      <c r="R701" s="115"/>
      <c r="S701" s="120"/>
      <c r="T701" s="120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</row>
    <row r="702" ht="18.0" customHeight="1">
      <c r="A702" s="114"/>
      <c r="B702" s="115"/>
      <c r="C702" s="115"/>
      <c r="D702" s="115"/>
      <c r="E702" s="116"/>
      <c r="F702" s="116"/>
      <c r="G702" s="115"/>
      <c r="H702" s="115"/>
      <c r="I702" s="115"/>
      <c r="J702" s="115"/>
      <c r="K702" s="115"/>
      <c r="L702" s="127"/>
      <c r="M702" s="128"/>
      <c r="N702" s="127"/>
      <c r="O702" s="115"/>
      <c r="P702" s="115"/>
      <c r="Q702" s="115"/>
      <c r="R702" s="115"/>
      <c r="S702" s="120"/>
      <c r="T702" s="120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</row>
    <row r="703" ht="18.0" customHeight="1">
      <c r="A703" s="114"/>
      <c r="B703" s="115"/>
      <c r="C703" s="115"/>
      <c r="D703" s="115"/>
      <c r="E703" s="116"/>
      <c r="F703" s="116"/>
      <c r="G703" s="115"/>
      <c r="H703" s="115"/>
      <c r="I703" s="115"/>
      <c r="J703" s="115"/>
      <c r="K703" s="115"/>
      <c r="L703" s="127"/>
      <c r="M703" s="128"/>
      <c r="N703" s="127"/>
      <c r="O703" s="115"/>
      <c r="P703" s="115"/>
      <c r="Q703" s="115"/>
      <c r="R703" s="115"/>
      <c r="S703" s="120"/>
      <c r="T703" s="120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</row>
    <row r="704" ht="18.0" customHeight="1">
      <c r="A704" s="114"/>
      <c r="B704" s="115"/>
      <c r="C704" s="115"/>
      <c r="D704" s="115"/>
      <c r="E704" s="116"/>
      <c r="F704" s="116"/>
      <c r="G704" s="115"/>
      <c r="H704" s="115"/>
      <c r="I704" s="115"/>
      <c r="J704" s="115"/>
      <c r="K704" s="115"/>
      <c r="L704" s="127"/>
      <c r="M704" s="128"/>
      <c r="N704" s="127"/>
      <c r="O704" s="115"/>
      <c r="P704" s="115"/>
      <c r="Q704" s="115"/>
      <c r="R704" s="115"/>
      <c r="S704" s="120"/>
      <c r="T704" s="120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</row>
    <row r="705" ht="18.0" customHeight="1">
      <c r="A705" s="114"/>
      <c r="B705" s="115"/>
      <c r="C705" s="115"/>
      <c r="D705" s="115"/>
      <c r="E705" s="116"/>
      <c r="F705" s="116"/>
      <c r="G705" s="115"/>
      <c r="H705" s="115"/>
      <c r="I705" s="115"/>
      <c r="J705" s="115"/>
      <c r="K705" s="115"/>
      <c r="L705" s="127"/>
      <c r="M705" s="128"/>
      <c r="N705" s="127"/>
      <c r="O705" s="115"/>
      <c r="P705" s="115"/>
      <c r="Q705" s="115"/>
      <c r="R705" s="115"/>
      <c r="S705" s="120"/>
      <c r="T705" s="120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</row>
    <row r="706" ht="18.0" customHeight="1">
      <c r="A706" s="114"/>
      <c r="B706" s="115"/>
      <c r="C706" s="115"/>
      <c r="D706" s="115"/>
      <c r="E706" s="116"/>
      <c r="F706" s="116"/>
      <c r="G706" s="115"/>
      <c r="H706" s="115"/>
      <c r="I706" s="115"/>
      <c r="J706" s="115"/>
      <c r="K706" s="115"/>
      <c r="L706" s="127"/>
      <c r="M706" s="128"/>
      <c r="N706" s="127"/>
      <c r="O706" s="115"/>
      <c r="P706" s="115"/>
      <c r="Q706" s="115"/>
      <c r="R706" s="115"/>
      <c r="S706" s="120"/>
      <c r="T706" s="120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</row>
    <row r="707" ht="18.0" customHeight="1">
      <c r="A707" s="114"/>
      <c r="B707" s="115"/>
      <c r="C707" s="115"/>
      <c r="D707" s="115"/>
      <c r="E707" s="116"/>
      <c r="F707" s="116"/>
      <c r="G707" s="115"/>
      <c r="H707" s="115"/>
      <c r="I707" s="115"/>
      <c r="J707" s="115"/>
      <c r="K707" s="115"/>
      <c r="L707" s="127"/>
      <c r="M707" s="128"/>
      <c r="N707" s="127"/>
      <c r="O707" s="115"/>
      <c r="P707" s="115"/>
      <c r="Q707" s="115"/>
      <c r="R707" s="115"/>
      <c r="S707" s="120"/>
      <c r="T707" s="120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</row>
    <row r="708" ht="18.0" customHeight="1">
      <c r="A708" s="114"/>
      <c r="B708" s="115"/>
      <c r="C708" s="115"/>
      <c r="D708" s="115"/>
      <c r="E708" s="116"/>
      <c r="F708" s="116"/>
      <c r="G708" s="115"/>
      <c r="H708" s="115"/>
      <c r="I708" s="115"/>
      <c r="J708" s="115"/>
      <c r="K708" s="115"/>
      <c r="L708" s="127"/>
      <c r="M708" s="128"/>
      <c r="N708" s="127"/>
      <c r="O708" s="115"/>
      <c r="P708" s="115"/>
      <c r="Q708" s="115"/>
      <c r="R708" s="115"/>
      <c r="S708" s="120"/>
      <c r="T708" s="120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</row>
    <row r="709" ht="18.0" customHeight="1">
      <c r="A709" s="114"/>
      <c r="B709" s="115"/>
      <c r="C709" s="115"/>
      <c r="D709" s="115"/>
      <c r="E709" s="116"/>
      <c r="F709" s="116"/>
      <c r="G709" s="115"/>
      <c r="H709" s="115"/>
      <c r="I709" s="115"/>
      <c r="J709" s="115"/>
      <c r="K709" s="115"/>
      <c r="L709" s="127"/>
      <c r="M709" s="128"/>
      <c r="N709" s="127"/>
      <c r="O709" s="115"/>
      <c r="P709" s="115"/>
      <c r="Q709" s="115"/>
      <c r="R709" s="115"/>
      <c r="S709" s="120"/>
      <c r="T709" s="120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</row>
    <row r="710" ht="18.0" customHeight="1">
      <c r="A710" s="114"/>
      <c r="B710" s="115"/>
      <c r="C710" s="115"/>
      <c r="D710" s="115"/>
      <c r="E710" s="116"/>
      <c r="F710" s="116"/>
      <c r="G710" s="115"/>
      <c r="H710" s="115"/>
      <c r="I710" s="115"/>
      <c r="J710" s="115"/>
      <c r="K710" s="115"/>
      <c r="L710" s="127"/>
      <c r="M710" s="128"/>
      <c r="N710" s="127"/>
      <c r="O710" s="115"/>
      <c r="P710" s="115"/>
      <c r="Q710" s="115"/>
      <c r="R710" s="115"/>
      <c r="S710" s="120"/>
      <c r="T710" s="120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</row>
    <row r="711" ht="18.0" customHeight="1">
      <c r="A711" s="114"/>
      <c r="B711" s="115"/>
      <c r="C711" s="115"/>
      <c r="D711" s="115"/>
      <c r="E711" s="116"/>
      <c r="F711" s="116"/>
      <c r="G711" s="115"/>
      <c r="H711" s="115"/>
      <c r="I711" s="115"/>
      <c r="J711" s="115"/>
      <c r="K711" s="115"/>
      <c r="L711" s="127"/>
      <c r="M711" s="128"/>
      <c r="N711" s="127"/>
      <c r="O711" s="115"/>
      <c r="P711" s="115"/>
      <c r="Q711" s="115"/>
      <c r="R711" s="115"/>
      <c r="S711" s="120"/>
      <c r="T711" s="120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</row>
    <row r="712" ht="18.0" customHeight="1">
      <c r="A712" s="114"/>
      <c r="B712" s="115"/>
      <c r="C712" s="115"/>
      <c r="D712" s="115"/>
      <c r="E712" s="116"/>
      <c r="F712" s="116"/>
      <c r="G712" s="115"/>
      <c r="H712" s="115"/>
      <c r="I712" s="115"/>
      <c r="J712" s="115"/>
      <c r="K712" s="115"/>
      <c r="L712" s="127"/>
      <c r="M712" s="128"/>
      <c r="N712" s="127"/>
      <c r="O712" s="115"/>
      <c r="P712" s="115"/>
      <c r="Q712" s="115"/>
      <c r="R712" s="115"/>
      <c r="S712" s="120"/>
      <c r="T712" s="120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</row>
    <row r="713" ht="18.0" customHeight="1">
      <c r="A713" s="114"/>
      <c r="B713" s="115"/>
      <c r="C713" s="115"/>
      <c r="D713" s="115"/>
      <c r="E713" s="116"/>
      <c r="F713" s="116"/>
      <c r="G713" s="115"/>
      <c r="H713" s="115"/>
      <c r="I713" s="115"/>
      <c r="J713" s="115"/>
      <c r="K713" s="115"/>
      <c r="L713" s="127"/>
      <c r="M713" s="128"/>
      <c r="N713" s="127"/>
      <c r="O713" s="115"/>
      <c r="P713" s="115"/>
      <c r="Q713" s="115"/>
      <c r="R713" s="115"/>
      <c r="S713" s="120"/>
      <c r="T713" s="120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</row>
    <row r="714" ht="18.0" customHeight="1">
      <c r="A714" s="114"/>
      <c r="B714" s="115"/>
      <c r="C714" s="115"/>
      <c r="D714" s="115"/>
      <c r="E714" s="116"/>
      <c r="F714" s="116"/>
      <c r="G714" s="115"/>
      <c r="H714" s="115"/>
      <c r="I714" s="115"/>
      <c r="J714" s="115"/>
      <c r="K714" s="115"/>
      <c r="L714" s="127"/>
      <c r="M714" s="128"/>
      <c r="N714" s="127"/>
      <c r="O714" s="115"/>
      <c r="P714" s="115"/>
      <c r="Q714" s="115"/>
      <c r="R714" s="115"/>
      <c r="S714" s="120"/>
      <c r="T714" s="120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</row>
    <row r="715" ht="18.0" customHeight="1">
      <c r="A715" s="114"/>
      <c r="B715" s="115"/>
      <c r="C715" s="115"/>
      <c r="D715" s="115"/>
      <c r="E715" s="116"/>
      <c r="F715" s="116"/>
      <c r="G715" s="115"/>
      <c r="H715" s="115"/>
      <c r="I715" s="115"/>
      <c r="J715" s="115"/>
      <c r="K715" s="115"/>
      <c r="L715" s="127"/>
      <c r="M715" s="128"/>
      <c r="N715" s="127"/>
      <c r="O715" s="115"/>
      <c r="P715" s="115"/>
      <c r="Q715" s="115"/>
      <c r="R715" s="115"/>
      <c r="S715" s="120"/>
      <c r="T715" s="120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</row>
    <row r="716" ht="18.0" customHeight="1">
      <c r="A716" s="114"/>
      <c r="B716" s="115"/>
      <c r="C716" s="115"/>
      <c r="D716" s="115"/>
      <c r="E716" s="116"/>
      <c r="F716" s="116"/>
      <c r="G716" s="115"/>
      <c r="H716" s="115"/>
      <c r="I716" s="115"/>
      <c r="J716" s="115"/>
      <c r="K716" s="115"/>
      <c r="L716" s="127"/>
      <c r="M716" s="128"/>
      <c r="N716" s="127"/>
      <c r="O716" s="115"/>
      <c r="P716" s="115"/>
      <c r="Q716" s="115"/>
      <c r="R716" s="115"/>
      <c r="S716" s="120"/>
      <c r="T716" s="120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</row>
    <row r="717" ht="18.0" customHeight="1">
      <c r="A717" s="114"/>
      <c r="B717" s="115"/>
      <c r="C717" s="115"/>
      <c r="D717" s="115"/>
      <c r="E717" s="116"/>
      <c r="F717" s="116"/>
      <c r="G717" s="115"/>
      <c r="H717" s="115"/>
      <c r="I717" s="115"/>
      <c r="J717" s="115"/>
      <c r="K717" s="115"/>
      <c r="L717" s="127"/>
      <c r="M717" s="128"/>
      <c r="N717" s="127"/>
      <c r="O717" s="115"/>
      <c r="P717" s="115"/>
      <c r="Q717" s="115"/>
      <c r="R717" s="115"/>
      <c r="S717" s="120"/>
      <c r="T717" s="120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</row>
    <row r="718" ht="18.0" customHeight="1">
      <c r="A718" s="114"/>
      <c r="B718" s="115"/>
      <c r="C718" s="115"/>
      <c r="D718" s="115"/>
      <c r="E718" s="116"/>
      <c r="F718" s="116"/>
      <c r="G718" s="115"/>
      <c r="H718" s="115"/>
      <c r="I718" s="115"/>
      <c r="J718" s="115"/>
      <c r="K718" s="115"/>
      <c r="L718" s="127"/>
      <c r="M718" s="128"/>
      <c r="N718" s="127"/>
      <c r="O718" s="115"/>
      <c r="P718" s="115"/>
      <c r="Q718" s="115"/>
      <c r="R718" s="115"/>
      <c r="S718" s="120"/>
      <c r="T718" s="120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</row>
    <row r="719" ht="18.0" customHeight="1">
      <c r="A719" s="114"/>
      <c r="B719" s="115"/>
      <c r="C719" s="115"/>
      <c r="D719" s="115"/>
      <c r="E719" s="116"/>
      <c r="F719" s="116"/>
      <c r="G719" s="115"/>
      <c r="H719" s="115"/>
      <c r="I719" s="115"/>
      <c r="J719" s="115"/>
      <c r="K719" s="115"/>
      <c r="L719" s="127"/>
      <c r="M719" s="128"/>
      <c r="N719" s="127"/>
      <c r="O719" s="115"/>
      <c r="P719" s="115"/>
      <c r="Q719" s="115"/>
      <c r="R719" s="115"/>
      <c r="S719" s="120"/>
      <c r="T719" s="120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</row>
    <row r="720" ht="18.0" customHeight="1">
      <c r="A720" s="114"/>
      <c r="B720" s="115"/>
      <c r="C720" s="115"/>
      <c r="D720" s="115"/>
      <c r="E720" s="116"/>
      <c r="F720" s="116"/>
      <c r="G720" s="115"/>
      <c r="H720" s="115"/>
      <c r="I720" s="115"/>
      <c r="J720" s="115"/>
      <c r="K720" s="115"/>
      <c r="L720" s="127"/>
      <c r="M720" s="128"/>
      <c r="N720" s="127"/>
      <c r="O720" s="115"/>
      <c r="P720" s="115"/>
      <c r="Q720" s="115"/>
      <c r="R720" s="115"/>
      <c r="S720" s="120"/>
      <c r="T720" s="120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</row>
    <row r="721" ht="18.0" customHeight="1">
      <c r="A721" s="114"/>
      <c r="B721" s="115"/>
      <c r="C721" s="115"/>
      <c r="D721" s="115"/>
      <c r="E721" s="116"/>
      <c r="F721" s="116"/>
      <c r="G721" s="115"/>
      <c r="H721" s="115"/>
      <c r="I721" s="115"/>
      <c r="J721" s="115"/>
      <c r="K721" s="115"/>
      <c r="L721" s="127"/>
      <c r="M721" s="128"/>
      <c r="N721" s="127"/>
      <c r="O721" s="115"/>
      <c r="P721" s="115"/>
      <c r="Q721" s="115"/>
      <c r="R721" s="115"/>
      <c r="S721" s="120"/>
      <c r="T721" s="120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</row>
    <row r="722" ht="18.0" customHeight="1">
      <c r="A722" s="114"/>
      <c r="B722" s="115"/>
      <c r="C722" s="115"/>
      <c r="D722" s="115"/>
      <c r="E722" s="116"/>
      <c r="F722" s="116"/>
      <c r="G722" s="115"/>
      <c r="H722" s="115"/>
      <c r="I722" s="115"/>
      <c r="J722" s="115"/>
      <c r="K722" s="115"/>
      <c r="L722" s="127"/>
      <c r="M722" s="128"/>
      <c r="N722" s="127"/>
      <c r="O722" s="115"/>
      <c r="P722" s="115"/>
      <c r="Q722" s="115"/>
      <c r="R722" s="115"/>
      <c r="S722" s="120"/>
      <c r="T722" s="120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</row>
    <row r="723" ht="18.0" customHeight="1">
      <c r="A723" s="114"/>
      <c r="B723" s="115"/>
      <c r="C723" s="115"/>
      <c r="D723" s="115"/>
      <c r="E723" s="116"/>
      <c r="F723" s="116"/>
      <c r="G723" s="115"/>
      <c r="H723" s="115"/>
      <c r="I723" s="115"/>
      <c r="J723" s="115"/>
      <c r="K723" s="115"/>
      <c r="L723" s="127"/>
      <c r="M723" s="128"/>
      <c r="N723" s="127"/>
      <c r="O723" s="115"/>
      <c r="P723" s="115"/>
      <c r="Q723" s="115"/>
      <c r="R723" s="115"/>
      <c r="S723" s="120"/>
      <c r="T723" s="120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</row>
    <row r="724" ht="18.0" customHeight="1">
      <c r="A724" s="114"/>
      <c r="B724" s="115"/>
      <c r="C724" s="115"/>
      <c r="D724" s="115"/>
      <c r="E724" s="116"/>
      <c r="F724" s="116"/>
      <c r="G724" s="115"/>
      <c r="H724" s="115"/>
      <c r="I724" s="115"/>
      <c r="J724" s="115"/>
      <c r="K724" s="115"/>
      <c r="L724" s="127"/>
      <c r="M724" s="128"/>
      <c r="N724" s="127"/>
      <c r="O724" s="115"/>
      <c r="P724" s="115"/>
      <c r="Q724" s="115"/>
      <c r="R724" s="115"/>
      <c r="S724" s="120"/>
      <c r="T724" s="120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</row>
    <row r="725" ht="18.0" customHeight="1">
      <c r="A725" s="114"/>
      <c r="B725" s="115"/>
      <c r="C725" s="115"/>
      <c r="D725" s="115"/>
      <c r="E725" s="116"/>
      <c r="F725" s="116"/>
      <c r="G725" s="115"/>
      <c r="H725" s="115"/>
      <c r="I725" s="115"/>
      <c r="J725" s="115"/>
      <c r="K725" s="115"/>
      <c r="L725" s="127"/>
      <c r="M725" s="128"/>
      <c r="N725" s="127"/>
      <c r="O725" s="115"/>
      <c r="P725" s="115"/>
      <c r="Q725" s="115"/>
      <c r="R725" s="115"/>
      <c r="S725" s="120"/>
      <c r="T725" s="120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</row>
    <row r="726" ht="18.0" customHeight="1">
      <c r="A726" s="114"/>
      <c r="B726" s="115"/>
      <c r="C726" s="115"/>
      <c r="D726" s="115"/>
      <c r="E726" s="116"/>
      <c r="F726" s="116"/>
      <c r="G726" s="115"/>
      <c r="H726" s="115"/>
      <c r="I726" s="115"/>
      <c r="J726" s="115"/>
      <c r="K726" s="115"/>
      <c r="L726" s="127"/>
      <c r="M726" s="128"/>
      <c r="N726" s="127"/>
      <c r="O726" s="115"/>
      <c r="P726" s="115"/>
      <c r="Q726" s="115"/>
      <c r="R726" s="115"/>
      <c r="S726" s="120"/>
      <c r="T726" s="120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</row>
    <row r="727" ht="18.0" customHeight="1">
      <c r="A727" s="114"/>
      <c r="B727" s="115"/>
      <c r="C727" s="115"/>
      <c r="D727" s="115"/>
      <c r="E727" s="116"/>
      <c r="F727" s="116"/>
      <c r="G727" s="115"/>
      <c r="H727" s="115"/>
      <c r="I727" s="115"/>
      <c r="J727" s="115"/>
      <c r="K727" s="115"/>
      <c r="L727" s="127"/>
      <c r="M727" s="128"/>
      <c r="N727" s="127"/>
      <c r="O727" s="115"/>
      <c r="P727" s="115"/>
      <c r="Q727" s="115"/>
      <c r="R727" s="115"/>
      <c r="S727" s="120"/>
      <c r="T727" s="120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</row>
    <row r="728" ht="18.0" customHeight="1">
      <c r="A728" s="114"/>
      <c r="B728" s="115"/>
      <c r="C728" s="115"/>
      <c r="D728" s="115"/>
      <c r="E728" s="116"/>
      <c r="F728" s="116"/>
      <c r="G728" s="115"/>
      <c r="H728" s="115"/>
      <c r="I728" s="115"/>
      <c r="J728" s="115"/>
      <c r="K728" s="115"/>
      <c r="L728" s="127"/>
      <c r="M728" s="128"/>
      <c r="N728" s="127"/>
      <c r="O728" s="115"/>
      <c r="P728" s="115"/>
      <c r="Q728" s="115"/>
      <c r="R728" s="115"/>
      <c r="S728" s="120"/>
      <c r="T728" s="120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</row>
    <row r="729" ht="18.0" customHeight="1">
      <c r="A729" s="114"/>
      <c r="B729" s="115"/>
      <c r="C729" s="115"/>
      <c r="D729" s="115"/>
      <c r="E729" s="116"/>
      <c r="F729" s="116"/>
      <c r="G729" s="115"/>
      <c r="H729" s="115"/>
      <c r="I729" s="115"/>
      <c r="J729" s="115"/>
      <c r="K729" s="115"/>
      <c r="L729" s="127"/>
      <c r="M729" s="128"/>
      <c r="N729" s="127"/>
      <c r="O729" s="115"/>
      <c r="P729" s="115"/>
      <c r="Q729" s="115"/>
      <c r="R729" s="115"/>
      <c r="S729" s="120"/>
      <c r="T729" s="120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</row>
    <row r="730" ht="18.0" customHeight="1">
      <c r="A730" s="114"/>
      <c r="B730" s="115"/>
      <c r="C730" s="115"/>
      <c r="D730" s="115"/>
      <c r="E730" s="116"/>
      <c r="F730" s="116"/>
      <c r="G730" s="115"/>
      <c r="H730" s="115"/>
      <c r="I730" s="115"/>
      <c r="J730" s="115"/>
      <c r="K730" s="115"/>
      <c r="L730" s="127"/>
      <c r="M730" s="128"/>
      <c r="N730" s="127"/>
      <c r="O730" s="115"/>
      <c r="P730" s="115"/>
      <c r="Q730" s="115"/>
      <c r="R730" s="115"/>
      <c r="S730" s="120"/>
      <c r="T730" s="120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</row>
    <row r="731" ht="18.0" customHeight="1">
      <c r="A731" s="114"/>
      <c r="B731" s="115"/>
      <c r="C731" s="115"/>
      <c r="D731" s="115"/>
      <c r="E731" s="116"/>
      <c r="F731" s="116"/>
      <c r="G731" s="115"/>
      <c r="H731" s="115"/>
      <c r="I731" s="115"/>
      <c r="J731" s="115"/>
      <c r="K731" s="115"/>
      <c r="L731" s="127"/>
      <c r="M731" s="128"/>
      <c r="N731" s="127"/>
      <c r="O731" s="115"/>
      <c r="P731" s="115"/>
      <c r="Q731" s="115"/>
      <c r="R731" s="115"/>
      <c r="S731" s="120"/>
      <c r="T731" s="120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</row>
    <row r="732" ht="18.0" customHeight="1">
      <c r="A732" s="114"/>
      <c r="B732" s="115"/>
      <c r="C732" s="115"/>
      <c r="D732" s="115"/>
      <c r="E732" s="116"/>
      <c r="F732" s="116"/>
      <c r="G732" s="115"/>
      <c r="H732" s="115"/>
      <c r="I732" s="115"/>
      <c r="J732" s="115"/>
      <c r="K732" s="115"/>
      <c r="L732" s="127"/>
      <c r="M732" s="128"/>
      <c r="N732" s="127"/>
      <c r="O732" s="115"/>
      <c r="P732" s="115"/>
      <c r="Q732" s="115"/>
      <c r="R732" s="115"/>
      <c r="S732" s="120"/>
      <c r="T732" s="120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</row>
    <row r="733" ht="18.0" customHeight="1">
      <c r="A733" s="114"/>
      <c r="B733" s="115"/>
      <c r="C733" s="115"/>
      <c r="D733" s="115"/>
      <c r="E733" s="116"/>
      <c r="F733" s="116"/>
      <c r="G733" s="115"/>
      <c r="H733" s="115"/>
      <c r="I733" s="115"/>
      <c r="J733" s="115"/>
      <c r="K733" s="115"/>
      <c r="L733" s="127"/>
      <c r="M733" s="128"/>
      <c r="N733" s="127"/>
      <c r="O733" s="115"/>
      <c r="P733" s="115"/>
      <c r="Q733" s="115"/>
      <c r="R733" s="115"/>
      <c r="S733" s="120"/>
      <c r="T733" s="120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</row>
    <row r="734" ht="18.0" customHeight="1">
      <c r="A734" s="114"/>
      <c r="B734" s="115"/>
      <c r="C734" s="115"/>
      <c r="D734" s="115"/>
      <c r="E734" s="116"/>
      <c r="F734" s="116"/>
      <c r="G734" s="115"/>
      <c r="H734" s="115"/>
      <c r="I734" s="115"/>
      <c r="J734" s="115"/>
      <c r="K734" s="115"/>
      <c r="L734" s="127"/>
      <c r="M734" s="128"/>
      <c r="N734" s="127"/>
      <c r="O734" s="115"/>
      <c r="P734" s="115"/>
      <c r="Q734" s="115"/>
      <c r="R734" s="115"/>
      <c r="S734" s="120"/>
      <c r="T734" s="120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</row>
    <row r="735" ht="18.0" customHeight="1">
      <c r="A735" s="114"/>
      <c r="B735" s="115"/>
      <c r="C735" s="115"/>
      <c r="D735" s="115"/>
      <c r="E735" s="116"/>
      <c r="F735" s="116"/>
      <c r="G735" s="115"/>
      <c r="H735" s="115"/>
      <c r="I735" s="115"/>
      <c r="J735" s="115"/>
      <c r="K735" s="115"/>
      <c r="L735" s="127"/>
      <c r="M735" s="128"/>
      <c r="N735" s="127"/>
      <c r="O735" s="115"/>
      <c r="P735" s="115"/>
      <c r="Q735" s="115"/>
      <c r="R735" s="115"/>
      <c r="S735" s="120"/>
      <c r="T735" s="120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</row>
    <row r="736" ht="18.0" customHeight="1">
      <c r="A736" s="114"/>
      <c r="B736" s="115"/>
      <c r="C736" s="115"/>
      <c r="D736" s="115"/>
      <c r="E736" s="116"/>
      <c r="F736" s="116"/>
      <c r="G736" s="115"/>
      <c r="H736" s="115"/>
      <c r="I736" s="115"/>
      <c r="J736" s="115"/>
      <c r="K736" s="115"/>
      <c r="L736" s="127"/>
      <c r="M736" s="128"/>
      <c r="N736" s="127"/>
      <c r="O736" s="115"/>
      <c r="P736" s="115"/>
      <c r="Q736" s="115"/>
      <c r="R736" s="115"/>
      <c r="S736" s="120"/>
      <c r="T736" s="120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</row>
    <row r="737" ht="18.0" customHeight="1">
      <c r="A737" s="114"/>
      <c r="B737" s="115"/>
      <c r="C737" s="115"/>
      <c r="D737" s="115"/>
      <c r="E737" s="116"/>
      <c r="F737" s="116"/>
      <c r="G737" s="115"/>
      <c r="H737" s="115"/>
      <c r="I737" s="115"/>
      <c r="J737" s="115"/>
      <c r="K737" s="115"/>
      <c r="L737" s="127"/>
      <c r="M737" s="128"/>
      <c r="N737" s="127"/>
      <c r="O737" s="115"/>
      <c r="P737" s="115"/>
      <c r="Q737" s="115"/>
      <c r="R737" s="115"/>
      <c r="S737" s="120"/>
      <c r="T737" s="120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</row>
    <row r="738" ht="18.0" customHeight="1">
      <c r="A738" s="114"/>
      <c r="B738" s="115"/>
      <c r="C738" s="115"/>
      <c r="D738" s="115"/>
      <c r="E738" s="116"/>
      <c r="F738" s="116"/>
      <c r="G738" s="115"/>
      <c r="H738" s="115"/>
      <c r="I738" s="115"/>
      <c r="J738" s="115"/>
      <c r="K738" s="115"/>
      <c r="L738" s="127"/>
      <c r="M738" s="128"/>
      <c r="N738" s="127"/>
      <c r="O738" s="115"/>
      <c r="P738" s="115"/>
      <c r="Q738" s="115"/>
      <c r="R738" s="115"/>
      <c r="S738" s="120"/>
      <c r="T738" s="120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</row>
    <row r="739" ht="18.0" customHeight="1">
      <c r="A739" s="114"/>
      <c r="B739" s="115"/>
      <c r="C739" s="115"/>
      <c r="D739" s="115"/>
      <c r="E739" s="116"/>
      <c r="F739" s="116"/>
      <c r="G739" s="115"/>
      <c r="H739" s="115"/>
      <c r="I739" s="115"/>
      <c r="J739" s="115"/>
      <c r="K739" s="115"/>
      <c r="L739" s="127"/>
      <c r="M739" s="128"/>
      <c r="N739" s="127"/>
      <c r="O739" s="115"/>
      <c r="P739" s="115"/>
      <c r="Q739" s="115"/>
      <c r="R739" s="115"/>
      <c r="S739" s="120"/>
      <c r="T739" s="120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</row>
    <row r="740" ht="18.0" customHeight="1">
      <c r="A740" s="114"/>
      <c r="B740" s="115"/>
      <c r="C740" s="115"/>
      <c r="D740" s="115"/>
      <c r="E740" s="116"/>
      <c r="F740" s="116"/>
      <c r="G740" s="115"/>
      <c r="H740" s="115"/>
      <c r="I740" s="115"/>
      <c r="J740" s="115"/>
      <c r="K740" s="115"/>
      <c r="L740" s="127"/>
      <c r="M740" s="128"/>
      <c r="N740" s="127"/>
      <c r="O740" s="115"/>
      <c r="P740" s="115"/>
      <c r="Q740" s="115"/>
      <c r="R740" s="115"/>
      <c r="S740" s="120"/>
      <c r="T740" s="120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</row>
    <row r="741" ht="18.0" customHeight="1">
      <c r="A741" s="114"/>
      <c r="B741" s="115"/>
      <c r="C741" s="115"/>
      <c r="D741" s="115"/>
      <c r="E741" s="116"/>
      <c r="F741" s="116"/>
      <c r="G741" s="115"/>
      <c r="H741" s="115"/>
      <c r="I741" s="115"/>
      <c r="J741" s="115"/>
      <c r="K741" s="115"/>
      <c r="L741" s="127"/>
      <c r="M741" s="128"/>
      <c r="N741" s="127"/>
      <c r="O741" s="115"/>
      <c r="P741" s="115"/>
      <c r="Q741" s="115"/>
      <c r="R741" s="115"/>
      <c r="S741" s="120"/>
      <c r="T741" s="120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</row>
    <row r="742" ht="18.0" customHeight="1">
      <c r="A742" s="114"/>
      <c r="B742" s="115"/>
      <c r="C742" s="115"/>
      <c r="D742" s="115"/>
      <c r="E742" s="116"/>
      <c r="F742" s="116"/>
      <c r="G742" s="115"/>
      <c r="H742" s="115"/>
      <c r="I742" s="115"/>
      <c r="J742" s="115"/>
      <c r="K742" s="115"/>
      <c r="L742" s="127"/>
      <c r="M742" s="128"/>
      <c r="N742" s="127"/>
      <c r="O742" s="115"/>
      <c r="P742" s="115"/>
      <c r="Q742" s="115"/>
      <c r="R742" s="115"/>
      <c r="S742" s="120"/>
      <c r="T742" s="120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</row>
    <row r="743" ht="18.0" customHeight="1">
      <c r="A743" s="114"/>
      <c r="B743" s="115"/>
      <c r="C743" s="115"/>
      <c r="D743" s="115"/>
      <c r="E743" s="116"/>
      <c r="F743" s="116"/>
      <c r="G743" s="115"/>
      <c r="H743" s="115"/>
      <c r="I743" s="115"/>
      <c r="J743" s="115"/>
      <c r="K743" s="115"/>
      <c r="L743" s="127"/>
      <c r="M743" s="128"/>
      <c r="N743" s="127"/>
      <c r="O743" s="115"/>
      <c r="P743" s="115"/>
      <c r="Q743" s="115"/>
      <c r="R743" s="115"/>
      <c r="S743" s="120"/>
      <c r="T743" s="120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</row>
    <row r="744" ht="18.0" customHeight="1">
      <c r="A744" s="114"/>
      <c r="B744" s="115"/>
      <c r="C744" s="115"/>
      <c r="D744" s="115"/>
      <c r="E744" s="116"/>
      <c r="F744" s="116"/>
      <c r="G744" s="115"/>
      <c r="H744" s="115"/>
      <c r="I744" s="115"/>
      <c r="J744" s="115"/>
      <c r="K744" s="115"/>
      <c r="L744" s="127"/>
      <c r="M744" s="128"/>
      <c r="N744" s="127"/>
      <c r="O744" s="115"/>
      <c r="P744" s="115"/>
      <c r="Q744" s="115"/>
      <c r="R744" s="115"/>
      <c r="S744" s="120"/>
      <c r="T744" s="120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</row>
    <row r="745" ht="18.0" customHeight="1">
      <c r="A745" s="114"/>
      <c r="B745" s="115"/>
      <c r="C745" s="115"/>
      <c r="D745" s="115"/>
      <c r="E745" s="116"/>
      <c r="F745" s="116"/>
      <c r="G745" s="115"/>
      <c r="H745" s="115"/>
      <c r="I745" s="115"/>
      <c r="J745" s="115"/>
      <c r="K745" s="115"/>
      <c r="L745" s="127"/>
      <c r="M745" s="128"/>
      <c r="N745" s="127"/>
      <c r="O745" s="115"/>
      <c r="P745" s="115"/>
      <c r="Q745" s="115"/>
      <c r="R745" s="115"/>
      <c r="S745" s="120"/>
      <c r="T745" s="120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</row>
    <row r="746" ht="18.0" customHeight="1">
      <c r="A746" s="114"/>
      <c r="B746" s="115"/>
      <c r="C746" s="115"/>
      <c r="D746" s="115"/>
      <c r="E746" s="116"/>
      <c r="F746" s="116"/>
      <c r="G746" s="115"/>
      <c r="H746" s="115"/>
      <c r="I746" s="115"/>
      <c r="J746" s="115"/>
      <c r="K746" s="115"/>
      <c r="L746" s="127"/>
      <c r="M746" s="128"/>
      <c r="N746" s="127"/>
      <c r="O746" s="115"/>
      <c r="P746" s="115"/>
      <c r="Q746" s="115"/>
      <c r="R746" s="115"/>
      <c r="S746" s="120"/>
      <c r="T746" s="120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</row>
    <row r="747" ht="18.0" customHeight="1">
      <c r="A747" s="114"/>
      <c r="B747" s="115"/>
      <c r="C747" s="115"/>
      <c r="D747" s="115"/>
      <c r="E747" s="116"/>
      <c r="F747" s="116"/>
      <c r="G747" s="115"/>
      <c r="H747" s="115"/>
      <c r="I747" s="115"/>
      <c r="J747" s="115"/>
      <c r="K747" s="115"/>
      <c r="L747" s="127"/>
      <c r="M747" s="128"/>
      <c r="N747" s="127"/>
      <c r="O747" s="115"/>
      <c r="P747" s="115"/>
      <c r="Q747" s="115"/>
      <c r="R747" s="115"/>
      <c r="S747" s="120"/>
      <c r="T747" s="120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</row>
    <row r="748" ht="18.0" customHeight="1">
      <c r="A748" s="114"/>
      <c r="B748" s="115"/>
      <c r="C748" s="115"/>
      <c r="D748" s="115"/>
      <c r="E748" s="116"/>
      <c r="F748" s="116"/>
      <c r="G748" s="115"/>
      <c r="H748" s="115"/>
      <c r="I748" s="115"/>
      <c r="J748" s="115"/>
      <c r="K748" s="115"/>
      <c r="L748" s="127"/>
      <c r="M748" s="128"/>
      <c r="N748" s="127"/>
      <c r="O748" s="115"/>
      <c r="P748" s="115"/>
      <c r="Q748" s="115"/>
      <c r="R748" s="115"/>
      <c r="S748" s="120"/>
      <c r="T748" s="120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</row>
    <row r="749" ht="18.0" customHeight="1">
      <c r="A749" s="114"/>
      <c r="B749" s="115"/>
      <c r="C749" s="115"/>
      <c r="D749" s="115"/>
      <c r="E749" s="116"/>
      <c r="F749" s="116"/>
      <c r="G749" s="115"/>
      <c r="H749" s="115"/>
      <c r="I749" s="115"/>
      <c r="J749" s="115"/>
      <c r="K749" s="115"/>
      <c r="L749" s="127"/>
      <c r="M749" s="128"/>
      <c r="N749" s="127"/>
      <c r="O749" s="115"/>
      <c r="P749" s="115"/>
      <c r="Q749" s="115"/>
      <c r="R749" s="115"/>
      <c r="S749" s="120"/>
      <c r="T749" s="120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</row>
    <row r="750" ht="18.0" customHeight="1">
      <c r="A750" s="114"/>
      <c r="B750" s="115"/>
      <c r="C750" s="115"/>
      <c r="D750" s="115"/>
      <c r="E750" s="116"/>
      <c r="F750" s="116"/>
      <c r="G750" s="115"/>
      <c r="H750" s="115"/>
      <c r="I750" s="115"/>
      <c r="J750" s="115"/>
      <c r="K750" s="115"/>
      <c r="L750" s="127"/>
      <c r="M750" s="128"/>
      <c r="N750" s="127"/>
      <c r="O750" s="115"/>
      <c r="P750" s="115"/>
      <c r="Q750" s="115"/>
      <c r="R750" s="115"/>
      <c r="S750" s="120"/>
      <c r="T750" s="120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</row>
    <row r="751" ht="18.0" customHeight="1">
      <c r="A751" s="114"/>
      <c r="B751" s="115"/>
      <c r="C751" s="115"/>
      <c r="D751" s="115"/>
      <c r="E751" s="116"/>
      <c r="F751" s="116"/>
      <c r="G751" s="115"/>
      <c r="H751" s="115"/>
      <c r="I751" s="115"/>
      <c r="J751" s="115"/>
      <c r="K751" s="115"/>
      <c r="L751" s="127"/>
      <c r="M751" s="128"/>
      <c r="N751" s="127"/>
      <c r="O751" s="115"/>
      <c r="P751" s="115"/>
      <c r="Q751" s="115"/>
      <c r="R751" s="115"/>
      <c r="S751" s="120"/>
      <c r="T751" s="120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</row>
    <row r="752" ht="18.0" customHeight="1">
      <c r="A752" s="114"/>
      <c r="B752" s="115"/>
      <c r="C752" s="115"/>
      <c r="D752" s="115"/>
      <c r="E752" s="116"/>
      <c r="F752" s="116"/>
      <c r="G752" s="115"/>
      <c r="H752" s="115"/>
      <c r="I752" s="115"/>
      <c r="J752" s="115"/>
      <c r="K752" s="115"/>
      <c r="L752" s="127"/>
      <c r="M752" s="128"/>
      <c r="N752" s="127"/>
      <c r="O752" s="115"/>
      <c r="P752" s="115"/>
      <c r="Q752" s="115"/>
      <c r="R752" s="115"/>
      <c r="S752" s="120"/>
      <c r="T752" s="120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</row>
    <row r="753" ht="18.0" customHeight="1">
      <c r="A753" s="114"/>
      <c r="B753" s="115"/>
      <c r="C753" s="115"/>
      <c r="D753" s="115"/>
      <c r="E753" s="116"/>
      <c r="F753" s="116"/>
      <c r="G753" s="115"/>
      <c r="H753" s="115"/>
      <c r="I753" s="115"/>
      <c r="J753" s="115"/>
      <c r="K753" s="115"/>
      <c r="L753" s="127"/>
      <c r="M753" s="128"/>
      <c r="N753" s="127"/>
      <c r="O753" s="115"/>
      <c r="P753" s="115"/>
      <c r="Q753" s="115"/>
      <c r="R753" s="115"/>
      <c r="S753" s="120"/>
      <c r="T753" s="120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</row>
    <row r="754" ht="18.0" customHeight="1">
      <c r="A754" s="114"/>
      <c r="B754" s="115"/>
      <c r="C754" s="115"/>
      <c r="D754" s="115"/>
      <c r="E754" s="116"/>
      <c r="F754" s="116"/>
      <c r="G754" s="115"/>
      <c r="H754" s="115"/>
      <c r="I754" s="115"/>
      <c r="J754" s="115"/>
      <c r="K754" s="115"/>
      <c r="L754" s="127"/>
      <c r="M754" s="128"/>
      <c r="N754" s="127"/>
      <c r="O754" s="115"/>
      <c r="P754" s="115"/>
      <c r="Q754" s="115"/>
      <c r="R754" s="115"/>
      <c r="S754" s="120"/>
      <c r="T754" s="120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</row>
    <row r="755" ht="18.0" customHeight="1">
      <c r="A755" s="114"/>
      <c r="B755" s="115"/>
      <c r="C755" s="115"/>
      <c r="D755" s="115"/>
      <c r="E755" s="116"/>
      <c r="F755" s="116"/>
      <c r="G755" s="115"/>
      <c r="H755" s="115"/>
      <c r="I755" s="115"/>
      <c r="J755" s="115"/>
      <c r="K755" s="115"/>
      <c r="L755" s="127"/>
      <c r="M755" s="128"/>
      <c r="N755" s="127"/>
      <c r="O755" s="115"/>
      <c r="P755" s="115"/>
      <c r="Q755" s="115"/>
      <c r="R755" s="115"/>
      <c r="S755" s="120"/>
      <c r="T755" s="120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</row>
    <row r="756" ht="18.0" customHeight="1">
      <c r="A756" s="114"/>
      <c r="B756" s="115"/>
      <c r="C756" s="115"/>
      <c r="D756" s="115"/>
      <c r="E756" s="116"/>
      <c r="F756" s="116"/>
      <c r="G756" s="115"/>
      <c r="H756" s="115"/>
      <c r="I756" s="115"/>
      <c r="J756" s="115"/>
      <c r="K756" s="115"/>
      <c r="L756" s="127"/>
      <c r="M756" s="128"/>
      <c r="N756" s="127"/>
      <c r="O756" s="115"/>
      <c r="P756" s="115"/>
      <c r="Q756" s="115"/>
      <c r="R756" s="115"/>
      <c r="S756" s="120"/>
      <c r="T756" s="120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</row>
    <row r="757" ht="18.0" customHeight="1">
      <c r="A757" s="114"/>
      <c r="B757" s="115"/>
      <c r="C757" s="115"/>
      <c r="D757" s="115"/>
      <c r="E757" s="116"/>
      <c r="F757" s="116"/>
      <c r="G757" s="115"/>
      <c r="H757" s="115"/>
      <c r="I757" s="115"/>
      <c r="J757" s="115"/>
      <c r="K757" s="115"/>
      <c r="L757" s="127"/>
      <c r="M757" s="128"/>
      <c r="N757" s="127"/>
      <c r="O757" s="115"/>
      <c r="P757" s="115"/>
      <c r="Q757" s="115"/>
      <c r="R757" s="115"/>
      <c r="S757" s="120"/>
      <c r="T757" s="120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</row>
    <row r="758" ht="18.0" customHeight="1">
      <c r="A758" s="114"/>
      <c r="B758" s="115"/>
      <c r="C758" s="115"/>
      <c r="D758" s="115"/>
      <c r="E758" s="116"/>
      <c r="F758" s="116"/>
      <c r="G758" s="115"/>
      <c r="H758" s="115"/>
      <c r="I758" s="115"/>
      <c r="J758" s="115"/>
      <c r="K758" s="115"/>
      <c r="L758" s="127"/>
      <c r="M758" s="128"/>
      <c r="N758" s="127"/>
      <c r="O758" s="115"/>
      <c r="P758" s="115"/>
      <c r="Q758" s="115"/>
      <c r="R758" s="115"/>
      <c r="S758" s="120"/>
      <c r="T758" s="120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</row>
    <row r="759" ht="18.0" customHeight="1">
      <c r="A759" s="114"/>
      <c r="B759" s="115"/>
      <c r="C759" s="115"/>
      <c r="D759" s="115"/>
      <c r="E759" s="116"/>
      <c r="F759" s="116"/>
      <c r="G759" s="115"/>
      <c r="H759" s="115"/>
      <c r="I759" s="115"/>
      <c r="J759" s="115"/>
      <c r="K759" s="115"/>
      <c r="L759" s="127"/>
      <c r="M759" s="128"/>
      <c r="N759" s="127"/>
      <c r="O759" s="115"/>
      <c r="P759" s="115"/>
      <c r="Q759" s="115"/>
      <c r="R759" s="115"/>
      <c r="S759" s="120"/>
      <c r="T759" s="120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</row>
    <row r="760" ht="18.0" customHeight="1">
      <c r="A760" s="114"/>
      <c r="B760" s="115"/>
      <c r="C760" s="115"/>
      <c r="D760" s="115"/>
      <c r="E760" s="116"/>
      <c r="F760" s="116"/>
      <c r="G760" s="115"/>
      <c r="H760" s="115"/>
      <c r="I760" s="115"/>
      <c r="J760" s="115"/>
      <c r="K760" s="115"/>
      <c r="L760" s="127"/>
      <c r="M760" s="128"/>
      <c r="N760" s="127"/>
      <c r="O760" s="115"/>
      <c r="P760" s="115"/>
      <c r="Q760" s="115"/>
      <c r="R760" s="115"/>
      <c r="S760" s="120"/>
      <c r="T760" s="120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</row>
    <row r="761" ht="18.0" customHeight="1">
      <c r="A761" s="114"/>
      <c r="B761" s="115"/>
      <c r="C761" s="115"/>
      <c r="D761" s="115"/>
      <c r="E761" s="116"/>
      <c r="F761" s="116"/>
      <c r="G761" s="115"/>
      <c r="H761" s="115"/>
      <c r="I761" s="115"/>
      <c r="J761" s="115"/>
      <c r="K761" s="115"/>
      <c r="L761" s="127"/>
      <c r="M761" s="128"/>
      <c r="N761" s="127"/>
      <c r="O761" s="115"/>
      <c r="P761" s="115"/>
      <c r="Q761" s="115"/>
      <c r="R761" s="115"/>
      <c r="S761" s="120"/>
      <c r="T761" s="120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</row>
    <row r="762" ht="18.0" customHeight="1">
      <c r="A762" s="114"/>
      <c r="B762" s="115"/>
      <c r="C762" s="115"/>
      <c r="D762" s="115"/>
      <c r="E762" s="116"/>
      <c r="F762" s="116"/>
      <c r="G762" s="115"/>
      <c r="H762" s="115"/>
      <c r="I762" s="115"/>
      <c r="J762" s="115"/>
      <c r="K762" s="115"/>
      <c r="L762" s="127"/>
      <c r="M762" s="128"/>
      <c r="N762" s="127"/>
      <c r="O762" s="115"/>
      <c r="P762" s="115"/>
      <c r="Q762" s="115"/>
      <c r="R762" s="115"/>
      <c r="S762" s="120"/>
      <c r="T762" s="120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</row>
    <row r="763" ht="18.0" customHeight="1">
      <c r="A763" s="114"/>
      <c r="B763" s="115"/>
      <c r="C763" s="115"/>
      <c r="D763" s="115"/>
      <c r="E763" s="116"/>
      <c r="F763" s="116"/>
      <c r="G763" s="115"/>
      <c r="H763" s="115"/>
      <c r="I763" s="115"/>
      <c r="J763" s="115"/>
      <c r="K763" s="115"/>
      <c r="L763" s="127"/>
      <c r="M763" s="128"/>
      <c r="N763" s="127"/>
      <c r="O763" s="115"/>
      <c r="P763" s="115"/>
      <c r="Q763" s="115"/>
      <c r="R763" s="115"/>
      <c r="S763" s="120"/>
      <c r="T763" s="120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</row>
    <row r="764" ht="18.0" customHeight="1">
      <c r="A764" s="114"/>
      <c r="B764" s="115"/>
      <c r="C764" s="115"/>
      <c r="D764" s="115"/>
      <c r="E764" s="116"/>
      <c r="F764" s="116"/>
      <c r="G764" s="115"/>
      <c r="H764" s="115"/>
      <c r="I764" s="115"/>
      <c r="J764" s="115"/>
      <c r="K764" s="115"/>
      <c r="L764" s="127"/>
      <c r="M764" s="128"/>
      <c r="N764" s="127"/>
      <c r="O764" s="115"/>
      <c r="P764" s="115"/>
      <c r="Q764" s="115"/>
      <c r="R764" s="115"/>
      <c r="S764" s="120"/>
      <c r="T764" s="120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</row>
    <row r="765" ht="18.0" customHeight="1">
      <c r="A765" s="114"/>
      <c r="B765" s="115"/>
      <c r="C765" s="115"/>
      <c r="D765" s="115"/>
      <c r="E765" s="116"/>
      <c r="F765" s="116"/>
      <c r="G765" s="115"/>
      <c r="H765" s="115"/>
      <c r="I765" s="115"/>
      <c r="J765" s="115"/>
      <c r="K765" s="115"/>
      <c r="L765" s="127"/>
      <c r="M765" s="128"/>
      <c r="N765" s="127"/>
      <c r="O765" s="115"/>
      <c r="P765" s="115"/>
      <c r="Q765" s="115"/>
      <c r="R765" s="115"/>
      <c r="S765" s="120"/>
      <c r="T765" s="120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</row>
    <row r="766" ht="18.0" customHeight="1">
      <c r="A766" s="114"/>
      <c r="B766" s="115"/>
      <c r="C766" s="115"/>
      <c r="D766" s="115"/>
      <c r="E766" s="116"/>
      <c r="F766" s="116"/>
      <c r="G766" s="115"/>
      <c r="H766" s="115"/>
      <c r="I766" s="115"/>
      <c r="J766" s="115"/>
      <c r="K766" s="115"/>
      <c r="L766" s="127"/>
      <c r="M766" s="128"/>
      <c r="N766" s="127"/>
      <c r="O766" s="115"/>
      <c r="P766" s="115"/>
      <c r="Q766" s="115"/>
      <c r="R766" s="115"/>
      <c r="S766" s="120"/>
      <c r="T766" s="120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</row>
    <row r="767" ht="18.0" customHeight="1">
      <c r="A767" s="114"/>
      <c r="B767" s="115"/>
      <c r="C767" s="115"/>
      <c r="D767" s="115"/>
      <c r="E767" s="116"/>
      <c r="F767" s="116"/>
      <c r="G767" s="115"/>
      <c r="H767" s="115"/>
      <c r="I767" s="115"/>
      <c r="J767" s="115"/>
      <c r="K767" s="115"/>
      <c r="L767" s="127"/>
      <c r="M767" s="128"/>
      <c r="N767" s="127"/>
      <c r="O767" s="115"/>
      <c r="P767" s="115"/>
      <c r="Q767" s="115"/>
      <c r="R767" s="115"/>
      <c r="S767" s="120"/>
      <c r="T767" s="120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</row>
    <row r="768" ht="18.0" customHeight="1">
      <c r="A768" s="114"/>
      <c r="B768" s="115"/>
      <c r="C768" s="115"/>
      <c r="D768" s="115"/>
      <c r="E768" s="116"/>
      <c r="F768" s="116"/>
      <c r="G768" s="115"/>
      <c r="H768" s="115"/>
      <c r="I768" s="115"/>
      <c r="J768" s="115"/>
      <c r="K768" s="115"/>
      <c r="L768" s="127"/>
      <c r="M768" s="128"/>
      <c r="N768" s="127"/>
      <c r="O768" s="115"/>
      <c r="P768" s="115"/>
      <c r="Q768" s="115"/>
      <c r="R768" s="115"/>
      <c r="S768" s="120"/>
      <c r="T768" s="120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</row>
    <row r="769" ht="18.0" customHeight="1">
      <c r="A769" s="114"/>
      <c r="B769" s="115"/>
      <c r="C769" s="115"/>
      <c r="D769" s="115"/>
      <c r="E769" s="116"/>
      <c r="F769" s="116"/>
      <c r="G769" s="115"/>
      <c r="H769" s="115"/>
      <c r="I769" s="115"/>
      <c r="J769" s="115"/>
      <c r="K769" s="115"/>
      <c r="L769" s="127"/>
      <c r="M769" s="128"/>
      <c r="N769" s="127"/>
      <c r="O769" s="115"/>
      <c r="P769" s="115"/>
      <c r="Q769" s="115"/>
      <c r="R769" s="115"/>
      <c r="S769" s="120"/>
      <c r="T769" s="120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</row>
    <row r="770" ht="18.0" customHeight="1">
      <c r="A770" s="114"/>
      <c r="B770" s="115"/>
      <c r="C770" s="115"/>
      <c r="D770" s="115"/>
      <c r="E770" s="116"/>
      <c r="F770" s="116"/>
      <c r="G770" s="115"/>
      <c r="H770" s="115"/>
      <c r="I770" s="115"/>
      <c r="J770" s="115"/>
      <c r="K770" s="115"/>
      <c r="L770" s="127"/>
      <c r="M770" s="128"/>
      <c r="N770" s="127"/>
      <c r="O770" s="115"/>
      <c r="P770" s="115"/>
      <c r="Q770" s="115"/>
      <c r="R770" s="115"/>
      <c r="S770" s="120"/>
      <c r="T770" s="120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</row>
    <row r="771" ht="18.0" customHeight="1">
      <c r="A771" s="114"/>
      <c r="B771" s="115"/>
      <c r="C771" s="115"/>
      <c r="D771" s="115"/>
      <c r="E771" s="116"/>
      <c r="F771" s="116"/>
      <c r="G771" s="115"/>
      <c r="H771" s="115"/>
      <c r="I771" s="115"/>
      <c r="J771" s="115"/>
      <c r="K771" s="115"/>
      <c r="L771" s="127"/>
      <c r="M771" s="128"/>
      <c r="N771" s="127"/>
      <c r="O771" s="115"/>
      <c r="P771" s="115"/>
      <c r="Q771" s="115"/>
      <c r="R771" s="115"/>
      <c r="S771" s="120"/>
      <c r="T771" s="120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</row>
    <row r="772" ht="18.0" customHeight="1">
      <c r="A772" s="114"/>
      <c r="B772" s="115"/>
      <c r="C772" s="115"/>
      <c r="D772" s="115"/>
      <c r="E772" s="116"/>
      <c r="F772" s="116"/>
      <c r="G772" s="115"/>
      <c r="H772" s="115"/>
      <c r="I772" s="115"/>
      <c r="J772" s="115"/>
      <c r="K772" s="115"/>
      <c r="L772" s="127"/>
      <c r="M772" s="128"/>
      <c r="N772" s="127"/>
      <c r="O772" s="115"/>
      <c r="P772" s="115"/>
      <c r="Q772" s="115"/>
      <c r="R772" s="115"/>
      <c r="S772" s="120"/>
      <c r="T772" s="120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</row>
    <row r="773" ht="18.0" customHeight="1">
      <c r="A773" s="114"/>
      <c r="B773" s="115"/>
      <c r="C773" s="115"/>
      <c r="D773" s="115"/>
      <c r="E773" s="116"/>
      <c r="F773" s="116"/>
      <c r="G773" s="115"/>
      <c r="H773" s="115"/>
      <c r="I773" s="115"/>
      <c r="J773" s="115"/>
      <c r="K773" s="115"/>
      <c r="L773" s="127"/>
      <c r="M773" s="128"/>
      <c r="N773" s="127"/>
      <c r="O773" s="115"/>
      <c r="P773" s="115"/>
      <c r="Q773" s="115"/>
      <c r="R773" s="115"/>
      <c r="S773" s="120"/>
      <c r="T773" s="120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</row>
    <row r="774" ht="18.0" customHeight="1">
      <c r="A774" s="114"/>
      <c r="B774" s="115"/>
      <c r="C774" s="115"/>
      <c r="D774" s="115"/>
      <c r="E774" s="116"/>
      <c r="F774" s="116"/>
      <c r="G774" s="115"/>
      <c r="H774" s="115"/>
      <c r="I774" s="115"/>
      <c r="J774" s="115"/>
      <c r="K774" s="115"/>
      <c r="L774" s="127"/>
      <c r="M774" s="128"/>
      <c r="N774" s="127"/>
      <c r="O774" s="115"/>
      <c r="P774" s="115"/>
      <c r="Q774" s="115"/>
      <c r="R774" s="115"/>
      <c r="S774" s="120"/>
      <c r="T774" s="120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</row>
    <row r="775" ht="18.0" customHeight="1">
      <c r="A775" s="114"/>
      <c r="B775" s="115"/>
      <c r="C775" s="115"/>
      <c r="D775" s="115"/>
      <c r="E775" s="116"/>
      <c r="F775" s="116"/>
      <c r="G775" s="115"/>
      <c r="H775" s="115"/>
      <c r="I775" s="115"/>
      <c r="J775" s="115"/>
      <c r="K775" s="115"/>
      <c r="L775" s="127"/>
      <c r="M775" s="128"/>
      <c r="N775" s="127"/>
      <c r="O775" s="115"/>
      <c r="P775" s="115"/>
      <c r="Q775" s="115"/>
      <c r="R775" s="115"/>
      <c r="S775" s="120"/>
      <c r="T775" s="120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</row>
    <row r="776" ht="18.0" customHeight="1">
      <c r="A776" s="114"/>
      <c r="B776" s="115"/>
      <c r="C776" s="115"/>
      <c r="D776" s="115"/>
      <c r="E776" s="116"/>
      <c r="F776" s="116"/>
      <c r="G776" s="115"/>
      <c r="H776" s="115"/>
      <c r="I776" s="115"/>
      <c r="J776" s="115"/>
      <c r="K776" s="115"/>
      <c r="L776" s="127"/>
      <c r="M776" s="128"/>
      <c r="N776" s="127"/>
      <c r="O776" s="115"/>
      <c r="P776" s="115"/>
      <c r="Q776" s="115"/>
      <c r="R776" s="115"/>
      <c r="S776" s="120"/>
      <c r="T776" s="120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</row>
    <row r="777" ht="18.0" customHeight="1">
      <c r="A777" s="114"/>
      <c r="B777" s="115"/>
      <c r="C777" s="115"/>
      <c r="D777" s="115"/>
      <c r="E777" s="116"/>
      <c r="F777" s="116"/>
      <c r="G777" s="115"/>
      <c r="H777" s="115"/>
      <c r="I777" s="115"/>
      <c r="J777" s="115"/>
      <c r="K777" s="115"/>
      <c r="L777" s="127"/>
      <c r="M777" s="128"/>
      <c r="N777" s="127"/>
      <c r="O777" s="115"/>
      <c r="P777" s="115"/>
      <c r="Q777" s="115"/>
      <c r="R777" s="115"/>
      <c r="S777" s="120"/>
      <c r="T777" s="120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</row>
    <row r="778" ht="18.0" customHeight="1">
      <c r="A778" s="114"/>
      <c r="B778" s="115"/>
      <c r="C778" s="115"/>
      <c r="D778" s="115"/>
      <c r="E778" s="116"/>
      <c r="F778" s="116"/>
      <c r="G778" s="115"/>
      <c r="H778" s="115"/>
      <c r="I778" s="115"/>
      <c r="J778" s="115"/>
      <c r="K778" s="115"/>
      <c r="L778" s="127"/>
      <c r="M778" s="128"/>
      <c r="N778" s="127"/>
      <c r="O778" s="115"/>
      <c r="P778" s="115"/>
      <c r="Q778" s="115"/>
      <c r="R778" s="115"/>
      <c r="S778" s="120"/>
      <c r="T778" s="120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</row>
    <row r="779" ht="18.0" customHeight="1">
      <c r="A779" s="114"/>
      <c r="B779" s="115"/>
      <c r="C779" s="115"/>
      <c r="D779" s="115"/>
      <c r="E779" s="116"/>
      <c r="F779" s="116"/>
      <c r="G779" s="115"/>
      <c r="H779" s="115"/>
      <c r="I779" s="115"/>
      <c r="J779" s="115"/>
      <c r="K779" s="115"/>
      <c r="L779" s="127"/>
      <c r="M779" s="128"/>
      <c r="N779" s="127"/>
      <c r="O779" s="115"/>
      <c r="P779" s="115"/>
      <c r="Q779" s="115"/>
      <c r="R779" s="115"/>
      <c r="S779" s="120"/>
      <c r="T779" s="120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</row>
    <row r="780" ht="18.0" customHeight="1">
      <c r="A780" s="114"/>
      <c r="B780" s="115"/>
      <c r="C780" s="115"/>
      <c r="D780" s="115"/>
      <c r="E780" s="116"/>
      <c r="F780" s="116"/>
      <c r="G780" s="115"/>
      <c r="H780" s="115"/>
      <c r="I780" s="115"/>
      <c r="J780" s="115"/>
      <c r="K780" s="115"/>
      <c r="L780" s="127"/>
      <c r="M780" s="128"/>
      <c r="N780" s="127"/>
      <c r="O780" s="115"/>
      <c r="P780" s="115"/>
      <c r="Q780" s="115"/>
      <c r="R780" s="115"/>
      <c r="S780" s="120"/>
      <c r="T780" s="120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</row>
    <row r="781" ht="18.0" customHeight="1">
      <c r="A781" s="114"/>
      <c r="B781" s="115"/>
      <c r="C781" s="115"/>
      <c r="D781" s="115"/>
      <c r="E781" s="116"/>
      <c r="F781" s="116"/>
      <c r="G781" s="115"/>
      <c r="H781" s="115"/>
      <c r="I781" s="115"/>
      <c r="J781" s="115"/>
      <c r="K781" s="115"/>
      <c r="L781" s="127"/>
      <c r="M781" s="128"/>
      <c r="N781" s="127"/>
      <c r="O781" s="115"/>
      <c r="P781" s="115"/>
      <c r="Q781" s="115"/>
      <c r="R781" s="115"/>
      <c r="S781" s="120"/>
      <c r="T781" s="120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</row>
    <row r="782" ht="18.0" customHeight="1">
      <c r="A782" s="114"/>
      <c r="B782" s="115"/>
      <c r="C782" s="115"/>
      <c r="D782" s="115"/>
      <c r="E782" s="116"/>
      <c r="F782" s="116"/>
      <c r="G782" s="115"/>
      <c r="H782" s="115"/>
      <c r="I782" s="115"/>
      <c r="J782" s="115"/>
      <c r="K782" s="115"/>
      <c r="L782" s="127"/>
      <c r="M782" s="128"/>
      <c r="N782" s="127"/>
      <c r="O782" s="115"/>
      <c r="P782" s="115"/>
      <c r="Q782" s="115"/>
      <c r="R782" s="115"/>
      <c r="S782" s="120"/>
      <c r="T782" s="120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</row>
    <row r="783" ht="18.0" customHeight="1">
      <c r="A783" s="114"/>
      <c r="B783" s="115"/>
      <c r="C783" s="115"/>
      <c r="D783" s="115"/>
      <c r="E783" s="116"/>
      <c r="F783" s="116"/>
      <c r="G783" s="115"/>
      <c r="H783" s="115"/>
      <c r="I783" s="115"/>
      <c r="J783" s="115"/>
      <c r="K783" s="115"/>
      <c r="L783" s="127"/>
      <c r="M783" s="128"/>
      <c r="N783" s="127"/>
      <c r="O783" s="115"/>
      <c r="P783" s="115"/>
      <c r="Q783" s="115"/>
      <c r="R783" s="115"/>
      <c r="S783" s="120"/>
      <c r="T783" s="120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</row>
    <row r="784" ht="18.0" customHeight="1">
      <c r="A784" s="114"/>
      <c r="B784" s="115"/>
      <c r="C784" s="115"/>
      <c r="D784" s="115"/>
      <c r="E784" s="116"/>
      <c r="F784" s="116"/>
      <c r="G784" s="115"/>
      <c r="H784" s="115"/>
      <c r="I784" s="115"/>
      <c r="J784" s="115"/>
      <c r="K784" s="115"/>
      <c r="L784" s="127"/>
      <c r="M784" s="128"/>
      <c r="N784" s="127"/>
      <c r="O784" s="115"/>
      <c r="P784" s="115"/>
      <c r="Q784" s="115"/>
      <c r="R784" s="115"/>
      <c r="S784" s="120"/>
      <c r="T784" s="120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</row>
    <row r="785" ht="18.0" customHeight="1">
      <c r="A785" s="114"/>
      <c r="B785" s="115"/>
      <c r="C785" s="115"/>
      <c r="D785" s="115"/>
      <c r="E785" s="116"/>
      <c r="F785" s="116"/>
      <c r="G785" s="115"/>
      <c r="H785" s="115"/>
      <c r="I785" s="115"/>
      <c r="J785" s="115"/>
      <c r="K785" s="115"/>
      <c r="L785" s="127"/>
      <c r="M785" s="128"/>
      <c r="N785" s="127"/>
      <c r="O785" s="115"/>
      <c r="P785" s="115"/>
      <c r="Q785" s="115"/>
      <c r="R785" s="115"/>
      <c r="S785" s="120"/>
      <c r="T785" s="120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</row>
    <row r="786" ht="18.0" customHeight="1">
      <c r="A786" s="114"/>
      <c r="B786" s="115"/>
      <c r="C786" s="115"/>
      <c r="D786" s="115"/>
      <c r="E786" s="116"/>
      <c r="F786" s="116"/>
      <c r="G786" s="115"/>
      <c r="H786" s="115"/>
      <c r="I786" s="115"/>
      <c r="J786" s="115"/>
      <c r="K786" s="115"/>
      <c r="L786" s="127"/>
      <c r="M786" s="128"/>
      <c r="N786" s="127"/>
      <c r="O786" s="115"/>
      <c r="P786" s="115"/>
      <c r="Q786" s="115"/>
      <c r="R786" s="115"/>
      <c r="S786" s="120"/>
      <c r="T786" s="120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</row>
    <row r="787" ht="18.0" customHeight="1">
      <c r="A787" s="114"/>
      <c r="B787" s="115"/>
      <c r="C787" s="115"/>
      <c r="D787" s="115"/>
      <c r="E787" s="116"/>
      <c r="F787" s="116"/>
      <c r="G787" s="115"/>
      <c r="H787" s="115"/>
      <c r="I787" s="115"/>
      <c r="J787" s="115"/>
      <c r="K787" s="115"/>
      <c r="L787" s="127"/>
      <c r="M787" s="128"/>
      <c r="N787" s="127"/>
      <c r="O787" s="115"/>
      <c r="P787" s="115"/>
      <c r="Q787" s="115"/>
      <c r="R787" s="115"/>
      <c r="S787" s="120"/>
      <c r="T787" s="120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</row>
    <row r="788" ht="18.0" customHeight="1">
      <c r="A788" s="114"/>
      <c r="B788" s="115"/>
      <c r="C788" s="115"/>
      <c r="D788" s="115"/>
      <c r="E788" s="116"/>
      <c r="F788" s="116"/>
      <c r="G788" s="115"/>
      <c r="H788" s="115"/>
      <c r="I788" s="115"/>
      <c r="J788" s="115"/>
      <c r="K788" s="115"/>
      <c r="L788" s="127"/>
      <c r="M788" s="128"/>
      <c r="N788" s="127"/>
      <c r="O788" s="115"/>
      <c r="P788" s="115"/>
      <c r="Q788" s="115"/>
      <c r="R788" s="115"/>
      <c r="S788" s="120"/>
      <c r="T788" s="120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</row>
    <row r="789" ht="18.0" customHeight="1">
      <c r="A789" s="114"/>
      <c r="B789" s="115"/>
      <c r="C789" s="115"/>
      <c r="D789" s="115"/>
      <c r="E789" s="116"/>
      <c r="F789" s="116"/>
      <c r="G789" s="115"/>
      <c r="H789" s="115"/>
      <c r="I789" s="115"/>
      <c r="J789" s="115"/>
      <c r="K789" s="115"/>
      <c r="L789" s="127"/>
      <c r="M789" s="128"/>
      <c r="N789" s="127"/>
      <c r="O789" s="115"/>
      <c r="P789" s="115"/>
      <c r="Q789" s="115"/>
      <c r="R789" s="115"/>
      <c r="S789" s="120"/>
      <c r="T789" s="120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</row>
    <row r="790" ht="18.0" customHeight="1">
      <c r="A790" s="114"/>
      <c r="B790" s="115"/>
      <c r="C790" s="115"/>
      <c r="D790" s="115"/>
      <c r="E790" s="116"/>
      <c r="F790" s="116"/>
      <c r="G790" s="115"/>
      <c r="H790" s="115"/>
      <c r="I790" s="115"/>
      <c r="J790" s="115"/>
      <c r="K790" s="115"/>
      <c r="L790" s="127"/>
      <c r="M790" s="128"/>
      <c r="N790" s="127"/>
      <c r="O790" s="115"/>
      <c r="P790" s="115"/>
      <c r="Q790" s="115"/>
      <c r="R790" s="115"/>
      <c r="S790" s="120"/>
      <c r="T790" s="120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</row>
    <row r="791" ht="18.0" customHeight="1">
      <c r="A791" s="114"/>
      <c r="B791" s="115"/>
      <c r="C791" s="115"/>
      <c r="D791" s="115"/>
      <c r="E791" s="116"/>
      <c r="F791" s="116"/>
      <c r="G791" s="115"/>
      <c r="H791" s="115"/>
      <c r="I791" s="115"/>
      <c r="J791" s="115"/>
      <c r="K791" s="115"/>
      <c r="L791" s="127"/>
      <c r="M791" s="128"/>
      <c r="N791" s="127"/>
      <c r="O791" s="115"/>
      <c r="P791" s="115"/>
      <c r="Q791" s="115"/>
      <c r="R791" s="115"/>
      <c r="S791" s="120"/>
      <c r="T791" s="120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</row>
    <row r="792" ht="18.0" customHeight="1">
      <c r="A792" s="114"/>
      <c r="B792" s="115"/>
      <c r="C792" s="115"/>
      <c r="D792" s="115"/>
      <c r="E792" s="116"/>
      <c r="F792" s="116"/>
      <c r="G792" s="115"/>
      <c r="H792" s="115"/>
      <c r="I792" s="115"/>
      <c r="J792" s="115"/>
      <c r="K792" s="115"/>
      <c r="L792" s="127"/>
      <c r="M792" s="128"/>
      <c r="N792" s="127"/>
      <c r="O792" s="115"/>
      <c r="P792" s="115"/>
      <c r="Q792" s="115"/>
      <c r="R792" s="115"/>
      <c r="S792" s="120"/>
      <c r="T792" s="120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</row>
    <row r="793" ht="18.0" customHeight="1">
      <c r="A793" s="114"/>
      <c r="B793" s="115"/>
      <c r="C793" s="115"/>
      <c r="D793" s="115"/>
      <c r="E793" s="116"/>
      <c r="F793" s="116"/>
      <c r="G793" s="115"/>
      <c r="H793" s="115"/>
      <c r="I793" s="115"/>
      <c r="J793" s="115"/>
      <c r="K793" s="115"/>
      <c r="L793" s="127"/>
      <c r="M793" s="128"/>
      <c r="N793" s="127"/>
      <c r="O793" s="115"/>
      <c r="P793" s="115"/>
      <c r="Q793" s="115"/>
      <c r="R793" s="115"/>
      <c r="S793" s="120"/>
      <c r="T793" s="120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</row>
    <row r="794" ht="18.0" customHeight="1">
      <c r="A794" s="114"/>
      <c r="B794" s="115"/>
      <c r="C794" s="115"/>
      <c r="D794" s="115"/>
      <c r="E794" s="116"/>
      <c r="F794" s="116"/>
      <c r="G794" s="115"/>
      <c r="H794" s="115"/>
      <c r="I794" s="115"/>
      <c r="J794" s="115"/>
      <c r="K794" s="115"/>
      <c r="L794" s="127"/>
      <c r="M794" s="128"/>
      <c r="N794" s="127"/>
      <c r="O794" s="115"/>
      <c r="P794" s="115"/>
      <c r="Q794" s="115"/>
      <c r="R794" s="115"/>
      <c r="S794" s="120"/>
      <c r="T794" s="120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</row>
    <row r="795" ht="18.0" customHeight="1">
      <c r="A795" s="114"/>
      <c r="B795" s="115"/>
      <c r="C795" s="115"/>
      <c r="D795" s="115"/>
      <c r="E795" s="116"/>
      <c r="F795" s="116"/>
      <c r="G795" s="115"/>
      <c r="H795" s="115"/>
      <c r="I795" s="115"/>
      <c r="J795" s="115"/>
      <c r="K795" s="115"/>
      <c r="L795" s="127"/>
      <c r="M795" s="128"/>
      <c r="N795" s="127"/>
      <c r="O795" s="115"/>
      <c r="P795" s="115"/>
      <c r="Q795" s="115"/>
      <c r="R795" s="115"/>
      <c r="S795" s="120"/>
      <c r="T795" s="120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</row>
    <row r="796" ht="18.0" customHeight="1">
      <c r="A796" s="114"/>
      <c r="B796" s="115"/>
      <c r="C796" s="115"/>
      <c r="D796" s="115"/>
      <c r="E796" s="116"/>
      <c r="F796" s="116"/>
      <c r="G796" s="115"/>
      <c r="H796" s="115"/>
      <c r="I796" s="115"/>
      <c r="J796" s="115"/>
      <c r="K796" s="115"/>
      <c r="L796" s="127"/>
      <c r="M796" s="128"/>
      <c r="N796" s="127"/>
      <c r="O796" s="115"/>
      <c r="P796" s="115"/>
      <c r="Q796" s="115"/>
      <c r="R796" s="115"/>
      <c r="S796" s="120"/>
      <c r="T796" s="120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</row>
    <row r="797" ht="18.0" customHeight="1">
      <c r="A797" s="114"/>
      <c r="B797" s="115"/>
      <c r="C797" s="115"/>
      <c r="D797" s="115"/>
      <c r="E797" s="116"/>
      <c r="F797" s="116"/>
      <c r="G797" s="115"/>
      <c r="H797" s="115"/>
      <c r="I797" s="115"/>
      <c r="J797" s="115"/>
      <c r="K797" s="115"/>
      <c r="L797" s="127"/>
      <c r="M797" s="128"/>
      <c r="N797" s="127"/>
      <c r="O797" s="115"/>
      <c r="P797" s="115"/>
      <c r="Q797" s="115"/>
      <c r="R797" s="115"/>
      <c r="S797" s="120"/>
      <c r="T797" s="120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</row>
    <row r="798" ht="18.0" customHeight="1">
      <c r="A798" s="114"/>
      <c r="B798" s="115"/>
      <c r="C798" s="115"/>
      <c r="D798" s="115"/>
      <c r="E798" s="116"/>
      <c r="F798" s="116"/>
      <c r="G798" s="115"/>
      <c r="H798" s="115"/>
      <c r="I798" s="115"/>
      <c r="J798" s="115"/>
      <c r="K798" s="115"/>
      <c r="L798" s="127"/>
      <c r="M798" s="128"/>
      <c r="N798" s="127"/>
      <c r="O798" s="115"/>
      <c r="P798" s="115"/>
      <c r="Q798" s="115"/>
      <c r="R798" s="115"/>
      <c r="S798" s="120"/>
      <c r="T798" s="120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</row>
    <row r="799" ht="18.0" customHeight="1">
      <c r="A799" s="114"/>
      <c r="B799" s="115"/>
      <c r="C799" s="115"/>
      <c r="D799" s="115"/>
      <c r="E799" s="116"/>
      <c r="F799" s="116"/>
      <c r="G799" s="115"/>
      <c r="H799" s="115"/>
      <c r="I799" s="115"/>
      <c r="J799" s="115"/>
      <c r="K799" s="115"/>
      <c r="L799" s="127"/>
      <c r="M799" s="128"/>
      <c r="N799" s="127"/>
      <c r="O799" s="115"/>
      <c r="P799" s="115"/>
      <c r="Q799" s="115"/>
      <c r="R799" s="115"/>
      <c r="S799" s="120"/>
      <c r="T799" s="120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</row>
    <row r="800" ht="18.0" customHeight="1">
      <c r="A800" s="114"/>
      <c r="B800" s="115"/>
      <c r="C800" s="115"/>
      <c r="D800" s="115"/>
      <c r="E800" s="116"/>
      <c r="F800" s="116"/>
      <c r="G800" s="115"/>
      <c r="H800" s="115"/>
      <c r="I800" s="115"/>
      <c r="J800" s="115"/>
      <c r="K800" s="115"/>
      <c r="L800" s="127"/>
      <c r="M800" s="128"/>
      <c r="N800" s="127"/>
      <c r="O800" s="115"/>
      <c r="P800" s="115"/>
      <c r="Q800" s="115"/>
      <c r="R800" s="115"/>
      <c r="S800" s="120"/>
      <c r="T800" s="120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</row>
    <row r="801" ht="18.0" customHeight="1">
      <c r="A801" s="114"/>
      <c r="B801" s="115"/>
      <c r="C801" s="115"/>
      <c r="D801" s="115"/>
      <c r="E801" s="116"/>
      <c r="F801" s="116"/>
      <c r="G801" s="115"/>
      <c r="H801" s="115"/>
      <c r="I801" s="115"/>
      <c r="J801" s="115"/>
      <c r="K801" s="115"/>
      <c r="L801" s="127"/>
      <c r="M801" s="128"/>
      <c r="N801" s="127"/>
      <c r="O801" s="115"/>
      <c r="P801" s="115"/>
      <c r="Q801" s="115"/>
      <c r="R801" s="115"/>
      <c r="S801" s="120"/>
      <c r="T801" s="120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</row>
    <row r="802" ht="18.0" customHeight="1">
      <c r="A802" s="114"/>
      <c r="B802" s="115"/>
      <c r="C802" s="115"/>
      <c r="D802" s="115"/>
      <c r="E802" s="116"/>
      <c r="F802" s="116"/>
      <c r="G802" s="115"/>
      <c r="H802" s="115"/>
      <c r="I802" s="115"/>
      <c r="J802" s="115"/>
      <c r="K802" s="115"/>
      <c r="L802" s="127"/>
      <c r="M802" s="128"/>
      <c r="N802" s="127"/>
      <c r="O802" s="115"/>
      <c r="P802" s="115"/>
      <c r="Q802" s="115"/>
      <c r="R802" s="115"/>
      <c r="S802" s="120"/>
      <c r="T802" s="120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</row>
    <row r="803" ht="18.0" customHeight="1">
      <c r="A803" s="114"/>
      <c r="B803" s="115"/>
      <c r="C803" s="115"/>
      <c r="D803" s="115"/>
      <c r="E803" s="116"/>
      <c r="F803" s="116"/>
      <c r="G803" s="115"/>
      <c r="H803" s="115"/>
      <c r="I803" s="115"/>
      <c r="J803" s="115"/>
      <c r="K803" s="115"/>
      <c r="L803" s="127"/>
      <c r="M803" s="128"/>
      <c r="N803" s="127"/>
      <c r="O803" s="115"/>
      <c r="P803" s="115"/>
      <c r="Q803" s="115"/>
      <c r="R803" s="115"/>
      <c r="S803" s="120"/>
      <c r="T803" s="120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</row>
    <row r="804" ht="18.0" customHeight="1">
      <c r="A804" s="114"/>
      <c r="B804" s="115"/>
      <c r="C804" s="115"/>
      <c r="D804" s="115"/>
      <c r="E804" s="116"/>
      <c r="F804" s="116"/>
      <c r="G804" s="115"/>
      <c r="H804" s="115"/>
      <c r="I804" s="115"/>
      <c r="J804" s="115"/>
      <c r="K804" s="115"/>
      <c r="L804" s="127"/>
      <c r="M804" s="128"/>
      <c r="N804" s="127"/>
      <c r="O804" s="115"/>
      <c r="P804" s="115"/>
      <c r="Q804" s="115"/>
      <c r="R804" s="115"/>
      <c r="S804" s="120"/>
      <c r="T804" s="120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</row>
    <row r="805" ht="18.0" customHeight="1">
      <c r="A805" s="114"/>
      <c r="B805" s="115"/>
      <c r="C805" s="115"/>
      <c r="D805" s="115"/>
      <c r="E805" s="116"/>
      <c r="F805" s="116"/>
      <c r="G805" s="115"/>
      <c r="H805" s="115"/>
      <c r="I805" s="115"/>
      <c r="J805" s="115"/>
      <c r="K805" s="115"/>
      <c r="L805" s="127"/>
      <c r="M805" s="128"/>
      <c r="N805" s="127"/>
      <c r="O805" s="115"/>
      <c r="P805" s="115"/>
      <c r="Q805" s="115"/>
      <c r="R805" s="115"/>
      <c r="S805" s="120"/>
      <c r="T805" s="120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</row>
    <row r="806" ht="18.0" customHeight="1">
      <c r="A806" s="114"/>
      <c r="B806" s="115"/>
      <c r="C806" s="115"/>
      <c r="D806" s="115"/>
      <c r="E806" s="116"/>
      <c r="F806" s="116"/>
      <c r="G806" s="115"/>
      <c r="H806" s="115"/>
      <c r="I806" s="115"/>
      <c r="J806" s="115"/>
      <c r="K806" s="115"/>
      <c r="L806" s="127"/>
      <c r="M806" s="128"/>
      <c r="N806" s="127"/>
      <c r="O806" s="115"/>
      <c r="P806" s="115"/>
      <c r="Q806" s="115"/>
      <c r="R806" s="115"/>
      <c r="S806" s="120"/>
      <c r="T806" s="120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</row>
    <row r="807" ht="18.0" customHeight="1">
      <c r="A807" s="114"/>
      <c r="B807" s="115"/>
      <c r="C807" s="115"/>
      <c r="D807" s="115"/>
      <c r="E807" s="116"/>
      <c r="F807" s="116"/>
      <c r="G807" s="115"/>
      <c r="H807" s="115"/>
      <c r="I807" s="115"/>
      <c r="J807" s="115"/>
      <c r="K807" s="115"/>
      <c r="L807" s="127"/>
      <c r="M807" s="128"/>
      <c r="N807" s="127"/>
      <c r="O807" s="115"/>
      <c r="P807" s="115"/>
      <c r="Q807" s="115"/>
      <c r="R807" s="115"/>
      <c r="S807" s="120"/>
      <c r="T807" s="120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</row>
    <row r="808" ht="18.0" customHeight="1">
      <c r="A808" s="114"/>
      <c r="B808" s="115"/>
      <c r="C808" s="115"/>
      <c r="D808" s="115"/>
      <c r="E808" s="116"/>
      <c r="F808" s="116"/>
      <c r="G808" s="115"/>
      <c r="H808" s="115"/>
      <c r="I808" s="115"/>
      <c r="J808" s="115"/>
      <c r="K808" s="115"/>
      <c r="L808" s="127"/>
      <c r="M808" s="128"/>
      <c r="N808" s="127"/>
      <c r="O808" s="115"/>
      <c r="P808" s="115"/>
      <c r="Q808" s="115"/>
      <c r="R808" s="115"/>
      <c r="S808" s="120"/>
      <c r="T808" s="120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</row>
    <row r="809" ht="18.0" customHeight="1">
      <c r="A809" s="114"/>
      <c r="B809" s="115"/>
      <c r="C809" s="115"/>
      <c r="D809" s="115"/>
      <c r="E809" s="116"/>
      <c r="F809" s="116"/>
      <c r="G809" s="115"/>
      <c r="H809" s="115"/>
      <c r="I809" s="115"/>
      <c r="J809" s="115"/>
      <c r="K809" s="115"/>
      <c r="L809" s="127"/>
      <c r="M809" s="128"/>
      <c r="N809" s="127"/>
      <c r="O809" s="115"/>
      <c r="P809" s="115"/>
      <c r="Q809" s="115"/>
      <c r="R809" s="115"/>
      <c r="S809" s="120"/>
      <c r="T809" s="120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</row>
    <row r="810" ht="18.0" customHeight="1">
      <c r="A810" s="114"/>
      <c r="B810" s="115"/>
      <c r="C810" s="115"/>
      <c r="D810" s="115"/>
      <c r="E810" s="116"/>
      <c r="F810" s="116"/>
      <c r="G810" s="115"/>
      <c r="H810" s="115"/>
      <c r="I810" s="115"/>
      <c r="J810" s="115"/>
      <c r="K810" s="115"/>
      <c r="L810" s="127"/>
      <c r="M810" s="128"/>
      <c r="N810" s="127"/>
      <c r="O810" s="115"/>
      <c r="P810" s="115"/>
      <c r="Q810" s="115"/>
      <c r="R810" s="115"/>
      <c r="S810" s="120"/>
      <c r="T810" s="120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</row>
    <row r="811" ht="18.0" customHeight="1">
      <c r="A811" s="114"/>
      <c r="B811" s="115"/>
      <c r="C811" s="115"/>
      <c r="D811" s="115"/>
      <c r="E811" s="116"/>
      <c r="F811" s="116"/>
      <c r="G811" s="115"/>
      <c r="H811" s="115"/>
      <c r="I811" s="115"/>
      <c r="J811" s="115"/>
      <c r="K811" s="115"/>
      <c r="L811" s="127"/>
      <c r="M811" s="128"/>
      <c r="N811" s="127"/>
      <c r="O811" s="115"/>
      <c r="P811" s="115"/>
      <c r="Q811" s="115"/>
      <c r="R811" s="115"/>
      <c r="S811" s="120"/>
      <c r="T811" s="120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</row>
    <row r="812" ht="18.0" customHeight="1">
      <c r="A812" s="114"/>
      <c r="B812" s="115"/>
      <c r="C812" s="115"/>
      <c r="D812" s="115"/>
      <c r="E812" s="116"/>
      <c r="F812" s="116"/>
      <c r="G812" s="115"/>
      <c r="H812" s="115"/>
      <c r="I812" s="115"/>
      <c r="J812" s="115"/>
      <c r="K812" s="115"/>
      <c r="L812" s="127"/>
      <c r="M812" s="128"/>
      <c r="N812" s="127"/>
      <c r="O812" s="115"/>
      <c r="P812" s="115"/>
      <c r="Q812" s="115"/>
      <c r="R812" s="115"/>
      <c r="S812" s="120"/>
      <c r="T812" s="120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</row>
    <row r="813" ht="18.0" customHeight="1">
      <c r="A813" s="114"/>
      <c r="B813" s="115"/>
      <c r="C813" s="115"/>
      <c r="D813" s="115"/>
      <c r="E813" s="116"/>
      <c r="F813" s="116"/>
      <c r="G813" s="115"/>
      <c r="H813" s="115"/>
      <c r="I813" s="115"/>
      <c r="J813" s="115"/>
      <c r="K813" s="115"/>
      <c r="L813" s="127"/>
      <c r="M813" s="128"/>
      <c r="N813" s="127"/>
      <c r="O813" s="115"/>
      <c r="P813" s="115"/>
      <c r="Q813" s="115"/>
      <c r="R813" s="115"/>
      <c r="S813" s="120"/>
      <c r="T813" s="120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</row>
    <row r="814" ht="18.0" customHeight="1">
      <c r="A814" s="114"/>
      <c r="B814" s="115"/>
      <c r="C814" s="115"/>
      <c r="D814" s="115"/>
      <c r="E814" s="116"/>
      <c r="F814" s="116"/>
      <c r="G814" s="115"/>
      <c r="H814" s="115"/>
      <c r="I814" s="115"/>
      <c r="J814" s="115"/>
      <c r="K814" s="115"/>
      <c r="L814" s="127"/>
      <c r="M814" s="128"/>
      <c r="N814" s="127"/>
      <c r="O814" s="115"/>
      <c r="P814" s="115"/>
      <c r="Q814" s="115"/>
      <c r="R814" s="115"/>
      <c r="S814" s="120"/>
      <c r="T814" s="120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</row>
    <row r="815" ht="18.0" customHeight="1">
      <c r="A815" s="114"/>
      <c r="B815" s="115"/>
      <c r="C815" s="115"/>
      <c r="D815" s="115"/>
      <c r="E815" s="116"/>
      <c r="F815" s="116"/>
      <c r="G815" s="115"/>
      <c r="H815" s="115"/>
      <c r="I815" s="115"/>
      <c r="J815" s="115"/>
      <c r="K815" s="115"/>
      <c r="L815" s="127"/>
      <c r="M815" s="128"/>
      <c r="N815" s="127"/>
      <c r="O815" s="115"/>
      <c r="P815" s="115"/>
      <c r="Q815" s="115"/>
      <c r="R815" s="115"/>
      <c r="S815" s="120"/>
      <c r="T815" s="120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</row>
    <row r="816" ht="18.0" customHeight="1">
      <c r="A816" s="114"/>
      <c r="B816" s="115"/>
      <c r="C816" s="115"/>
      <c r="D816" s="115"/>
      <c r="E816" s="116"/>
      <c r="F816" s="116"/>
      <c r="G816" s="115"/>
      <c r="H816" s="115"/>
      <c r="I816" s="115"/>
      <c r="J816" s="115"/>
      <c r="K816" s="115"/>
      <c r="L816" s="127"/>
      <c r="M816" s="128"/>
      <c r="N816" s="127"/>
      <c r="O816" s="115"/>
      <c r="P816" s="115"/>
      <c r="Q816" s="115"/>
      <c r="R816" s="115"/>
      <c r="S816" s="120"/>
      <c r="T816" s="120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</row>
    <row r="817" ht="18.0" customHeight="1">
      <c r="A817" s="114"/>
      <c r="B817" s="115"/>
      <c r="C817" s="115"/>
      <c r="D817" s="115"/>
      <c r="E817" s="116"/>
      <c r="F817" s="116"/>
      <c r="G817" s="115"/>
      <c r="H817" s="115"/>
      <c r="I817" s="115"/>
      <c r="J817" s="115"/>
      <c r="K817" s="115"/>
      <c r="L817" s="127"/>
      <c r="M817" s="128"/>
      <c r="N817" s="127"/>
      <c r="O817" s="115"/>
      <c r="P817" s="115"/>
      <c r="Q817" s="115"/>
      <c r="R817" s="115"/>
      <c r="S817" s="120"/>
      <c r="T817" s="120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</row>
    <row r="818" ht="18.0" customHeight="1">
      <c r="A818" s="114"/>
      <c r="B818" s="115"/>
      <c r="C818" s="115"/>
      <c r="D818" s="115"/>
      <c r="E818" s="116"/>
      <c r="F818" s="116"/>
      <c r="G818" s="115"/>
      <c r="H818" s="115"/>
      <c r="I818" s="115"/>
      <c r="J818" s="115"/>
      <c r="K818" s="115"/>
      <c r="L818" s="127"/>
      <c r="M818" s="128"/>
      <c r="N818" s="127"/>
      <c r="O818" s="115"/>
      <c r="P818" s="115"/>
      <c r="Q818" s="115"/>
      <c r="R818" s="115"/>
      <c r="S818" s="120"/>
      <c r="T818" s="120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</row>
    <row r="819" ht="18.0" customHeight="1">
      <c r="A819" s="114"/>
      <c r="B819" s="115"/>
      <c r="C819" s="115"/>
      <c r="D819" s="115"/>
      <c r="E819" s="116"/>
      <c r="F819" s="116"/>
      <c r="G819" s="115"/>
      <c r="H819" s="115"/>
      <c r="I819" s="115"/>
      <c r="J819" s="115"/>
      <c r="K819" s="115"/>
      <c r="L819" s="127"/>
      <c r="M819" s="128"/>
      <c r="N819" s="127"/>
      <c r="O819" s="115"/>
      <c r="P819" s="115"/>
      <c r="Q819" s="115"/>
      <c r="R819" s="115"/>
      <c r="S819" s="120"/>
      <c r="T819" s="120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</row>
    <row r="820" ht="18.0" customHeight="1">
      <c r="A820" s="114"/>
      <c r="B820" s="115"/>
      <c r="C820" s="115"/>
      <c r="D820" s="115"/>
      <c r="E820" s="116"/>
      <c r="F820" s="116"/>
      <c r="G820" s="115"/>
      <c r="H820" s="115"/>
      <c r="I820" s="115"/>
      <c r="J820" s="115"/>
      <c r="K820" s="115"/>
      <c r="L820" s="127"/>
      <c r="M820" s="128"/>
      <c r="N820" s="127"/>
      <c r="O820" s="115"/>
      <c r="P820" s="115"/>
      <c r="Q820" s="115"/>
      <c r="R820" s="115"/>
      <c r="S820" s="120"/>
      <c r="T820" s="120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</row>
    <row r="821" ht="18.0" customHeight="1">
      <c r="A821" s="114"/>
      <c r="B821" s="115"/>
      <c r="C821" s="115"/>
      <c r="D821" s="115"/>
      <c r="E821" s="116"/>
      <c r="F821" s="116"/>
      <c r="G821" s="115"/>
      <c r="H821" s="115"/>
      <c r="I821" s="115"/>
      <c r="J821" s="115"/>
      <c r="K821" s="115"/>
      <c r="L821" s="127"/>
      <c r="M821" s="128"/>
      <c r="N821" s="127"/>
      <c r="O821" s="115"/>
      <c r="P821" s="115"/>
      <c r="Q821" s="115"/>
      <c r="R821" s="115"/>
      <c r="S821" s="120"/>
      <c r="T821" s="120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</row>
    <row r="822" ht="18.0" customHeight="1">
      <c r="A822" s="114"/>
      <c r="B822" s="115"/>
      <c r="C822" s="115"/>
      <c r="D822" s="115"/>
      <c r="E822" s="116"/>
      <c r="F822" s="116"/>
      <c r="G822" s="115"/>
      <c r="H822" s="115"/>
      <c r="I822" s="115"/>
      <c r="J822" s="115"/>
      <c r="K822" s="115"/>
      <c r="L822" s="127"/>
      <c r="M822" s="128"/>
      <c r="N822" s="127"/>
      <c r="O822" s="115"/>
      <c r="P822" s="115"/>
      <c r="Q822" s="115"/>
      <c r="R822" s="115"/>
      <c r="S822" s="120"/>
      <c r="T822" s="120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</row>
    <row r="823" ht="18.0" customHeight="1">
      <c r="A823" s="114"/>
      <c r="B823" s="115"/>
      <c r="C823" s="115"/>
      <c r="D823" s="115"/>
      <c r="E823" s="116"/>
      <c r="F823" s="116"/>
      <c r="G823" s="115"/>
      <c r="H823" s="115"/>
      <c r="I823" s="115"/>
      <c r="J823" s="115"/>
      <c r="K823" s="115"/>
      <c r="L823" s="127"/>
      <c r="M823" s="128"/>
      <c r="N823" s="127"/>
      <c r="O823" s="115"/>
      <c r="P823" s="115"/>
      <c r="Q823" s="115"/>
      <c r="R823" s="115"/>
      <c r="S823" s="120"/>
      <c r="T823" s="120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</row>
    <row r="824" ht="18.0" customHeight="1">
      <c r="A824" s="114"/>
      <c r="B824" s="115"/>
      <c r="C824" s="115"/>
      <c r="D824" s="115"/>
      <c r="E824" s="116"/>
      <c r="F824" s="116"/>
      <c r="G824" s="115"/>
      <c r="H824" s="115"/>
      <c r="I824" s="115"/>
      <c r="J824" s="115"/>
      <c r="K824" s="115"/>
      <c r="L824" s="127"/>
      <c r="M824" s="128"/>
      <c r="N824" s="127"/>
      <c r="O824" s="115"/>
      <c r="P824" s="115"/>
      <c r="Q824" s="115"/>
      <c r="R824" s="115"/>
      <c r="S824" s="120"/>
      <c r="T824" s="120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</row>
    <row r="825" ht="18.0" customHeight="1">
      <c r="A825" s="114"/>
      <c r="B825" s="115"/>
      <c r="C825" s="115"/>
      <c r="D825" s="115"/>
      <c r="E825" s="116"/>
      <c r="F825" s="116"/>
      <c r="G825" s="115"/>
      <c r="H825" s="115"/>
      <c r="I825" s="115"/>
      <c r="J825" s="115"/>
      <c r="K825" s="115"/>
      <c r="L825" s="127"/>
      <c r="M825" s="128"/>
      <c r="N825" s="127"/>
      <c r="O825" s="115"/>
      <c r="P825" s="115"/>
      <c r="Q825" s="115"/>
      <c r="R825" s="115"/>
      <c r="S825" s="120"/>
      <c r="T825" s="120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</row>
    <row r="826" ht="18.0" customHeight="1">
      <c r="A826" s="114"/>
      <c r="B826" s="115"/>
      <c r="C826" s="115"/>
      <c r="D826" s="115"/>
      <c r="E826" s="116"/>
      <c r="F826" s="116"/>
      <c r="G826" s="115"/>
      <c r="H826" s="115"/>
      <c r="I826" s="115"/>
      <c r="J826" s="115"/>
      <c r="K826" s="115"/>
      <c r="L826" s="127"/>
      <c r="M826" s="128"/>
      <c r="N826" s="127"/>
      <c r="O826" s="115"/>
      <c r="P826" s="115"/>
      <c r="Q826" s="115"/>
      <c r="R826" s="115"/>
      <c r="S826" s="120"/>
      <c r="T826" s="120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</row>
    <row r="827" ht="18.0" customHeight="1">
      <c r="A827" s="114"/>
      <c r="B827" s="115"/>
      <c r="C827" s="115"/>
      <c r="D827" s="115"/>
      <c r="E827" s="116"/>
      <c r="F827" s="116"/>
      <c r="G827" s="115"/>
      <c r="H827" s="115"/>
      <c r="I827" s="115"/>
      <c r="J827" s="115"/>
      <c r="K827" s="115"/>
      <c r="L827" s="127"/>
      <c r="M827" s="128"/>
      <c r="N827" s="127"/>
      <c r="O827" s="115"/>
      <c r="P827" s="115"/>
      <c r="Q827" s="115"/>
      <c r="R827" s="115"/>
      <c r="S827" s="120"/>
      <c r="T827" s="120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</row>
    <row r="828" ht="18.0" customHeight="1">
      <c r="A828" s="114"/>
      <c r="B828" s="115"/>
      <c r="C828" s="115"/>
      <c r="D828" s="115"/>
      <c r="E828" s="116"/>
      <c r="F828" s="116"/>
      <c r="G828" s="115"/>
      <c r="H828" s="115"/>
      <c r="I828" s="115"/>
      <c r="J828" s="115"/>
      <c r="K828" s="115"/>
      <c r="L828" s="127"/>
      <c r="M828" s="128"/>
      <c r="N828" s="127"/>
      <c r="O828" s="115"/>
      <c r="P828" s="115"/>
      <c r="Q828" s="115"/>
      <c r="R828" s="115"/>
      <c r="S828" s="120"/>
      <c r="T828" s="120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</row>
    <row r="829" ht="18.0" customHeight="1">
      <c r="A829" s="114"/>
      <c r="B829" s="115"/>
      <c r="C829" s="115"/>
      <c r="D829" s="115"/>
      <c r="E829" s="116"/>
      <c r="F829" s="116"/>
      <c r="G829" s="115"/>
      <c r="H829" s="115"/>
      <c r="I829" s="115"/>
      <c r="J829" s="115"/>
      <c r="K829" s="115"/>
      <c r="L829" s="127"/>
      <c r="M829" s="128"/>
      <c r="N829" s="127"/>
      <c r="O829" s="115"/>
      <c r="P829" s="115"/>
      <c r="Q829" s="115"/>
      <c r="R829" s="115"/>
      <c r="S829" s="120"/>
      <c r="T829" s="120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</row>
    <row r="830" ht="18.0" customHeight="1">
      <c r="A830" s="114"/>
      <c r="B830" s="115"/>
      <c r="C830" s="115"/>
      <c r="D830" s="115"/>
      <c r="E830" s="116"/>
      <c r="F830" s="116"/>
      <c r="G830" s="115"/>
      <c r="H830" s="115"/>
      <c r="I830" s="115"/>
      <c r="J830" s="115"/>
      <c r="K830" s="115"/>
      <c r="L830" s="127"/>
      <c r="M830" s="128"/>
      <c r="N830" s="127"/>
      <c r="O830" s="115"/>
      <c r="P830" s="115"/>
      <c r="Q830" s="115"/>
      <c r="R830" s="115"/>
      <c r="S830" s="120"/>
      <c r="T830" s="120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</row>
    <row r="831" ht="18.0" customHeight="1">
      <c r="A831" s="114"/>
      <c r="B831" s="115"/>
      <c r="C831" s="115"/>
      <c r="D831" s="115"/>
      <c r="E831" s="116"/>
      <c r="F831" s="116"/>
      <c r="G831" s="115"/>
      <c r="H831" s="115"/>
      <c r="I831" s="115"/>
      <c r="J831" s="115"/>
      <c r="K831" s="115"/>
      <c r="L831" s="127"/>
      <c r="M831" s="128"/>
      <c r="N831" s="127"/>
      <c r="O831" s="115"/>
      <c r="P831" s="115"/>
      <c r="Q831" s="115"/>
      <c r="R831" s="115"/>
      <c r="S831" s="120"/>
      <c r="T831" s="120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</row>
    <row r="832" ht="18.0" customHeight="1">
      <c r="A832" s="114"/>
      <c r="B832" s="115"/>
      <c r="C832" s="115"/>
      <c r="D832" s="115"/>
      <c r="E832" s="116"/>
      <c r="F832" s="116"/>
      <c r="G832" s="115"/>
      <c r="H832" s="115"/>
      <c r="I832" s="115"/>
      <c r="J832" s="115"/>
      <c r="K832" s="115"/>
      <c r="L832" s="127"/>
      <c r="M832" s="128"/>
      <c r="N832" s="127"/>
      <c r="O832" s="115"/>
      <c r="P832" s="115"/>
      <c r="Q832" s="115"/>
      <c r="R832" s="115"/>
      <c r="S832" s="120"/>
      <c r="T832" s="120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</row>
    <row r="833" ht="18.0" customHeight="1">
      <c r="A833" s="114"/>
      <c r="B833" s="115"/>
      <c r="C833" s="115"/>
      <c r="D833" s="115"/>
      <c r="E833" s="116"/>
      <c r="F833" s="116"/>
      <c r="G833" s="115"/>
      <c r="H833" s="115"/>
      <c r="I833" s="115"/>
      <c r="J833" s="115"/>
      <c r="K833" s="115"/>
      <c r="L833" s="127"/>
      <c r="M833" s="128"/>
      <c r="N833" s="127"/>
      <c r="O833" s="115"/>
      <c r="P833" s="115"/>
      <c r="Q833" s="115"/>
      <c r="R833" s="115"/>
      <c r="S833" s="120"/>
      <c r="T833" s="120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</row>
    <row r="834" ht="18.0" customHeight="1">
      <c r="A834" s="114"/>
      <c r="B834" s="115"/>
      <c r="C834" s="115"/>
      <c r="D834" s="115"/>
      <c r="E834" s="116"/>
      <c r="F834" s="116"/>
      <c r="G834" s="115"/>
      <c r="H834" s="115"/>
      <c r="I834" s="115"/>
      <c r="J834" s="115"/>
      <c r="K834" s="115"/>
      <c r="L834" s="127"/>
      <c r="M834" s="128"/>
      <c r="N834" s="127"/>
      <c r="O834" s="115"/>
      <c r="P834" s="115"/>
      <c r="Q834" s="115"/>
      <c r="R834" s="115"/>
      <c r="S834" s="120"/>
      <c r="T834" s="120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</row>
    <row r="835" ht="18.0" customHeight="1">
      <c r="A835" s="114"/>
      <c r="B835" s="115"/>
      <c r="C835" s="115"/>
      <c r="D835" s="115"/>
      <c r="E835" s="116"/>
      <c r="F835" s="116"/>
      <c r="G835" s="115"/>
      <c r="H835" s="115"/>
      <c r="I835" s="115"/>
      <c r="J835" s="115"/>
      <c r="K835" s="115"/>
      <c r="L835" s="127"/>
      <c r="M835" s="128"/>
      <c r="N835" s="127"/>
      <c r="O835" s="115"/>
      <c r="P835" s="115"/>
      <c r="Q835" s="115"/>
      <c r="R835" s="115"/>
      <c r="S835" s="120"/>
      <c r="T835" s="120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</row>
    <row r="836" ht="18.0" customHeight="1">
      <c r="A836" s="114"/>
      <c r="B836" s="115"/>
      <c r="C836" s="115"/>
      <c r="D836" s="115"/>
      <c r="E836" s="116"/>
      <c r="F836" s="116"/>
      <c r="G836" s="115"/>
      <c r="H836" s="115"/>
      <c r="I836" s="115"/>
      <c r="J836" s="115"/>
      <c r="K836" s="115"/>
      <c r="L836" s="127"/>
      <c r="M836" s="128"/>
      <c r="N836" s="127"/>
      <c r="O836" s="115"/>
      <c r="P836" s="115"/>
      <c r="Q836" s="115"/>
      <c r="R836" s="115"/>
      <c r="S836" s="120"/>
      <c r="T836" s="120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</row>
    <row r="837" ht="18.0" customHeight="1">
      <c r="A837" s="114"/>
      <c r="B837" s="115"/>
      <c r="C837" s="115"/>
      <c r="D837" s="115"/>
      <c r="E837" s="116"/>
      <c r="F837" s="116"/>
      <c r="G837" s="115"/>
      <c r="H837" s="115"/>
      <c r="I837" s="115"/>
      <c r="J837" s="115"/>
      <c r="K837" s="115"/>
      <c r="L837" s="127"/>
      <c r="M837" s="128"/>
      <c r="N837" s="127"/>
      <c r="O837" s="115"/>
      <c r="P837" s="115"/>
      <c r="Q837" s="115"/>
      <c r="R837" s="115"/>
      <c r="S837" s="120"/>
      <c r="T837" s="120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</row>
    <row r="838" ht="18.0" customHeight="1">
      <c r="A838" s="114"/>
      <c r="B838" s="115"/>
      <c r="C838" s="115"/>
      <c r="D838" s="115"/>
      <c r="E838" s="116"/>
      <c r="F838" s="116"/>
      <c r="G838" s="115"/>
      <c r="H838" s="115"/>
      <c r="I838" s="115"/>
      <c r="J838" s="115"/>
      <c r="K838" s="115"/>
      <c r="L838" s="127"/>
      <c r="M838" s="128"/>
      <c r="N838" s="127"/>
      <c r="O838" s="115"/>
      <c r="P838" s="115"/>
      <c r="Q838" s="115"/>
      <c r="R838" s="115"/>
      <c r="S838" s="120"/>
      <c r="T838" s="120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</row>
    <row r="839" ht="18.0" customHeight="1">
      <c r="A839" s="114"/>
      <c r="B839" s="115"/>
      <c r="C839" s="115"/>
      <c r="D839" s="115"/>
      <c r="E839" s="116"/>
      <c r="F839" s="116"/>
      <c r="G839" s="115"/>
      <c r="H839" s="115"/>
      <c r="I839" s="115"/>
      <c r="J839" s="115"/>
      <c r="K839" s="115"/>
      <c r="L839" s="127"/>
      <c r="M839" s="128"/>
      <c r="N839" s="127"/>
      <c r="O839" s="115"/>
      <c r="P839" s="115"/>
      <c r="Q839" s="115"/>
      <c r="R839" s="115"/>
      <c r="S839" s="120"/>
      <c r="T839" s="120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</row>
    <row r="840" ht="18.0" customHeight="1">
      <c r="A840" s="114"/>
      <c r="B840" s="115"/>
      <c r="C840" s="115"/>
      <c r="D840" s="115"/>
      <c r="E840" s="116"/>
      <c r="F840" s="116"/>
      <c r="G840" s="115"/>
      <c r="H840" s="115"/>
      <c r="I840" s="115"/>
      <c r="J840" s="115"/>
      <c r="K840" s="115"/>
      <c r="L840" s="127"/>
      <c r="M840" s="128"/>
      <c r="N840" s="127"/>
      <c r="O840" s="115"/>
      <c r="P840" s="115"/>
      <c r="Q840" s="115"/>
      <c r="R840" s="115"/>
      <c r="S840" s="120"/>
      <c r="T840" s="120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</row>
    <row r="841" ht="18.0" customHeight="1">
      <c r="A841" s="114"/>
      <c r="B841" s="115"/>
      <c r="C841" s="115"/>
      <c r="D841" s="115"/>
      <c r="E841" s="116"/>
      <c r="F841" s="116"/>
      <c r="G841" s="115"/>
      <c r="H841" s="115"/>
      <c r="I841" s="115"/>
      <c r="J841" s="115"/>
      <c r="K841" s="115"/>
      <c r="L841" s="127"/>
      <c r="M841" s="128"/>
      <c r="N841" s="127"/>
      <c r="O841" s="115"/>
      <c r="P841" s="115"/>
      <c r="Q841" s="115"/>
      <c r="R841" s="115"/>
      <c r="S841" s="120"/>
      <c r="T841" s="120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</row>
    <row r="842" ht="18.0" customHeight="1">
      <c r="A842" s="114"/>
      <c r="B842" s="115"/>
      <c r="C842" s="115"/>
      <c r="D842" s="115"/>
      <c r="E842" s="116"/>
      <c r="F842" s="116"/>
      <c r="G842" s="115"/>
      <c r="H842" s="115"/>
      <c r="I842" s="115"/>
      <c r="J842" s="115"/>
      <c r="K842" s="115"/>
      <c r="L842" s="127"/>
      <c r="M842" s="128"/>
      <c r="N842" s="127"/>
      <c r="O842" s="115"/>
      <c r="P842" s="115"/>
      <c r="Q842" s="115"/>
      <c r="R842" s="115"/>
      <c r="S842" s="120"/>
      <c r="T842" s="120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</row>
    <row r="843" ht="18.0" customHeight="1">
      <c r="A843" s="114"/>
      <c r="B843" s="115"/>
      <c r="C843" s="115"/>
      <c r="D843" s="115"/>
      <c r="E843" s="116"/>
      <c r="F843" s="116"/>
      <c r="G843" s="115"/>
      <c r="H843" s="115"/>
      <c r="I843" s="115"/>
      <c r="J843" s="115"/>
      <c r="K843" s="115"/>
      <c r="L843" s="127"/>
      <c r="M843" s="128"/>
      <c r="N843" s="127"/>
      <c r="O843" s="115"/>
      <c r="P843" s="115"/>
      <c r="Q843" s="115"/>
      <c r="R843" s="115"/>
      <c r="S843" s="120"/>
      <c r="T843" s="120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</row>
    <row r="844" ht="18.0" customHeight="1">
      <c r="A844" s="114"/>
      <c r="B844" s="115"/>
      <c r="C844" s="115"/>
      <c r="D844" s="115"/>
      <c r="E844" s="116"/>
      <c r="F844" s="116"/>
      <c r="G844" s="115"/>
      <c r="H844" s="115"/>
      <c r="I844" s="115"/>
      <c r="J844" s="115"/>
      <c r="K844" s="115"/>
      <c r="L844" s="127"/>
      <c r="M844" s="128"/>
      <c r="N844" s="127"/>
      <c r="O844" s="115"/>
      <c r="P844" s="115"/>
      <c r="Q844" s="115"/>
      <c r="R844" s="115"/>
      <c r="S844" s="120"/>
      <c r="T844" s="120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</row>
    <row r="845" ht="18.0" customHeight="1">
      <c r="A845" s="114"/>
      <c r="B845" s="115"/>
      <c r="C845" s="115"/>
      <c r="D845" s="115"/>
      <c r="E845" s="116"/>
      <c r="F845" s="116"/>
      <c r="G845" s="115"/>
      <c r="H845" s="115"/>
      <c r="I845" s="115"/>
      <c r="J845" s="115"/>
      <c r="K845" s="115"/>
      <c r="L845" s="127"/>
      <c r="M845" s="128"/>
      <c r="N845" s="127"/>
      <c r="O845" s="115"/>
      <c r="P845" s="115"/>
      <c r="Q845" s="115"/>
      <c r="R845" s="115"/>
      <c r="S845" s="120"/>
      <c r="T845" s="120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</row>
    <row r="846" ht="18.0" customHeight="1">
      <c r="A846" s="114"/>
      <c r="B846" s="115"/>
      <c r="C846" s="115"/>
      <c r="D846" s="115"/>
      <c r="E846" s="116"/>
      <c r="F846" s="116"/>
      <c r="G846" s="115"/>
      <c r="H846" s="115"/>
      <c r="I846" s="115"/>
      <c r="J846" s="115"/>
      <c r="K846" s="115"/>
      <c r="L846" s="127"/>
      <c r="M846" s="128"/>
      <c r="N846" s="127"/>
      <c r="O846" s="115"/>
      <c r="P846" s="115"/>
      <c r="Q846" s="115"/>
      <c r="R846" s="115"/>
      <c r="S846" s="120"/>
      <c r="T846" s="120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</row>
    <row r="847" ht="18.0" customHeight="1">
      <c r="A847" s="114"/>
      <c r="B847" s="115"/>
      <c r="C847" s="115"/>
      <c r="D847" s="115"/>
      <c r="E847" s="116"/>
      <c r="F847" s="116"/>
      <c r="G847" s="115"/>
      <c r="H847" s="115"/>
      <c r="I847" s="115"/>
      <c r="J847" s="115"/>
      <c r="K847" s="115"/>
      <c r="L847" s="127"/>
      <c r="M847" s="128"/>
      <c r="N847" s="127"/>
      <c r="O847" s="115"/>
      <c r="P847" s="115"/>
      <c r="Q847" s="115"/>
      <c r="R847" s="115"/>
      <c r="S847" s="120"/>
      <c r="T847" s="120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</row>
    <row r="848" ht="18.0" customHeight="1">
      <c r="A848" s="114"/>
      <c r="B848" s="115"/>
      <c r="C848" s="115"/>
      <c r="D848" s="115"/>
      <c r="E848" s="116"/>
      <c r="F848" s="116"/>
      <c r="G848" s="115"/>
      <c r="H848" s="115"/>
      <c r="I848" s="115"/>
      <c r="J848" s="115"/>
      <c r="K848" s="115"/>
      <c r="L848" s="127"/>
      <c r="M848" s="128"/>
      <c r="N848" s="127"/>
      <c r="O848" s="115"/>
      <c r="P848" s="115"/>
      <c r="Q848" s="115"/>
      <c r="R848" s="115"/>
      <c r="S848" s="120"/>
      <c r="T848" s="120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</row>
    <row r="849" ht="18.0" customHeight="1">
      <c r="A849" s="114"/>
      <c r="B849" s="115"/>
      <c r="C849" s="115"/>
      <c r="D849" s="115"/>
      <c r="E849" s="116"/>
      <c r="F849" s="116"/>
      <c r="G849" s="115"/>
      <c r="H849" s="115"/>
      <c r="I849" s="115"/>
      <c r="J849" s="115"/>
      <c r="K849" s="115"/>
      <c r="L849" s="127"/>
      <c r="M849" s="128"/>
      <c r="N849" s="127"/>
      <c r="O849" s="115"/>
      <c r="P849" s="115"/>
      <c r="Q849" s="115"/>
      <c r="R849" s="115"/>
      <c r="S849" s="120"/>
      <c r="T849" s="120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</row>
    <row r="850" ht="18.0" customHeight="1">
      <c r="A850" s="114"/>
      <c r="B850" s="115"/>
      <c r="C850" s="115"/>
      <c r="D850" s="115"/>
      <c r="E850" s="116"/>
      <c r="F850" s="116"/>
      <c r="G850" s="115"/>
      <c r="H850" s="115"/>
      <c r="I850" s="115"/>
      <c r="J850" s="115"/>
      <c r="K850" s="115"/>
      <c r="L850" s="127"/>
      <c r="M850" s="128"/>
      <c r="N850" s="127"/>
      <c r="O850" s="115"/>
      <c r="P850" s="115"/>
      <c r="Q850" s="115"/>
      <c r="R850" s="115"/>
      <c r="S850" s="120"/>
      <c r="T850" s="120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</row>
    <row r="851" ht="18.0" customHeight="1">
      <c r="A851" s="114"/>
      <c r="B851" s="115"/>
      <c r="C851" s="115"/>
      <c r="D851" s="115"/>
      <c r="E851" s="116"/>
      <c r="F851" s="116"/>
      <c r="G851" s="115"/>
      <c r="H851" s="115"/>
      <c r="I851" s="115"/>
      <c r="J851" s="115"/>
      <c r="K851" s="115"/>
      <c r="L851" s="127"/>
      <c r="M851" s="128"/>
      <c r="N851" s="127"/>
      <c r="O851" s="115"/>
      <c r="P851" s="115"/>
      <c r="Q851" s="115"/>
      <c r="R851" s="115"/>
      <c r="S851" s="120"/>
      <c r="T851" s="120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</row>
    <row r="852" ht="18.0" customHeight="1">
      <c r="A852" s="114"/>
      <c r="B852" s="115"/>
      <c r="C852" s="115"/>
      <c r="D852" s="115"/>
      <c r="E852" s="116"/>
      <c r="F852" s="116"/>
      <c r="G852" s="115"/>
      <c r="H852" s="115"/>
      <c r="I852" s="115"/>
      <c r="J852" s="115"/>
      <c r="K852" s="115"/>
      <c r="L852" s="127"/>
      <c r="M852" s="128"/>
      <c r="N852" s="127"/>
      <c r="O852" s="115"/>
      <c r="P852" s="115"/>
      <c r="Q852" s="115"/>
      <c r="R852" s="115"/>
      <c r="S852" s="120"/>
      <c r="T852" s="120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</row>
    <row r="853" ht="18.0" customHeight="1">
      <c r="A853" s="114"/>
      <c r="B853" s="115"/>
      <c r="C853" s="115"/>
      <c r="D853" s="115"/>
      <c r="E853" s="116"/>
      <c r="F853" s="116"/>
      <c r="G853" s="115"/>
      <c r="H853" s="115"/>
      <c r="I853" s="115"/>
      <c r="J853" s="115"/>
      <c r="K853" s="115"/>
      <c r="L853" s="127"/>
      <c r="M853" s="128"/>
      <c r="N853" s="127"/>
      <c r="O853" s="115"/>
      <c r="P853" s="115"/>
      <c r="Q853" s="115"/>
      <c r="R853" s="115"/>
      <c r="S853" s="120"/>
      <c r="T853" s="120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</row>
    <row r="854" ht="18.0" customHeight="1">
      <c r="A854" s="114"/>
      <c r="B854" s="115"/>
      <c r="C854" s="115"/>
      <c r="D854" s="115"/>
      <c r="E854" s="116"/>
      <c r="F854" s="116"/>
      <c r="G854" s="115"/>
      <c r="H854" s="115"/>
      <c r="I854" s="115"/>
      <c r="J854" s="115"/>
      <c r="K854" s="115"/>
      <c r="L854" s="127"/>
      <c r="M854" s="128"/>
      <c r="N854" s="127"/>
      <c r="O854" s="115"/>
      <c r="P854" s="115"/>
      <c r="Q854" s="115"/>
      <c r="R854" s="115"/>
      <c r="S854" s="120"/>
      <c r="T854" s="120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</row>
    <row r="855" ht="18.0" customHeight="1">
      <c r="A855" s="114"/>
      <c r="B855" s="115"/>
      <c r="C855" s="115"/>
      <c r="D855" s="115"/>
      <c r="E855" s="116"/>
      <c r="F855" s="116"/>
      <c r="G855" s="115"/>
      <c r="H855" s="115"/>
      <c r="I855" s="115"/>
      <c r="J855" s="115"/>
      <c r="K855" s="115"/>
      <c r="L855" s="127"/>
      <c r="M855" s="128"/>
      <c r="N855" s="127"/>
      <c r="O855" s="115"/>
      <c r="P855" s="115"/>
      <c r="Q855" s="115"/>
      <c r="R855" s="115"/>
      <c r="S855" s="120"/>
      <c r="T855" s="120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</row>
    <row r="856" ht="18.0" customHeight="1">
      <c r="A856" s="114"/>
      <c r="B856" s="115"/>
      <c r="C856" s="115"/>
      <c r="D856" s="115"/>
      <c r="E856" s="116"/>
      <c r="F856" s="116"/>
      <c r="G856" s="115"/>
      <c r="H856" s="115"/>
      <c r="I856" s="115"/>
      <c r="J856" s="115"/>
      <c r="K856" s="115"/>
      <c r="L856" s="127"/>
      <c r="M856" s="128"/>
      <c r="N856" s="127"/>
      <c r="O856" s="115"/>
      <c r="P856" s="115"/>
      <c r="Q856" s="115"/>
      <c r="R856" s="115"/>
      <c r="S856" s="120"/>
      <c r="T856" s="120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</row>
    <row r="857" ht="18.0" customHeight="1">
      <c r="A857" s="114"/>
      <c r="B857" s="115"/>
      <c r="C857" s="115"/>
      <c r="D857" s="115"/>
      <c r="E857" s="116"/>
      <c r="F857" s="116"/>
      <c r="G857" s="115"/>
      <c r="H857" s="115"/>
      <c r="I857" s="115"/>
      <c r="J857" s="115"/>
      <c r="K857" s="115"/>
      <c r="L857" s="127"/>
      <c r="M857" s="128"/>
      <c r="N857" s="127"/>
      <c r="O857" s="115"/>
      <c r="P857" s="115"/>
      <c r="Q857" s="115"/>
      <c r="R857" s="115"/>
      <c r="S857" s="120"/>
      <c r="T857" s="120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</row>
    <row r="858" ht="18.0" customHeight="1">
      <c r="A858" s="114"/>
      <c r="B858" s="115"/>
      <c r="C858" s="115"/>
      <c r="D858" s="115"/>
      <c r="E858" s="116"/>
      <c r="F858" s="116"/>
      <c r="G858" s="115"/>
      <c r="H858" s="115"/>
      <c r="I858" s="115"/>
      <c r="J858" s="115"/>
      <c r="K858" s="115"/>
      <c r="L858" s="127"/>
      <c r="M858" s="128"/>
      <c r="N858" s="127"/>
      <c r="O858" s="115"/>
      <c r="P858" s="115"/>
      <c r="Q858" s="115"/>
      <c r="R858" s="115"/>
      <c r="S858" s="120"/>
      <c r="T858" s="120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</row>
    <row r="859" ht="18.0" customHeight="1">
      <c r="A859" s="114"/>
      <c r="B859" s="115"/>
      <c r="C859" s="115"/>
      <c r="D859" s="115"/>
      <c r="E859" s="116"/>
      <c r="F859" s="116"/>
      <c r="G859" s="115"/>
      <c r="H859" s="115"/>
      <c r="I859" s="115"/>
      <c r="J859" s="115"/>
      <c r="K859" s="115"/>
      <c r="L859" s="127"/>
      <c r="M859" s="128"/>
      <c r="N859" s="127"/>
      <c r="O859" s="115"/>
      <c r="P859" s="115"/>
      <c r="Q859" s="115"/>
      <c r="R859" s="115"/>
      <c r="S859" s="120"/>
      <c r="T859" s="120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</row>
    <row r="860" ht="18.0" customHeight="1">
      <c r="A860" s="114"/>
      <c r="B860" s="115"/>
      <c r="C860" s="115"/>
      <c r="D860" s="115"/>
      <c r="E860" s="116"/>
      <c r="F860" s="116"/>
      <c r="G860" s="115"/>
      <c r="H860" s="115"/>
      <c r="I860" s="115"/>
      <c r="J860" s="115"/>
      <c r="K860" s="115"/>
      <c r="L860" s="127"/>
      <c r="M860" s="128"/>
      <c r="N860" s="127"/>
      <c r="O860" s="115"/>
      <c r="P860" s="115"/>
      <c r="Q860" s="115"/>
      <c r="R860" s="115"/>
      <c r="S860" s="120"/>
      <c r="T860" s="120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</row>
    <row r="861" ht="18.0" customHeight="1">
      <c r="A861" s="114"/>
      <c r="B861" s="115"/>
      <c r="C861" s="115"/>
      <c r="D861" s="115"/>
      <c r="E861" s="116"/>
      <c r="F861" s="116"/>
      <c r="G861" s="115"/>
      <c r="H861" s="115"/>
      <c r="I861" s="115"/>
      <c r="J861" s="115"/>
      <c r="K861" s="115"/>
      <c r="L861" s="127"/>
      <c r="M861" s="128"/>
      <c r="N861" s="127"/>
      <c r="O861" s="115"/>
      <c r="P861" s="115"/>
      <c r="Q861" s="115"/>
      <c r="R861" s="115"/>
      <c r="S861" s="120"/>
      <c r="T861" s="120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</row>
    <row r="862" ht="18.0" customHeight="1">
      <c r="A862" s="114"/>
      <c r="B862" s="115"/>
      <c r="C862" s="115"/>
      <c r="D862" s="115"/>
      <c r="E862" s="116"/>
      <c r="F862" s="116"/>
      <c r="G862" s="115"/>
      <c r="H862" s="115"/>
      <c r="I862" s="115"/>
      <c r="J862" s="115"/>
      <c r="K862" s="115"/>
      <c r="L862" s="127"/>
      <c r="M862" s="128"/>
      <c r="N862" s="127"/>
      <c r="O862" s="115"/>
      <c r="P862" s="115"/>
      <c r="Q862" s="115"/>
      <c r="R862" s="115"/>
      <c r="S862" s="120"/>
      <c r="T862" s="120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</row>
    <row r="863" ht="18.0" customHeight="1">
      <c r="A863" s="114"/>
      <c r="B863" s="115"/>
      <c r="C863" s="115"/>
      <c r="D863" s="115"/>
      <c r="E863" s="116"/>
      <c r="F863" s="116"/>
      <c r="G863" s="115"/>
      <c r="H863" s="115"/>
      <c r="I863" s="115"/>
      <c r="J863" s="115"/>
      <c r="K863" s="115"/>
      <c r="L863" s="127"/>
      <c r="M863" s="128"/>
      <c r="N863" s="127"/>
      <c r="O863" s="115"/>
      <c r="P863" s="115"/>
      <c r="Q863" s="115"/>
      <c r="R863" s="115"/>
      <c r="S863" s="120"/>
      <c r="T863" s="120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</row>
    <row r="864" ht="18.0" customHeight="1">
      <c r="A864" s="114"/>
      <c r="B864" s="115"/>
      <c r="C864" s="115"/>
      <c r="D864" s="115"/>
      <c r="E864" s="116"/>
      <c r="F864" s="116"/>
      <c r="G864" s="115"/>
      <c r="H864" s="115"/>
      <c r="I864" s="115"/>
      <c r="J864" s="115"/>
      <c r="K864" s="115"/>
      <c r="L864" s="127"/>
      <c r="M864" s="128"/>
      <c r="N864" s="127"/>
      <c r="O864" s="115"/>
      <c r="P864" s="115"/>
      <c r="Q864" s="115"/>
      <c r="R864" s="115"/>
      <c r="S864" s="120"/>
      <c r="T864" s="120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</row>
    <row r="865" ht="18.0" customHeight="1">
      <c r="A865" s="114"/>
      <c r="B865" s="115"/>
      <c r="C865" s="115"/>
      <c r="D865" s="115"/>
      <c r="E865" s="116"/>
      <c r="F865" s="116"/>
      <c r="G865" s="115"/>
      <c r="H865" s="115"/>
      <c r="I865" s="115"/>
      <c r="J865" s="115"/>
      <c r="K865" s="115"/>
      <c r="L865" s="127"/>
      <c r="M865" s="128"/>
      <c r="N865" s="127"/>
      <c r="O865" s="115"/>
      <c r="P865" s="115"/>
      <c r="Q865" s="115"/>
      <c r="R865" s="115"/>
      <c r="S865" s="120"/>
      <c r="T865" s="120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</row>
    <row r="866" ht="18.0" customHeight="1">
      <c r="A866" s="114"/>
      <c r="B866" s="115"/>
      <c r="C866" s="115"/>
      <c r="D866" s="115"/>
      <c r="E866" s="116"/>
      <c r="F866" s="116"/>
      <c r="G866" s="115"/>
      <c r="H866" s="115"/>
      <c r="I866" s="115"/>
      <c r="J866" s="115"/>
      <c r="K866" s="115"/>
      <c r="L866" s="127"/>
      <c r="M866" s="128"/>
      <c r="N866" s="127"/>
      <c r="O866" s="115"/>
      <c r="P866" s="115"/>
      <c r="Q866" s="115"/>
      <c r="R866" s="115"/>
      <c r="S866" s="120"/>
      <c r="T866" s="120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</row>
    <row r="867" ht="18.0" customHeight="1">
      <c r="A867" s="114"/>
      <c r="B867" s="115"/>
      <c r="C867" s="115"/>
      <c r="D867" s="115"/>
      <c r="E867" s="116"/>
      <c r="F867" s="116"/>
      <c r="G867" s="115"/>
      <c r="H867" s="115"/>
      <c r="I867" s="115"/>
      <c r="J867" s="115"/>
      <c r="K867" s="115"/>
      <c r="L867" s="127"/>
      <c r="M867" s="128"/>
      <c r="N867" s="127"/>
      <c r="O867" s="115"/>
      <c r="P867" s="115"/>
      <c r="Q867" s="115"/>
      <c r="R867" s="115"/>
      <c r="S867" s="120"/>
      <c r="T867" s="120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</row>
    <row r="868" ht="18.0" customHeight="1">
      <c r="A868" s="114"/>
      <c r="B868" s="115"/>
      <c r="C868" s="115"/>
      <c r="D868" s="115"/>
      <c r="E868" s="116"/>
      <c r="F868" s="116"/>
      <c r="G868" s="115"/>
      <c r="H868" s="115"/>
      <c r="I868" s="115"/>
      <c r="J868" s="115"/>
      <c r="K868" s="115"/>
      <c r="L868" s="127"/>
      <c r="M868" s="128"/>
      <c r="N868" s="127"/>
      <c r="O868" s="115"/>
      <c r="P868" s="115"/>
      <c r="Q868" s="115"/>
      <c r="R868" s="115"/>
      <c r="S868" s="120"/>
      <c r="T868" s="120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</row>
    <row r="869" ht="18.0" customHeight="1">
      <c r="A869" s="114"/>
      <c r="B869" s="115"/>
      <c r="C869" s="115"/>
      <c r="D869" s="115"/>
      <c r="E869" s="116"/>
      <c r="F869" s="116"/>
      <c r="G869" s="115"/>
      <c r="H869" s="115"/>
      <c r="I869" s="115"/>
      <c r="J869" s="115"/>
      <c r="K869" s="115"/>
      <c r="L869" s="127"/>
      <c r="M869" s="128"/>
      <c r="N869" s="127"/>
      <c r="O869" s="115"/>
      <c r="P869" s="115"/>
      <c r="Q869" s="115"/>
      <c r="R869" s="115"/>
      <c r="S869" s="120"/>
      <c r="T869" s="120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</row>
    <row r="870" ht="18.0" customHeight="1">
      <c r="A870" s="114"/>
      <c r="B870" s="115"/>
      <c r="C870" s="115"/>
      <c r="D870" s="115"/>
      <c r="E870" s="116"/>
      <c r="F870" s="116"/>
      <c r="G870" s="115"/>
      <c r="H870" s="115"/>
      <c r="I870" s="115"/>
      <c r="J870" s="115"/>
      <c r="K870" s="115"/>
      <c r="L870" s="127"/>
      <c r="M870" s="128"/>
      <c r="N870" s="127"/>
      <c r="O870" s="115"/>
      <c r="P870" s="115"/>
      <c r="Q870" s="115"/>
      <c r="R870" s="115"/>
      <c r="S870" s="120"/>
      <c r="T870" s="120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</row>
    <row r="871" ht="18.0" customHeight="1">
      <c r="A871" s="114"/>
      <c r="B871" s="115"/>
      <c r="C871" s="115"/>
      <c r="D871" s="115"/>
      <c r="E871" s="116"/>
      <c r="F871" s="116"/>
      <c r="G871" s="115"/>
      <c r="H871" s="115"/>
      <c r="I871" s="115"/>
      <c r="J871" s="115"/>
      <c r="K871" s="115"/>
      <c r="L871" s="127"/>
      <c r="M871" s="128"/>
      <c r="N871" s="127"/>
      <c r="O871" s="115"/>
      <c r="P871" s="115"/>
      <c r="Q871" s="115"/>
      <c r="R871" s="115"/>
      <c r="S871" s="120"/>
      <c r="T871" s="120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</row>
    <row r="872" ht="18.0" customHeight="1">
      <c r="A872" s="114"/>
      <c r="B872" s="115"/>
      <c r="C872" s="115"/>
      <c r="D872" s="115"/>
      <c r="E872" s="116"/>
      <c r="F872" s="116"/>
      <c r="G872" s="115"/>
      <c r="H872" s="115"/>
      <c r="I872" s="115"/>
      <c r="J872" s="115"/>
      <c r="K872" s="115"/>
      <c r="L872" s="127"/>
      <c r="M872" s="128"/>
      <c r="N872" s="127"/>
      <c r="O872" s="115"/>
      <c r="P872" s="115"/>
      <c r="Q872" s="115"/>
      <c r="R872" s="115"/>
      <c r="S872" s="120"/>
      <c r="T872" s="120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</row>
    <row r="873" ht="18.0" customHeight="1">
      <c r="A873" s="114"/>
      <c r="B873" s="115"/>
      <c r="C873" s="115"/>
      <c r="D873" s="115"/>
      <c r="E873" s="116"/>
      <c r="F873" s="116"/>
      <c r="G873" s="115"/>
      <c r="H873" s="115"/>
      <c r="I873" s="115"/>
      <c r="J873" s="115"/>
      <c r="K873" s="115"/>
      <c r="L873" s="127"/>
      <c r="M873" s="128"/>
      <c r="N873" s="127"/>
      <c r="O873" s="115"/>
      <c r="P873" s="115"/>
      <c r="Q873" s="115"/>
      <c r="R873" s="115"/>
      <c r="S873" s="120"/>
      <c r="T873" s="120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</row>
    <row r="874" ht="18.0" customHeight="1">
      <c r="A874" s="114"/>
      <c r="B874" s="115"/>
      <c r="C874" s="115"/>
      <c r="D874" s="115"/>
      <c r="E874" s="116"/>
      <c r="F874" s="116"/>
      <c r="G874" s="115"/>
      <c r="H874" s="115"/>
      <c r="I874" s="115"/>
      <c r="J874" s="115"/>
      <c r="K874" s="115"/>
      <c r="L874" s="127"/>
      <c r="M874" s="128"/>
      <c r="N874" s="127"/>
      <c r="O874" s="115"/>
      <c r="P874" s="115"/>
      <c r="Q874" s="115"/>
      <c r="R874" s="115"/>
      <c r="S874" s="120"/>
      <c r="T874" s="120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</row>
    <row r="875" ht="18.0" customHeight="1">
      <c r="A875" s="114"/>
      <c r="B875" s="115"/>
      <c r="C875" s="115"/>
      <c r="D875" s="115"/>
      <c r="E875" s="116"/>
      <c r="F875" s="116"/>
      <c r="G875" s="115"/>
      <c r="H875" s="115"/>
      <c r="I875" s="115"/>
      <c r="J875" s="115"/>
      <c r="K875" s="115"/>
      <c r="L875" s="127"/>
      <c r="M875" s="128"/>
      <c r="N875" s="127"/>
      <c r="O875" s="115"/>
      <c r="P875" s="115"/>
      <c r="Q875" s="115"/>
      <c r="R875" s="115"/>
      <c r="S875" s="120"/>
      <c r="T875" s="120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</row>
    <row r="876" ht="18.0" customHeight="1">
      <c r="A876" s="114"/>
      <c r="B876" s="115"/>
      <c r="C876" s="115"/>
      <c r="D876" s="115"/>
      <c r="E876" s="116"/>
      <c r="F876" s="116"/>
      <c r="G876" s="115"/>
      <c r="H876" s="115"/>
      <c r="I876" s="115"/>
      <c r="J876" s="115"/>
      <c r="K876" s="115"/>
      <c r="L876" s="127"/>
      <c r="M876" s="128"/>
      <c r="N876" s="127"/>
      <c r="O876" s="115"/>
      <c r="P876" s="115"/>
      <c r="Q876" s="115"/>
      <c r="R876" s="115"/>
      <c r="S876" s="120"/>
      <c r="T876" s="120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</row>
    <row r="877" ht="18.0" customHeight="1">
      <c r="A877" s="114"/>
      <c r="B877" s="115"/>
      <c r="C877" s="115"/>
      <c r="D877" s="115"/>
      <c r="E877" s="116"/>
      <c r="F877" s="116"/>
      <c r="G877" s="115"/>
      <c r="H877" s="115"/>
      <c r="I877" s="115"/>
      <c r="J877" s="115"/>
      <c r="K877" s="115"/>
      <c r="L877" s="127"/>
      <c r="M877" s="128"/>
      <c r="N877" s="127"/>
      <c r="O877" s="115"/>
      <c r="P877" s="115"/>
      <c r="Q877" s="115"/>
      <c r="R877" s="115"/>
      <c r="S877" s="120"/>
      <c r="T877" s="120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</row>
    <row r="878" ht="18.0" customHeight="1">
      <c r="A878" s="114"/>
      <c r="B878" s="115"/>
      <c r="C878" s="115"/>
      <c r="D878" s="115"/>
      <c r="E878" s="116"/>
      <c r="F878" s="116"/>
      <c r="G878" s="115"/>
      <c r="H878" s="115"/>
      <c r="I878" s="115"/>
      <c r="J878" s="115"/>
      <c r="K878" s="115"/>
      <c r="L878" s="127"/>
      <c r="M878" s="128"/>
      <c r="N878" s="127"/>
      <c r="O878" s="115"/>
      <c r="P878" s="115"/>
      <c r="Q878" s="115"/>
      <c r="R878" s="115"/>
      <c r="S878" s="120"/>
      <c r="T878" s="120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</row>
    <row r="879" ht="18.0" customHeight="1">
      <c r="A879" s="114"/>
      <c r="B879" s="115"/>
      <c r="C879" s="115"/>
      <c r="D879" s="115"/>
      <c r="E879" s="116"/>
      <c r="F879" s="116"/>
      <c r="G879" s="115"/>
      <c r="H879" s="115"/>
      <c r="I879" s="115"/>
      <c r="J879" s="115"/>
      <c r="K879" s="115"/>
      <c r="L879" s="127"/>
      <c r="M879" s="128"/>
      <c r="N879" s="127"/>
      <c r="O879" s="115"/>
      <c r="P879" s="115"/>
      <c r="Q879" s="115"/>
      <c r="R879" s="115"/>
      <c r="S879" s="120"/>
      <c r="T879" s="120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</row>
    <row r="880" ht="18.0" customHeight="1">
      <c r="A880" s="114"/>
      <c r="B880" s="115"/>
      <c r="C880" s="115"/>
      <c r="D880" s="115"/>
      <c r="E880" s="116"/>
      <c r="F880" s="116"/>
      <c r="G880" s="115"/>
      <c r="H880" s="115"/>
      <c r="I880" s="115"/>
      <c r="J880" s="115"/>
      <c r="K880" s="115"/>
      <c r="L880" s="127"/>
      <c r="M880" s="128"/>
      <c r="N880" s="127"/>
      <c r="O880" s="115"/>
      <c r="P880" s="115"/>
      <c r="Q880" s="115"/>
      <c r="R880" s="115"/>
      <c r="S880" s="120"/>
      <c r="T880" s="120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</row>
    <row r="881" ht="18.0" customHeight="1">
      <c r="A881" s="114"/>
      <c r="B881" s="115"/>
      <c r="C881" s="115"/>
      <c r="D881" s="115"/>
      <c r="E881" s="116"/>
      <c r="F881" s="116"/>
      <c r="G881" s="115"/>
      <c r="H881" s="115"/>
      <c r="I881" s="115"/>
      <c r="J881" s="115"/>
      <c r="K881" s="115"/>
      <c r="L881" s="127"/>
      <c r="M881" s="128"/>
      <c r="N881" s="127"/>
      <c r="O881" s="115"/>
      <c r="P881" s="115"/>
      <c r="Q881" s="115"/>
      <c r="R881" s="115"/>
      <c r="S881" s="120"/>
      <c r="T881" s="120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</row>
    <row r="882" ht="18.0" customHeight="1">
      <c r="A882" s="114"/>
      <c r="B882" s="115"/>
      <c r="C882" s="115"/>
      <c r="D882" s="115"/>
      <c r="E882" s="116"/>
      <c r="F882" s="116"/>
      <c r="G882" s="115"/>
      <c r="H882" s="115"/>
      <c r="I882" s="115"/>
      <c r="J882" s="115"/>
      <c r="K882" s="115"/>
      <c r="L882" s="127"/>
      <c r="M882" s="128"/>
      <c r="N882" s="127"/>
      <c r="O882" s="115"/>
      <c r="P882" s="115"/>
      <c r="Q882" s="115"/>
      <c r="R882" s="115"/>
      <c r="S882" s="120"/>
      <c r="T882" s="120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</row>
    <row r="883" ht="18.0" customHeight="1">
      <c r="A883" s="114"/>
      <c r="B883" s="115"/>
      <c r="C883" s="115"/>
      <c r="D883" s="115"/>
      <c r="E883" s="116"/>
      <c r="F883" s="116"/>
      <c r="G883" s="115"/>
      <c r="H883" s="115"/>
      <c r="I883" s="115"/>
      <c r="J883" s="115"/>
      <c r="K883" s="115"/>
      <c r="L883" s="127"/>
      <c r="M883" s="128"/>
      <c r="N883" s="127"/>
      <c r="O883" s="115"/>
      <c r="P883" s="115"/>
      <c r="Q883" s="115"/>
      <c r="R883" s="115"/>
      <c r="S883" s="120"/>
      <c r="T883" s="120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</row>
    <row r="884" ht="18.0" customHeight="1">
      <c r="A884" s="114"/>
      <c r="B884" s="115"/>
      <c r="C884" s="115"/>
      <c r="D884" s="115"/>
      <c r="E884" s="116"/>
      <c r="F884" s="116"/>
      <c r="G884" s="115"/>
      <c r="H884" s="115"/>
      <c r="I884" s="115"/>
      <c r="J884" s="115"/>
      <c r="K884" s="115"/>
      <c r="L884" s="127"/>
      <c r="M884" s="128"/>
      <c r="N884" s="127"/>
      <c r="O884" s="115"/>
      <c r="P884" s="115"/>
      <c r="Q884" s="115"/>
      <c r="R884" s="115"/>
      <c r="S884" s="120"/>
      <c r="T884" s="120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</row>
    <row r="885" ht="18.0" customHeight="1">
      <c r="A885" s="114"/>
      <c r="B885" s="115"/>
      <c r="C885" s="115"/>
      <c r="D885" s="115"/>
      <c r="E885" s="116"/>
      <c r="F885" s="116"/>
      <c r="G885" s="115"/>
      <c r="H885" s="115"/>
      <c r="I885" s="115"/>
      <c r="J885" s="115"/>
      <c r="K885" s="115"/>
      <c r="L885" s="127"/>
      <c r="M885" s="128"/>
      <c r="N885" s="127"/>
      <c r="O885" s="115"/>
      <c r="P885" s="115"/>
      <c r="Q885" s="115"/>
      <c r="R885" s="115"/>
      <c r="S885" s="120"/>
      <c r="T885" s="120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</row>
    <row r="886" ht="18.0" customHeight="1">
      <c r="A886" s="114"/>
      <c r="B886" s="115"/>
      <c r="C886" s="115"/>
      <c r="D886" s="115"/>
      <c r="E886" s="116"/>
      <c r="F886" s="116"/>
      <c r="G886" s="115"/>
      <c r="H886" s="115"/>
      <c r="I886" s="115"/>
      <c r="J886" s="115"/>
      <c r="K886" s="115"/>
      <c r="L886" s="127"/>
      <c r="M886" s="128"/>
      <c r="N886" s="127"/>
      <c r="O886" s="115"/>
      <c r="P886" s="115"/>
      <c r="Q886" s="115"/>
      <c r="R886" s="115"/>
      <c r="S886" s="120"/>
      <c r="T886" s="120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</row>
    <row r="887" ht="18.0" customHeight="1">
      <c r="A887" s="114"/>
      <c r="B887" s="115"/>
      <c r="C887" s="115"/>
      <c r="D887" s="115"/>
      <c r="E887" s="116"/>
      <c r="F887" s="116"/>
      <c r="G887" s="115"/>
      <c r="H887" s="115"/>
      <c r="I887" s="115"/>
      <c r="J887" s="115"/>
      <c r="K887" s="115"/>
      <c r="L887" s="127"/>
      <c r="M887" s="128"/>
      <c r="N887" s="127"/>
      <c r="O887" s="115"/>
      <c r="P887" s="115"/>
      <c r="Q887" s="115"/>
      <c r="R887" s="115"/>
      <c r="S887" s="120"/>
      <c r="T887" s="120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</row>
    <row r="888" ht="18.0" customHeight="1">
      <c r="A888" s="114"/>
      <c r="B888" s="115"/>
      <c r="C888" s="115"/>
      <c r="D888" s="115"/>
      <c r="E888" s="116"/>
      <c r="F888" s="116"/>
      <c r="G888" s="115"/>
      <c r="H888" s="115"/>
      <c r="I888" s="115"/>
      <c r="J888" s="115"/>
      <c r="K888" s="115"/>
      <c r="L888" s="127"/>
      <c r="M888" s="128"/>
      <c r="N888" s="127"/>
      <c r="O888" s="115"/>
      <c r="P888" s="115"/>
      <c r="Q888" s="115"/>
      <c r="R888" s="115"/>
      <c r="S888" s="120"/>
      <c r="T888" s="120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</row>
    <row r="889" ht="18.0" customHeight="1">
      <c r="A889" s="114"/>
      <c r="B889" s="115"/>
      <c r="C889" s="115"/>
      <c r="D889" s="115"/>
      <c r="E889" s="116"/>
      <c r="F889" s="116"/>
      <c r="G889" s="115"/>
      <c r="H889" s="115"/>
      <c r="I889" s="115"/>
      <c r="J889" s="115"/>
      <c r="K889" s="115"/>
      <c r="L889" s="127"/>
      <c r="M889" s="128"/>
      <c r="N889" s="127"/>
      <c r="O889" s="115"/>
      <c r="P889" s="115"/>
      <c r="Q889" s="115"/>
      <c r="R889" s="115"/>
      <c r="S889" s="120"/>
      <c r="T889" s="120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</row>
    <row r="890" ht="18.0" customHeight="1">
      <c r="A890" s="114"/>
      <c r="B890" s="115"/>
      <c r="C890" s="115"/>
      <c r="D890" s="115"/>
      <c r="E890" s="116"/>
      <c r="F890" s="116"/>
      <c r="G890" s="115"/>
      <c r="H890" s="115"/>
      <c r="I890" s="115"/>
      <c r="J890" s="115"/>
      <c r="K890" s="115"/>
      <c r="L890" s="127"/>
      <c r="M890" s="128"/>
      <c r="N890" s="127"/>
      <c r="O890" s="115"/>
      <c r="P890" s="115"/>
      <c r="Q890" s="115"/>
      <c r="R890" s="115"/>
      <c r="S890" s="120"/>
      <c r="T890" s="120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</row>
    <row r="891" ht="18.0" customHeight="1">
      <c r="A891" s="114"/>
      <c r="B891" s="115"/>
      <c r="C891" s="115"/>
      <c r="D891" s="115"/>
      <c r="E891" s="116"/>
      <c r="F891" s="116"/>
      <c r="G891" s="115"/>
      <c r="H891" s="115"/>
      <c r="I891" s="115"/>
      <c r="J891" s="115"/>
      <c r="K891" s="115"/>
      <c r="L891" s="127"/>
      <c r="M891" s="128"/>
      <c r="N891" s="127"/>
      <c r="O891" s="115"/>
      <c r="P891" s="115"/>
      <c r="Q891" s="115"/>
      <c r="R891" s="115"/>
      <c r="S891" s="120"/>
      <c r="T891" s="120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</row>
    <row r="892" ht="18.0" customHeight="1">
      <c r="A892" s="114"/>
      <c r="B892" s="115"/>
      <c r="C892" s="115"/>
      <c r="D892" s="115"/>
      <c r="E892" s="116"/>
      <c r="F892" s="116"/>
      <c r="G892" s="115"/>
      <c r="H892" s="115"/>
      <c r="I892" s="115"/>
      <c r="J892" s="115"/>
      <c r="K892" s="115"/>
      <c r="L892" s="127"/>
      <c r="M892" s="128"/>
      <c r="N892" s="127"/>
      <c r="O892" s="115"/>
      <c r="P892" s="115"/>
      <c r="Q892" s="115"/>
      <c r="R892" s="115"/>
      <c r="S892" s="120"/>
      <c r="T892" s="120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</row>
    <row r="893" ht="18.0" customHeight="1">
      <c r="A893" s="114"/>
      <c r="B893" s="115"/>
      <c r="C893" s="115"/>
      <c r="D893" s="115"/>
      <c r="E893" s="116"/>
      <c r="F893" s="116"/>
      <c r="G893" s="115"/>
      <c r="H893" s="115"/>
      <c r="I893" s="115"/>
      <c r="J893" s="115"/>
      <c r="K893" s="115"/>
      <c r="L893" s="127"/>
      <c r="M893" s="128"/>
      <c r="N893" s="127"/>
      <c r="O893" s="115"/>
      <c r="P893" s="115"/>
      <c r="Q893" s="115"/>
      <c r="R893" s="115"/>
      <c r="S893" s="120"/>
      <c r="T893" s="120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</row>
    <row r="894" ht="18.0" customHeight="1">
      <c r="A894" s="114"/>
      <c r="B894" s="115"/>
      <c r="C894" s="115"/>
      <c r="D894" s="115"/>
      <c r="E894" s="116"/>
      <c r="F894" s="116"/>
      <c r="G894" s="115"/>
      <c r="H894" s="115"/>
      <c r="I894" s="115"/>
      <c r="J894" s="115"/>
      <c r="K894" s="115"/>
      <c r="L894" s="127"/>
      <c r="M894" s="128"/>
      <c r="N894" s="127"/>
      <c r="O894" s="115"/>
      <c r="P894" s="115"/>
      <c r="Q894" s="115"/>
      <c r="R894" s="115"/>
      <c r="S894" s="120"/>
      <c r="T894" s="120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</row>
    <row r="895" ht="18.0" customHeight="1">
      <c r="A895" s="114"/>
      <c r="B895" s="115"/>
      <c r="C895" s="115"/>
      <c r="D895" s="115"/>
      <c r="E895" s="116"/>
      <c r="F895" s="116"/>
      <c r="G895" s="115"/>
      <c r="H895" s="115"/>
      <c r="I895" s="115"/>
      <c r="J895" s="115"/>
      <c r="K895" s="115"/>
      <c r="L895" s="127"/>
      <c r="M895" s="128"/>
      <c r="N895" s="127"/>
      <c r="O895" s="115"/>
      <c r="P895" s="115"/>
      <c r="Q895" s="115"/>
      <c r="R895" s="115"/>
      <c r="S895" s="120"/>
      <c r="T895" s="120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</row>
    <row r="896" ht="18.0" customHeight="1">
      <c r="A896" s="114"/>
      <c r="B896" s="115"/>
      <c r="C896" s="115"/>
      <c r="D896" s="115"/>
      <c r="E896" s="116"/>
      <c r="F896" s="116"/>
      <c r="G896" s="115"/>
      <c r="H896" s="115"/>
      <c r="I896" s="115"/>
      <c r="J896" s="115"/>
      <c r="K896" s="115"/>
      <c r="L896" s="127"/>
      <c r="M896" s="128"/>
      <c r="N896" s="127"/>
      <c r="O896" s="115"/>
      <c r="P896" s="115"/>
      <c r="Q896" s="115"/>
      <c r="R896" s="115"/>
      <c r="S896" s="120"/>
      <c r="T896" s="120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</row>
    <row r="897" ht="18.0" customHeight="1">
      <c r="A897" s="114"/>
      <c r="B897" s="115"/>
      <c r="C897" s="115"/>
      <c r="D897" s="115"/>
      <c r="E897" s="116"/>
      <c r="F897" s="116"/>
      <c r="G897" s="115"/>
      <c r="H897" s="115"/>
      <c r="I897" s="115"/>
      <c r="J897" s="115"/>
      <c r="K897" s="115"/>
      <c r="L897" s="127"/>
      <c r="M897" s="128"/>
      <c r="N897" s="127"/>
      <c r="O897" s="115"/>
      <c r="P897" s="115"/>
      <c r="Q897" s="115"/>
      <c r="R897" s="115"/>
      <c r="S897" s="120"/>
      <c r="T897" s="120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</row>
    <row r="898" ht="18.0" customHeight="1">
      <c r="A898" s="114"/>
      <c r="B898" s="115"/>
      <c r="C898" s="115"/>
      <c r="D898" s="115"/>
      <c r="E898" s="116"/>
      <c r="F898" s="116"/>
      <c r="G898" s="115"/>
      <c r="H898" s="115"/>
      <c r="I898" s="115"/>
      <c r="J898" s="115"/>
      <c r="K898" s="115"/>
      <c r="L898" s="127"/>
      <c r="M898" s="128"/>
      <c r="N898" s="127"/>
      <c r="O898" s="115"/>
      <c r="P898" s="115"/>
      <c r="Q898" s="115"/>
      <c r="R898" s="115"/>
      <c r="S898" s="120"/>
      <c r="T898" s="120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</row>
    <row r="899" ht="18.0" customHeight="1">
      <c r="A899" s="114"/>
      <c r="B899" s="115"/>
      <c r="C899" s="115"/>
      <c r="D899" s="115"/>
      <c r="E899" s="116"/>
      <c r="F899" s="116"/>
      <c r="G899" s="115"/>
      <c r="H899" s="115"/>
      <c r="I899" s="115"/>
      <c r="J899" s="115"/>
      <c r="K899" s="115"/>
      <c r="L899" s="127"/>
      <c r="M899" s="128"/>
      <c r="N899" s="127"/>
      <c r="O899" s="115"/>
      <c r="P899" s="115"/>
      <c r="Q899" s="115"/>
      <c r="R899" s="115"/>
      <c r="S899" s="120"/>
      <c r="T899" s="120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</row>
    <row r="900" ht="18.0" customHeight="1">
      <c r="A900" s="114"/>
      <c r="B900" s="115"/>
      <c r="C900" s="115"/>
      <c r="D900" s="115"/>
      <c r="E900" s="116"/>
      <c r="F900" s="116"/>
      <c r="G900" s="115"/>
      <c r="H900" s="115"/>
      <c r="I900" s="115"/>
      <c r="J900" s="115"/>
      <c r="K900" s="115"/>
      <c r="L900" s="127"/>
      <c r="M900" s="128"/>
      <c r="N900" s="127"/>
      <c r="O900" s="115"/>
      <c r="P900" s="115"/>
      <c r="Q900" s="115"/>
      <c r="R900" s="115"/>
      <c r="S900" s="120"/>
      <c r="T900" s="120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</row>
    <row r="901" ht="18.0" customHeight="1">
      <c r="A901" s="114"/>
      <c r="B901" s="115"/>
      <c r="C901" s="115"/>
      <c r="D901" s="115"/>
      <c r="E901" s="116"/>
      <c r="F901" s="116"/>
      <c r="G901" s="115"/>
      <c r="H901" s="115"/>
      <c r="I901" s="115"/>
      <c r="J901" s="115"/>
      <c r="K901" s="115"/>
      <c r="L901" s="127"/>
      <c r="M901" s="128"/>
      <c r="N901" s="127"/>
      <c r="O901" s="115"/>
      <c r="P901" s="115"/>
      <c r="Q901" s="115"/>
      <c r="R901" s="115"/>
      <c r="S901" s="120"/>
      <c r="T901" s="120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</row>
    <row r="902" ht="18.0" customHeight="1">
      <c r="A902" s="114"/>
      <c r="B902" s="115"/>
      <c r="C902" s="115"/>
      <c r="D902" s="115"/>
      <c r="E902" s="116"/>
      <c r="F902" s="116"/>
      <c r="G902" s="115"/>
      <c r="H902" s="115"/>
      <c r="I902" s="115"/>
      <c r="J902" s="115"/>
      <c r="K902" s="115"/>
      <c r="L902" s="127"/>
      <c r="M902" s="128"/>
      <c r="N902" s="127"/>
      <c r="O902" s="115"/>
      <c r="P902" s="115"/>
      <c r="Q902" s="115"/>
      <c r="R902" s="115"/>
      <c r="S902" s="120"/>
      <c r="T902" s="120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</row>
    <row r="903" ht="18.0" customHeight="1">
      <c r="A903" s="114"/>
      <c r="B903" s="115"/>
      <c r="C903" s="115"/>
      <c r="D903" s="115"/>
      <c r="E903" s="116"/>
      <c r="F903" s="116"/>
      <c r="G903" s="115"/>
      <c r="H903" s="115"/>
      <c r="I903" s="115"/>
      <c r="J903" s="115"/>
      <c r="K903" s="115"/>
      <c r="L903" s="127"/>
      <c r="M903" s="128"/>
      <c r="N903" s="127"/>
      <c r="O903" s="115"/>
      <c r="P903" s="115"/>
      <c r="Q903" s="115"/>
      <c r="R903" s="115"/>
      <c r="S903" s="120"/>
      <c r="T903" s="120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</row>
    <row r="904" ht="18.0" customHeight="1">
      <c r="A904" s="114"/>
      <c r="B904" s="115"/>
      <c r="C904" s="115"/>
      <c r="D904" s="115"/>
      <c r="E904" s="116"/>
      <c r="F904" s="116"/>
      <c r="G904" s="115"/>
      <c r="H904" s="115"/>
      <c r="I904" s="115"/>
      <c r="J904" s="115"/>
      <c r="K904" s="115"/>
      <c r="L904" s="127"/>
      <c r="M904" s="128"/>
      <c r="N904" s="127"/>
      <c r="O904" s="115"/>
      <c r="P904" s="115"/>
      <c r="Q904" s="115"/>
      <c r="R904" s="115"/>
      <c r="S904" s="120"/>
      <c r="T904" s="120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</row>
    <row r="905" ht="18.0" customHeight="1">
      <c r="A905" s="114"/>
      <c r="B905" s="115"/>
      <c r="C905" s="115"/>
      <c r="D905" s="115"/>
      <c r="E905" s="116"/>
      <c r="F905" s="116"/>
      <c r="G905" s="115"/>
      <c r="H905" s="115"/>
      <c r="I905" s="115"/>
      <c r="J905" s="115"/>
      <c r="K905" s="115"/>
      <c r="L905" s="127"/>
      <c r="M905" s="128"/>
      <c r="N905" s="127"/>
      <c r="O905" s="115"/>
      <c r="P905" s="115"/>
      <c r="Q905" s="115"/>
      <c r="R905" s="115"/>
      <c r="S905" s="120"/>
      <c r="T905" s="120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</row>
    <row r="906" ht="18.0" customHeight="1">
      <c r="A906" s="114"/>
      <c r="B906" s="115"/>
      <c r="C906" s="115"/>
      <c r="D906" s="115"/>
      <c r="E906" s="116"/>
      <c r="F906" s="116"/>
      <c r="G906" s="115"/>
      <c r="H906" s="115"/>
      <c r="I906" s="115"/>
      <c r="J906" s="115"/>
      <c r="K906" s="115"/>
      <c r="L906" s="127"/>
      <c r="M906" s="128"/>
      <c r="N906" s="127"/>
      <c r="O906" s="115"/>
      <c r="P906" s="115"/>
      <c r="Q906" s="115"/>
      <c r="R906" s="115"/>
      <c r="S906" s="120"/>
      <c r="T906" s="120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</row>
    <row r="907" ht="18.0" customHeight="1">
      <c r="A907" s="114"/>
      <c r="B907" s="115"/>
      <c r="C907" s="115"/>
      <c r="D907" s="115"/>
      <c r="E907" s="116"/>
      <c r="F907" s="116"/>
      <c r="G907" s="115"/>
      <c r="H907" s="115"/>
      <c r="I907" s="115"/>
      <c r="J907" s="115"/>
      <c r="K907" s="115"/>
      <c r="L907" s="127"/>
      <c r="M907" s="128"/>
      <c r="N907" s="127"/>
      <c r="O907" s="115"/>
      <c r="P907" s="115"/>
      <c r="Q907" s="115"/>
      <c r="R907" s="115"/>
      <c r="S907" s="120"/>
      <c r="T907" s="120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</row>
    <row r="908" ht="18.0" customHeight="1">
      <c r="A908" s="114"/>
      <c r="B908" s="115"/>
      <c r="C908" s="115"/>
      <c r="D908" s="115"/>
      <c r="E908" s="116"/>
      <c r="F908" s="116"/>
      <c r="G908" s="115"/>
      <c r="H908" s="115"/>
      <c r="I908" s="115"/>
      <c r="J908" s="115"/>
      <c r="K908" s="115"/>
      <c r="L908" s="127"/>
      <c r="M908" s="128"/>
      <c r="N908" s="127"/>
      <c r="O908" s="115"/>
      <c r="P908" s="115"/>
      <c r="Q908" s="115"/>
      <c r="R908" s="115"/>
      <c r="S908" s="120"/>
      <c r="T908" s="120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</row>
    <row r="909" ht="18.0" customHeight="1">
      <c r="A909" s="114"/>
      <c r="B909" s="115"/>
      <c r="C909" s="115"/>
      <c r="D909" s="115"/>
      <c r="E909" s="116"/>
      <c r="F909" s="116"/>
      <c r="G909" s="115"/>
      <c r="H909" s="115"/>
      <c r="I909" s="115"/>
      <c r="J909" s="115"/>
      <c r="K909" s="115"/>
      <c r="L909" s="127"/>
      <c r="M909" s="128"/>
      <c r="N909" s="127"/>
      <c r="O909" s="115"/>
      <c r="P909" s="115"/>
      <c r="Q909" s="115"/>
      <c r="R909" s="115"/>
      <c r="S909" s="120"/>
      <c r="T909" s="120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</row>
    <row r="910" ht="18.0" customHeight="1">
      <c r="A910" s="114"/>
      <c r="B910" s="115"/>
      <c r="C910" s="115"/>
      <c r="D910" s="115"/>
      <c r="E910" s="116"/>
      <c r="F910" s="116"/>
      <c r="G910" s="115"/>
      <c r="H910" s="115"/>
      <c r="I910" s="115"/>
      <c r="J910" s="115"/>
      <c r="K910" s="115"/>
      <c r="L910" s="127"/>
      <c r="M910" s="128"/>
      <c r="N910" s="127"/>
      <c r="O910" s="115"/>
      <c r="P910" s="115"/>
      <c r="Q910" s="115"/>
      <c r="R910" s="115"/>
      <c r="S910" s="120"/>
      <c r="T910" s="120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</row>
    <row r="911" ht="18.0" customHeight="1">
      <c r="A911" s="114"/>
      <c r="B911" s="115"/>
      <c r="C911" s="115"/>
      <c r="D911" s="115"/>
      <c r="E911" s="116"/>
      <c r="F911" s="116"/>
      <c r="G911" s="115"/>
      <c r="H911" s="115"/>
      <c r="I911" s="115"/>
      <c r="J911" s="115"/>
      <c r="K911" s="115"/>
      <c r="L911" s="127"/>
      <c r="M911" s="128"/>
      <c r="N911" s="127"/>
      <c r="O911" s="115"/>
      <c r="P911" s="115"/>
      <c r="Q911" s="115"/>
      <c r="R911" s="115"/>
      <c r="S911" s="120"/>
      <c r="T911" s="120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</row>
    <row r="912" ht="18.0" customHeight="1">
      <c r="A912" s="114"/>
      <c r="B912" s="115"/>
      <c r="C912" s="115"/>
      <c r="D912" s="115"/>
      <c r="E912" s="116"/>
      <c r="F912" s="116"/>
      <c r="G912" s="115"/>
      <c r="H912" s="115"/>
      <c r="I912" s="115"/>
      <c r="J912" s="115"/>
      <c r="K912" s="115"/>
      <c r="L912" s="127"/>
      <c r="M912" s="128"/>
      <c r="N912" s="127"/>
      <c r="O912" s="115"/>
      <c r="P912" s="115"/>
      <c r="Q912" s="115"/>
      <c r="R912" s="115"/>
      <c r="S912" s="120"/>
      <c r="T912" s="120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</row>
    <row r="913" ht="18.0" customHeight="1">
      <c r="A913" s="114"/>
      <c r="B913" s="115"/>
      <c r="C913" s="115"/>
      <c r="D913" s="115"/>
      <c r="E913" s="116"/>
      <c r="F913" s="116"/>
      <c r="G913" s="115"/>
      <c r="H913" s="115"/>
      <c r="I913" s="115"/>
      <c r="J913" s="115"/>
      <c r="K913" s="115"/>
      <c r="L913" s="127"/>
      <c r="M913" s="128"/>
      <c r="N913" s="127"/>
      <c r="O913" s="115"/>
      <c r="P913" s="115"/>
      <c r="Q913" s="115"/>
      <c r="R913" s="115"/>
      <c r="S913" s="120"/>
      <c r="T913" s="120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</row>
    <row r="914" ht="18.0" customHeight="1">
      <c r="A914" s="114"/>
      <c r="B914" s="115"/>
      <c r="C914" s="115"/>
      <c r="D914" s="115"/>
      <c r="E914" s="116"/>
      <c r="F914" s="116"/>
      <c r="G914" s="115"/>
      <c r="H914" s="115"/>
      <c r="I914" s="115"/>
      <c r="J914" s="115"/>
      <c r="K914" s="115"/>
      <c r="L914" s="127"/>
      <c r="M914" s="128"/>
      <c r="N914" s="127"/>
      <c r="O914" s="115"/>
      <c r="P914" s="115"/>
      <c r="Q914" s="115"/>
      <c r="R914" s="115"/>
      <c r="S914" s="120"/>
      <c r="T914" s="120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</row>
    <row r="915" ht="18.0" customHeight="1">
      <c r="A915" s="114"/>
      <c r="B915" s="115"/>
      <c r="C915" s="115"/>
      <c r="D915" s="115"/>
      <c r="E915" s="116"/>
      <c r="F915" s="116"/>
      <c r="G915" s="115"/>
      <c r="H915" s="115"/>
      <c r="I915" s="115"/>
      <c r="J915" s="115"/>
      <c r="K915" s="115"/>
      <c r="L915" s="127"/>
      <c r="M915" s="128"/>
      <c r="N915" s="127"/>
      <c r="O915" s="115"/>
      <c r="P915" s="115"/>
      <c r="Q915" s="115"/>
      <c r="R915" s="115"/>
      <c r="S915" s="120"/>
      <c r="T915" s="120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</row>
    <row r="916" ht="18.0" customHeight="1">
      <c r="A916" s="114"/>
      <c r="B916" s="115"/>
      <c r="C916" s="115"/>
      <c r="D916" s="115"/>
      <c r="E916" s="116"/>
      <c r="F916" s="116"/>
      <c r="G916" s="115"/>
      <c r="H916" s="115"/>
      <c r="I916" s="115"/>
      <c r="J916" s="115"/>
      <c r="K916" s="115"/>
      <c r="L916" s="127"/>
      <c r="M916" s="128"/>
      <c r="N916" s="127"/>
      <c r="O916" s="115"/>
      <c r="P916" s="115"/>
      <c r="Q916" s="115"/>
      <c r="R916" s="115"/>
      <c r="S916" s="120"/>
      <c r="T916" s="120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</row>
    <row r="917" ht="18.0" customHeight="1">
      <c r="A917" s="114"/>
      <c r="B917" s="115"/>
      <c r="C917" s="115"/>
      <c r="D917" s="115"/>
      <c r="E917" s="116"/>
      <c r="F917" s="116"/>
      <c r="G917" s="115"/>
      <c r="H917" s="115"/>
      <c r="I917" s="115"/>
      <c r="J917" s="115"/>
      <c r="K917" s="115"/>
      <c r="L917" s="127"/>
      <c r="M917" s="128"/>
      <c r="N917" s="127"/>
      <c r="O917" s="115"/>
      <c r="P917" s="115"/>
      <c r="Q917" s="115"/>
      <c r="R917" s="115"/>
      <c r="S917" s="120"/>
      <c r="T917" s="120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</row>
    <row r="918" ht="18.0" customHeight="1">
      <c r="A918" s="114"/>
      <c r="B918" s="115"/>
      <c r="C918" s="115"/>
      <c r="D918" s="115"/>
      <c r="E918" s="116"/>
      <c r="F918" s="116"/>
      <c r="G918" s="115"/>
      <c r="H918" s="115"/>
      <c r="I918" s="115"/>
      <c r="J918" s="115"/>
      <c r="K918" s="115"/>
      <c r="L918" s="127"/>
      <c r="M918" s="128"/>
      <c r="N918" s="127"/>
      <c r="O918" s="115"/>
      <c r="P918" s="115"/>
      <c r="Q918" s="115"/>
      <c r="R918" s="115"/>
      <c r="S918" s="120"/>
      <c r="T918" s="120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</row>
    <row r="919" ht="18.0" customHeight="1">
      <c r="A919" s="114"/>
      <c r="B919" s="115"/>
      <c r="C919" s="115"/>
      <c r="D919" s="115"/>
      <c r="E919" s="116"/>
      <c r="F919" s="116"/>
      <c r="G919" s="115"/>
      <c r="H919" s="115"/>
      <c r="I919" s="115"/>
      <c r="J919" s="115"/>
      <c r="K919" s="115"/>
      <c r="L919" s="127"/>
      <c r="M919" s="128"/>
      <c r="N919" s="127"/>
      <c r="O919" s="115"/>
      <c r="P919" s="115"/>
      <c r="Q919" s="115"/>
      <c r="R919" s="115"/>
      <c r="S919" s="120"/>
      <c r="T919" s="120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</row>
    <row r="920" ht="18.0" customHeight="1">
      <c r="A920" s="114"/>
      <c r="B920" s="115"/>
      <c r="C920" s="115"/>
      <c r="D920" s="115"/>
      <c r="E920" s="116"/>
      <c r="F920" s="116"/>
      <c r="G920" s="115"/>
      <c r="H920" s="115"/>
      <c r="I920" s="115"/>
      <c r="J920" s="115"/>
      <c r="K920" s="115"/>
      <c r="L920" s="127"/>
      <c r="M920" s="128"/>
      <c r="N920" s="127"/>
      <c r="O920" s="115"/>
      <c r="P920" s="115"/>
      <c r="Q920" s="115"/>
      <c r="R920" s="115"/>
      <c r="S920" s="120"/>
      <c r="T920" s="120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</row>
    <row r="921" ht="18.0" customHeight="1">
      <c r="A921" s="114"/>
      <c r="B921" s="115"/>
      <c r="C921" s="115"/>
      <c r="D921" s="115"/>
      <c r="E921" s="116"/>
      <c r="F921" s="116"/>
      <c r="G921" s="115"/>
      <c r="H921" s="115"/>
      <c r="I921" s="115"/>
      <c r="J921" s="115"/>
      <c r="K921" s="115"/>
      <c r="L921" s="127"/>
      <c r="M921" s="128"/>
      <c r="N921" s="127"/>
      <c r="O921" s="115"/>
      <c r="P921" s="115"/>
      <c r="Q921" s="115"/>
      <c r="R921" s="115"/>
      <c r="S921" s="120"/>
      <c r="T921" s="120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</row>
    <row r="922" ht="18.0" customHeight="1">
      <c r="A922" s="114"/>
      <c r="B922" s="115"/>
      <c r="C922" s="115"/>
      <c r="D922" s="115"/>
      <c r="E922" s="116"/>
      <c r="F922" s="116"/>
      <c r="G922" s="115"/>
      <c r="H922" s="115"/>
      <c r="I922" s="115"/>
      <c r="J922" s="115"/>
      <c r="K922" s="115"/>
      <c r="L922" s="127"/>
      <c r="M922" s="128"/>
      <c r="N922" s="127"/>
      <c r="O922" s="115"/>
      <c r="P922" s="115"/>
      <c r="Q922" s="115"/>
      <c r="R922" s="115"/>
      <c r="S922" s="120"/>
      <c r="T922" s="120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</row>
    <row r="923" ht="18.0" customHeight="1">
      <c r="A923" s="114"/>
      <c r="B923" s="115"/>
      <c r="C923" s="115"/>
      <c r="D923" s="115"/>
      <c r="E923" s="116"/>
      <c r="F923" s="116"/>
      <c r="G923" s="115"/>
      <c r="H923" s="115"/>
      <c r="I923" s="115"/>
      <c r="J923" s="115"/>
      <c r="K923" s="115"/>
      <c r="L923" s="127"/>
      <c r="M923" s="128"/>
      <c r="N923" s="127"/>
      <c r="O923" s="115"/>
      <c r="P923" s="115"/>
      <c r="Q923" s="115"/>
      <c r="R923" s="115"/>
      <c r="S923" s="120"/>
      <c r="T923" s="120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</row>
    <row r="924" ht="18.0" customHeight="1">
      <c r="A924" s="114"/>
      <c r="B924" s="115"/>
      <c r="C924" s="115"/>
      <c r="D924" s="115"/>
      <c r="E924" s="116"/>
      <c r="F924" s="116"/>
      <c r="G924" s="115"/>
      <c r="H924" s="115"/>
      <c r="I924" s="115"/>
      <c r="J924" s="115"/>
      <c r="K924" s="115"/>
      <c r="L924" s="127"/>
      <c r="M924" s="128"/>
      <c r="N924" s="127"/>
      <c r="O924" s="115"/>
      <c r="P924" s="115"/>
      <c r="Q924" s="115"/>
      <c r="R924" s="115"/>
      <c r="S924" s="120"/>
      <c r="T924" s="120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</row>
    <row r="925" ht="18.0" customHeight="1">
      <c r="A925" s="114"/>
      <c r="B925" s="115"/>
      <c r="C925" s="115"/>
      <c r="D925" s="115"/>
      <c r="E925" s="116"/>
      <c r="F925" s="116"/>
      <c r="G925" s="115"/>
      <c r="H925" s="115"/>
      <c r="I925" s="115"/>
      <c r="J925" s="115"/>
      <c r="K925" s="115"/>
      <c r="L925" s="127"/>
      <c r="M925" s="128"/>
      <c r="N925" s="127"/>
      <c r="O925" s="115"/>
      <c r="P925" s="115"/>
      <c r="Q925" s="115"/>
      <c r="R925" s="115"/>
      <c r="S925" s="120"/>
      <c r="T925" s="120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</row>
    <row r="926" ht="18.0" customHeight="1">
      <c r="A926" s="114"/>
      <c r="B926" s="115"/>
      <c r="C926" s="115"/>
      <c r="D926" s="115"/>
      <c r="E926" s="116"/>
      <c r="F926" s="116"/>
      <c r="G926" s="115"/>
      <c r="H926" s="115"/>
      <c r="I926" s="115"/>
      <c r="J926" s="115"/>
      <c r="K926" s="115"/>
      <c r="L926" s="127"/>
      <c r="M926" s="128"/>
      <c r="N926" s="127"/>
      <c r="O926" s="115"/>
      <c r="P926" s="115"/>
      <c r="Q926" s="115"/>
      <c r="R926" s="115"/>
      <c r="S926" s="120"/>
      <c r="T926" s="120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</row>
    <row r="927" ht="18.0" customHeight="1">
      <c r="A927" s="114"/>
      <c r="B927" s="115"/>
      <c r="C927" s="115"/>
      <c r="D927" s="115"/>
      <c r="E927" s="116"/>
      <c r="F927" s="116"/>
      <c r="G927" s="115"/>
      <c r="H927" s="115"/>
      <c r="I927" s="115"/>
      <c r="J927" s="115"/>
      <c r="K927" s="115"/>
      <c r="L927" s="127"/>
      <c r="M927" s="128"/>
      <c r="N927" s="127"/>
      <c r="O927" s="115"/>
      <c r="P927" s="115"/>
      <c r="Q927" s="115"/>
      <c r="R927" s="115"/>
      <c r="S927" s="120"/>
      <c r="T927" s="120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</row>
    <row r="928" ht="18.0" customHeight="1">
      <c r="A928" s="114"/>
      <c r="B928" s="115"/>
      <c r="C928" s="115"/>
      <c r="D928" s="115"/>
      <c r="E928" s="116"/>
      <c r="F928" s="116"/>
      <c r="G928" s="115"/>
      <c r="H928" s="115"/>
      <c r="I928" s="115"/>
      <c r="J928" s="115"/>
      <c r="K928" s="115"/>
      <c r="L928" s="127"/>
      <c r="M928" s="128"/>
      <c r="N928" s="127"/>
      <c r="O928" s="115"/>
      <c r="P928" s="115"/>
      <c r="Q928" s="115"/>
      <c r="R928" s="115"/>
      <c r="S928" s="120"/>
      <c r="T928" s="120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</row>
    <row r="929" ht="18.0" customHeight="1">
      <c r="A929" s="114"/>
      <c r="B929" s="115"/>
      <c r="C929" s="115"/>
      <c r="D929" s="115"/>
      <c r="E929" s="116"/>
      <c r="F929" s="116"/>
      <c r="G929" s="115"/>
      <c r="H929" s="115"/>
      <c r="I929" s="115"/>
      <c r="J929" s="115"/>
      <c r="K929" s="115"/>
      <c r="L929" s="127"/>
      <c r="M929" s="128"/>
      <c r="N929" s="127"/>
      <c r="O929" s="115"/>
      <c r="P929" s="115"/>
      <c r="Q929" s="115"/>
      <c r="R929" s="115"/>
      <c r="S929" s="120"/>
      <c r="T929" s="120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</row>
    <row r="930" ht="18.0" customHeight="1">
      <c r="A930" s="114"/>
      <c r="B930" s="115"/>
      <c r="C930" s="115"/>
      <c r="D930" s="115"/>
      <c r="E930" s="116"/>
      <c r="F930" s="116"/>
      <c r="G930" s="115"/>
      <c r="H930" s="115"/>
      <c r="I930" s="115"/>
      <c r="J930" s="115"/>
      <c r="K930" s="115"/>
      <c r="L930" s="127"/>
      <c r="M930" s="128"/>
      <c r="N930" s="127"/>
      <c r="O930" s="115"/>
      <c r="P930" s="115"/>
      <c r="Q930" s="115"/>
      <c r="R930" s="115"/>
      <c r="S930" s="120"/>
      <c r="T930" s="120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</row>
    <row r="931" ht="18.0" customHeight="1">
      <c r="A931" s="114"/>
      <c r="B931" s="115"/>
      <c r="C931" s="115"/>
      <c r="D931" s="115"/>
      <c r="E931" s="116"/>
      <c r="F931" s="116"/>
      <c r="G931" s="115"/>
      <c r="H931" s="115"/>
      <c r="I931" s="115"/>
      <c r="J931" s="115"/>
      <c r="K931" s="115"/>
      <c r="L931" s="127"/>
      <c r="M931" s="128"/>
      <c r="N931" s="127"/>
      <c r="O931" s="115"/>
      <c r="P931" s="115"/>
      <c r="Q931" s="115"/>
      <c r="R931" s="115"/>
      <c r="S931" s="120"/>
      <c r="T931" s="120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</row>
    <row r="932" ht="18.0" customHeight="1">
      <c r="A932" s="114"/>
      <c r="B932" s="115"/>
      <c r="C932" s="115"/>
      <c r="D932" s="115"/>
      <c r="E932" s="116"/>
      <c r="F932" s="116"/>
      <c r="G932" s="115"/>
      <c r="H932" s="115"/>
      <c r="I932" s="115"/>
      <c r="J932" s="115"/>
      <c r="K932" s="115"/>
      <c r="L932" s="127"/>
      <c r="M932" s="128"/>
      <c r="N932" s="127"/>
      <c r="O932" s="115"/>
      <c r="P932" s="115"/>
      <c r="Q932" s="115"/>
      <c r="R932" s="115"/>
      <c r="S932" s="120"/>
      <c r="T932" s="120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</row>
    <row r="933" ht="18.0" customHeight="1">
      <c r="A933" s="114"/>
      <c r="B933" s="115"/>
      <c r="C933" s="115"/>
      <c r="D933" s="115"/>
      <c r="E933" s="116"/>
      <c r="F933" s="116"/>
      <c r="G933" s="115"/>
      <c r="H933" s="115"/>
      <c r="I933" s="115"/>
      <c r="J933" s="115"/>
      <c r="K933" s="115"/>
      <c r="L933" s="127"/>
      <c r="M933" s="128"/>
      <c r="N933" s="127"/>
      <c r="O933" s="115"/>
      <c r="P933" s="115"/>
      <c r="Q933" s="115"/>
      <c r="R933" s="115"/>
      <c r="S933" s="120"/>
      <c r="T933" s="120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</row>
    <row r="934" ht="18.0" customHeight="1">
      <c r="A934" s="114"/>
      <c r="B934" s="115"/>
      <c r="C934" s="115"/>
      <c r="D934" s="115"/>
      <c r="E934" s="116"/>
      <c r="F934" s="116"/>
      <c r="G934" s="115"/>
      <c r="H934" s="115"/>
      <c r="I934" s="115"/>
      <c r="J934" s="115"/>
      <c r="K934" s="115"/>
      <c r="L934" s="127"/>
      <c r="M934" s="128"/>
      <c r="N934" s="127"/>
      <c r="O934" s="115"/>
      <c r="P934" s="115"/>
      <c r="Q934" s="115"/>
      <c r="R934" s="115"/>
      <c r="S934" s="120"/>
      <c r="T934" s="120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</row>
    <row r="935" ht="18.0" customHeight="1">
      <c r="A935" s="114"/>
      <c r="B935" s="115"/>
      <c r="C935" s="115"/>
      <c r="D935" s="115"/>
      <c r="E935" s="116"/>
      <c r="F935" s="116"/>
      <c r="G935" s="115"/>
      <c r="H935" s="115"/>
      <c r="I935" s="115"/>
      <c r="J935" s="115"/>
      <c r="K935" s="115"/>
      <c r="L935" s="127"/>
      <c r="M935" s="128"/>
      <c r="N935" s="127"/>
      <c r="O935" s="115"/>
      <c r="P935" s="115"/>
      <c r="Q935" s="115"/>
      <c r="R935" s="115"/>
      <c r="S935" s="120"/>
      <c r="T935" s="120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</row>
    <row r="936" ht="18.0" customHeight="1">
      <c r="A936" s="114"/>
      <c r="B936" s="115"/>
      <c r="C936" s="115"/>
      <c r="D936" s="115"/>
      <c r="E936" s="116"/>
      <c r="F936" s="116"/>
      <c r="G936" s="115"/>
      <c r="H936" s="115"/>
      <c r="I936" s="115"/>
      <c r="J936" s="115"/>
      <c r="K936" s="115"/>
      <c r="L936" s="127"/>
      <c r="M936" s="128"/>
      <c r="N936" s="127"/>
      <c r="O936" s="115"/>
      <c r="P936" s="115"/>
      <c r="Q936" s="115"/>
      <c r="R936" s="115"/>
      <c r="S936" s="120"/>
      <c r="T936" s="120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</row>
    <row r="937" ht="18.0" customHeight="1">
      <c r="A937" s="114"/>
      <c r="B937" s="115"/>
      <c r="C937" s="115"/>
      <c r="D937" s="115"/>
      <c r="E937" s="116"/>
      <c r="F937" s="116"/>
      <c r="G937" s="115"/>
      <c r="H937" s="115"/>
      <c r="I937" s="115"/>
      <c r="J937" s="115"/>
      <c r="K937" s="115"/>
      <c r="L937" s="127"/>
      <c r="M937" s="128"/>
      <c r="N937" s="127"/>
      <c r="O937" s="115"/>
      <c r="P937" s="115"/>
      <c r="Q937" s="115"/>
      <c r="R937" s="115"/>
      <c r="S937" s="120"/>
      <c r="T937" s="120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</row>
    <row r="938" ht="18.0" customHeight="1">
      <c r="A938" s="114"/>
      <c r="B938" s="115"/>
      <c r="C938" s="115"/>
      <c r="D938" s="115"/>
      <c r="E938" s="116"/>
      <c r="F938" s="116"/>
      <c r="G938" s="115"/>
      <c r="H938" s="115"/>
      <c r="I938" s="115"/>
      <c r="J938" s="115"/>
      <c r="K938" s="115"/>
      <c r="L938" s="127"/>
      <c r="M938" s="128"/>
      <c r="N938" s="127"/>
      <c r="O938" s="115"/>
      <c r="P938" s="115"/>
      <c r="Q938" s="115"/>
      <c r="R938" s="115"/>
      <c r="S938" s="120"/>
      <c r="T938" s="120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</row>
    <row r="939" ht="18.0" customHeight="1">
      <c r="A939" s="114"/>
      <c r="B939" s="115"/>
      <c r="C939" s="115"/>
      <c r="D939" s="115"/>
      <c r="E939" s="116"/>
      <c r="F939" s="116"/>
      <c r="G939" s="115"/>
      <c r="H939" s="115"/>
      <c r="I939" s="115"/>
      <c r="J939" s="115"/>
      <c r="K939" s="115"/>
      <c r="L939" s="127"/>
      <c r="M939" s="128"/>
      <c r="N939" s="127"/>
      <c r="O939" s="115"/>
      <c r="P939" s="115"/>
      <c r="Q939" s="115"/>
      <c r="R939" s="115"/>
      <c r="S939" s="120"/>
      <c r="T939" s="120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</row>
    <row r="940" ht="18.0" customHeight="1">
      <c r="A940" s="114"/>
      <c r="B940" s="115"/>
      <c r="C940" s="115"/>
      <c r="D940" s="115"/>
      <c r="E940" s="116"/>
      <c r="F940" s="116"/>
      <c r="G940" s="115"/>
      <c r="H940" s="115"/>
      <c r="I940" s="115"/>
      <c r="J940" s="115"/>
      <c r="K940" s="115"/>
      <c r="L940" s="127"/>
      <c r="M940" s="128"/>
      <c r="N940" s="127"/>
      <c r="O940" s="115"/>
      <c r="P940" s="115"/>
      <c r="Q940" s="115"/>
      <c r="R940" s="115"/>
      <c r="S940" s="120"/>
      <c r="T940" s="120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</row>
    <row r="941" ht="18.0" customHeight="1">
      <c r="A941" s="114"/>
      <c r="B941" s="115"/>
      <c r="C941" s="115"/>
      <c r="D941" s="115"/>
      <c r="E941" s="116"/>
      <c r="F941" s="116"/>
      <c r="G941" s="115"/>
      <c r="H941" s="115"/>
      <c r="I941" s="115"/>
      <c r="J941" s="115"/>
      <c r="K941" s="115"/>
      <c r="L941" s="127"/>
      <c r="M941" s="128"/>
      <c r="N941" s="127"/>
      <c r="O941" s="115"/>
      <c r="P941" s="115"/>
      <c r="Q941" s="115"/>
      <c r="R941" s="115"/>
      <c r="S941" s="120"/>
      <c r="T941" s="120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</row>
    <row r="942" ht="18.0" customHeight="1">
      <c r="A942" s="114"/>
      <c r="B942" s="115"/>
      <c r="C942" s="115"/>
      <c r="D942" s="115"/>
      <c r="E942" s="116"/>
      <c r="F942" s="116"/>
      <c r="G942" s="115"/>
      <c r="H942" s="115"/>
      <c r="I942" s="115"/>
      <c r="J942" s="115"/>
      <c r="K942" s="115"/>
      <c r="L942" s="127"/>
      <c r="M942" s="128"/>
      <c r="N942" s="127"/>
      <c r="O942" s="115"/>
      <c r="P942" s="115"/>
      <c r="Q942" s="115"/>
      <c r="R942" s="115"/>
      <c r="S942" s="120"/>
      <c r="T942" s="120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</row>
    <row r="943" ht="18.0" customHeight="1">
      <c r="A943" s="114"/>
      <c r="B943" s="115"/>
      <c r="C943" s="115"/>
      <c r="D943" s="115"/>
      <c r="E943" s="116"/>
      <c r="F943" s="116"/>
      <c r="G943" s="115"/>
      <c r="H943" s="115"/>
      <c r="I943" s="115"/>
      <c r="J943" s="115"/>
      <c r="K943" s="115"/>
      <c r="L943" s="127"/>
      <c r="M943" s="128"/>
      <c r="N943" s="127"/>
      <c r="O943" s="115"/>
      <c r="P943" s="115"/>
      <c r="Q943" s="115"/>
      <c r="R943" s="115"/>
      <c r="S943" s="120"/>
      <c r="T943" s="120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</row>
    <row r="944" ht="18.0" customHeight="1">
      <c r="A944" s="114"/>
      <c r="B944" s="115"/>
      <c r="C944" s="115"/>
      <c r="D944" s="115"/>
      <c r="E944" s="116"/>
      <c r="F944" s="116"/>
      <c r="G944" s="115"/>
      <c r="H944" s="115"/>
      <c r="I944" s="115"/>
      <c r="J944" s="115"/>
      <c r="K944" s="115"/>
      <c r="L944" s="127"/>
      <c r="M944" s="128"/>
      <c r="N944" s="127"/>
      <c r="O944" s="115"/>
      <c r="P944" s="115"/>
      <c r="Q944" s="115"/>
      <c r="R944" s="115"/>
      <c r="S944" s="120"/>
      <c r="T944" s="120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</row>
    <row r="945" ht="18.0" customHeight="1">
      <c r="A945" s="114"/>
      <c r="B945" s="115"/>
      <c r="C945" s="115"/>
      <c r="D945" s="115"/>
      <c r="E945" s="116"/>
      <c r="F945" s="116"/>
      <c r="G945" s="115"/>
      <c r="H945" s="115"/>
      <c r="I945" s="115"/>
      <c r="J945" s="115"/>
      <c r="K945" s="115"/>
      <c r="L945" s="127"/>
      <c r="M945" s="128"/>
      <c r="N945" s="127"/>
      <c r="O945" s="115"/>
      <c r="P945" s="115"/>
      <c r="Q945" s="115"/>
      <c r="R945" s="115"/>
      <c r="S945" s="120"/>
      <c r="T945" s="120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</row>
    <row r="946" ht="18.0" customHeight="1">
      <c r="A946" s="114"/>
      <c r="B946" s="115"/>
      <c r="C946" s="115"/>
      <c r="D946" s="115"/>
      <c r="E946" s="116"/>
      <c r="F946" s="116"/>
      <c r="G946" s="115"/>
      <c r="H946" s="115"/>
      <c r="I946" s="115"/>
      <c r="J946" s="115"/>
      <c r="K946" s="115"/>
      <c r="L946" s="127"/>
      <c r="M946" s="128"/>
      <c r="N946" s="127"/>
      <c r="O946" s="115"/>
      <c r="P946" s="115"/>
      <c r="Q946" s="115"/>
      <c r="R946" s="115"/>
      <c r="S946" s="120"/>
      <c r="T946" s="120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</row>
    <row r="947" ht="18.0" customHeight="1">
      <c r="A947" s="114"/>
      <c r="B947" s="115"/>
      <c r="C947" s="115"/>
      <c r="D947" s="115"/>
      <c r="E947" s="116"/>
      <c r="F947" s="116"/>
      <c r="G947" s="115"/>
      <c r="H947" s="115"/>
      <c r="I947" s="115"/>
      <c r="J947" s="115"/>
      <c r="K947" s="115"/>
      <c r="L947" s="127"/>
      <c r="M947" s="128"/>
      <c r="N947" s="127"/>
      <c r="O947" s="115"/>
      <c r="P947" s="115"/>
      <c r="Q947" s="115"/>
      <c r="R947" s="115"/>
      <c r="S947" s="120"/>
      <c r="T947" s="120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</row>
    <row r="948" ht="18.0" customHeight="1">
      <c r="A948" s="114"/>
      <c r="B948" s="115"/>
      <c r="C948" s="115"/>
      <c r="D948" s="115"/>
      <c r="E948" s="116"/>
      <c r="F948" s="116"/>
      <c r="G948" s="115"/>
      <c r="H948" s="115"/>
      <c r="I948" s="115"/>
      <c r="J948" s="115"/>
      <c r="K948" s="115"/>
      <c r="L948" s="127"/>
      <c r="M948" s="128"/>
      <c r="N948" s="127"/>
      <c r="O948" s="115"/>
      <c r="P948" s="115"/>
      <c r="Q948" s="115"/>
      <c r="R948" s="115"/>
      <c r="S948" s="120"/>
      <c r="T948" s="120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</row>
    <row r="949" ht="18.0" customHeight="1">
      <c r="A949" s="114"/>
      <c r="B949" s="115"/>
      <c r="C949" s="115"/>
      <c r="D949" s="115"/>
      <c r="E949" s="116"/>
      <c r="F949" s="116"/>
      <c r="G949" s="115"/>
      <c r="H949" s="115"/>
      <c r="I949" s="115"/>
      <c r="J949" s="115"/>
      <c r="K949" s="115"/>
      <c r="L949" s="127"/>
      <c r="M949" s="128"/>
      <c r="N949" s="127"/>
      <c r="O949" s="115"/>
      <c r="P949" s="115"/>
      <c r="Q949" s="115"/>
      <c r="R949" s="115"/>
      <c r="S949" s="120"/>
      <c r="T949" s="120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</row>
    <row r="950" ht="18.0" customHeight="1">
      <c r="A950" s="114"/>
      <c r="B950" s="115"/>
      <c r="C950" s="115"/>
      <c r="D950" s="115"/>
      <c r="E950" s="116"/>
      <c r="F950" s="116"/>
      <c r="G950" s="115"/>
      <c r="H950" s="115"/>
      <c r="I950" s="115"/>
      <c r="J950" s="115"/>
      <c r="K950" s="115"/>
      <c r="L950" s="127"/>
      <c r="M950" s="128"/>
      <c r="N950" s="127"/>
      <c r="O950" s="115"/>
      <c r="P950" s="115"/>
      <c r="Q950" s="115"/>
      <c r="R950" s="115"/>
      <c r="S950" s="120"/>
      <c r="T950" s="120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</row>
    <row r="951" ht="18.0" customHeight="1">
      <c r="A951" s="114"/>
      <c r="B951" s="115"/>
      <c r="C951" s="115"/>
      <c r="D951" s="115"/>
      <c r="E951" s="116"/>
      <c r="F951" s="116"/>
      <c r="G951" s="115"/>
      <c r="H951" s="115"/>
      <c r="I951" s="115"/>
      <c r="J951" s="115"/>
      <c r="K951" s="115"/>
      <c r="L951" s="127"/>
      <c r="M951" s="128"/>
      <c r="N951" s="127"/>
      <c r="O951" s="115"/>
      <c r="P951" s="115"/>
      <c r="Q951" s="115"/>
      <c r="R951" s="115"/>
      <c r="S951" s="120"/>
      <c r="T951" s="120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</row>
    <row r="952" ht="18.0" customHeight="1">
      <c r="A952" s="114"/>
      <c r="B952" s="115"/>
      <c r="C952" s="115"/>
      <c r="D952" s="115"/>
      <c r="E952" s="116"/>
      <c r="F952" s="116"/>
      <c r="G952" s="115"/>
      <c r="H952" s="115"/>
      <c r="I952" s="115"/>
      <c r="J952" s="115"/>
      <c r="K952" s="115"/>
      <c r="L952" s="127"/>
      <c r="M952" s="128"/>
      <c r="N952" s="127"/>
      <c r="O952" s="115"/>
      <c r="P952" s="115"/>
      <c r="Q952" s="115"/>
      <c r="R952" s="115"/>
      <c r="S952" s="120"/>
      <c r="T952" s="120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</row>
    <row r="953" ht="18.0" customHeight="1">
      <c r="A953" s="114"/>
      <c r="B953" s="115"/>
      <c r="C953" s="115"/>
      <c r="D953" s="115"/>
      <c r="E953" s="116"/>
      <c r="F953" s="116"/>
      <c r="G953" s="115"/>
      <c r="H953" s="115"/>
      <c r="I953" s="115"/>
      <c r="J953" s="115"/>
      <c r="K953" s="115"/>
      <c r="L953" s="127"/>
      <c r="M953" s="128"/>
      <c r="N953" s="127"/>
      <c r="O953" s="115"/>
      <c r="P953" s="115"/>
      <c r="Q953" s="115"/>
      <c r="R953" s="115"/>
      <c r="S953" s="120"/>
      <c r="T953" s="120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</row>
    <row r="954" ht="18.0" customHeight="1">
      <c r="A954" s="114"/>
      <c r="B954" s="115"/>
      <c r="C954" s="115"/>
      <c r="D954" s="115"/>
      <c r="E954" s="116"/>
      <c r="F954" s="116"/>
      <c r="G954" s="115"/>
      <c r="H954" s="115"/>
      <c r="I954" s="115"/>
      <c r="J954" s="115"/>
      <c r="K954" s="115"/>
      <c r="L954" s="127"/>
      <c r="M954" s="128"/>
      <c r="N954" s="127"/>
      <c r="O954" s="115"/>
      <c r="P954" s="115"/>
      <c r="Q954" s="115"/>
      <c r="R954" s="115"/>
      <c r="S954" s="120"/>
      <c r="T954" s="120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</row>
    <row r="955" ht="18.0" customHeight="1">
      <c r="A955" s="114"/>
      <c r="B955" s="115"/>
      <c r="C955" s="115"/>
      <c r="D955" s="115"/>
      <c r="E955" s="116"/>
      <c r="F955" s="116"/>
      <c r="G955" s="115"/>
      <c r="H955" s="115"/>
      <c r="I955" s="115"/>
      <c r="J955" s="115"/>
      <c r="K955" s="115"/>
      <c r="L955" s="127"/>
      <c r="M955" s="128"/>
      <c r="N955" s="127"/>
      <c r="O955" s="115"/>
      <c r="P955" s="115"/>
      <c r="Q955" s="115"/>
      <c r="R955" s="115"/>
      <c r="S955" s="120"/>
      <c r="T955" s="120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</row>
    <row r="956" ht="18.0" customHeight="1">
      <c r="A956" s="114"/>
      <c r="B956" s="115"/>
      <c r="C956" s="115"/>
      <c r="D956" s="115"/>
      <c r="E956" s="116"/>
      <c r="F956" s="116"/>
      <c r="G956" s="115"/>
      <c r="H956" s="115"/>
      <c r="I956" s="115"/>
      <c r="J956" s="115"/>
      <c r="K956" s="115"/>
      <c r="L956" s="127"/>
      <c r="M956" s="128"/>
      <c r="N956" s="127"/>
      <c r="O956" s="115"/>
      <c r="P956" s="115"/>
      <c r="Q956" s="115"/>
      <c r="R956" s="115"/>
      <c r="S956" s="120"/>
      <c r="T956" s="120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</row>
    <row r="957" ht="18.0" customHeight="1">
      <c r="A957" s="114"/>
      <c r="B957" s="115"/>
      <c r="C957" s="115"/>
      <c r="D957" s="115"/>
      <c r="E957" s="116"/>
      <c r="F957" s="116"/>
      <c r="G957" s="115"/>
      <c r="H957" s="115"/>
      <c r="I957" s="115"/>
      <c r="J957" s="115"/>
      <c r="K957" s="115"/>
      <c r="L957" s="127"/>
      <c r="M957" s="128"/>
      <c r="N957" s="127"/>
      <c r="O957" s="115"/>
      <c r="P957" s="115"/>
      <c r="Q957" s="115"/>
      <c r="R957" s="115"/>
      <c r="S957" s="120"/>
      <c r="T957" s="120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</row>
    <row r="958" ht="18.0" customHeight="1">
      <c r="A958" s="114"/>
      <c r="B958" s="115"/>
      <c r="C958" s="115"/>
      <c r="D958" s="115"/>
      <c r="E958" s="116"/>
      <c r="F958" s="116"/>
      <c r="G958" s="115"/>
      <c r="H958" s="115"/>
      <c r="I958" s="115"/>
      <c r="J958" s="115"/>
      <c r="K958" s="115"/>
      <c r="L958" s="127"/>
      <c r="M958" s="128"/>
      <c r="N958" s="127"/>
      <c r="O958" s="115"/>
      <c r="P958" s="115"/>
      <c r="Q958" s="115"/>
      <c r="R958" s="115"/>
      <c r="S958" s="120"/>
      <c r="T958" s="120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</row>
    <row r="959" ht="18.0" customHeight="1">
      <c r="A959" s="114"/>
      <c r="B959" s="115"/>
      <c r="C959" s="115"/>
      <c r="D959" s="115"/>
      <c r="E959" s="116"/>
      <c r="F959" s="116"/>
      <c r="G959" s="115"/>
      <c r="H959" s="115"/>
      <c r="I959" s="115"/>
      <c r="J959" s="115"/>
      <c r="K959" s="115"/>
      <c r="L959" s="127"/>
      <c r="M959" s="128"/>
      <c r="N959" s="127"/>
      <c r="O959" s="115"/>
      <c r="P959" s="115"/>
      <c r="Q959" s="115"/>
      <c r="R959" s="115"/>
      <c r="S959" s="120"/>
      <c r="T959" s="120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</row>
    <row r="960" ht="18.0" customHeight="1">
      <c r="A960" s="114"/>
      <c r="B960" s="115"/>
      <c r="C960" s="115"/>
      <c r="D960" s="115"/>
      <c r="E960" s="116"/>
      <c r="F960" s="116"/>
      <c r="G960" s="115"/>
      <c r="H960" s="115"/>
      <c r="I960" s="115"/>
      <c r="J960" s="115"/>
      <c r="K960" s="115"/>
      <c r="L960" s="127"/>
      <c r="M960" s="128"/>
      <c r="N960" s="127"/>
      <c r="O960" s="115"/>
      <c r="P960" s="115"/>
      <c r="Q960" s="115"/>
      <c r="R960" s="115"/>
      <c r="S960" s="120"/>
      <c r="T960" s="120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</row>
    <row r="961" ht="18.0" customHeight="1">
      <c r="A961" s="114"/>
      <c r="B961" s="115"/>
      <c r="C961" s="115"/>
      <c r="D961" s="115"/>
      <c r="E961" s="116"/>
      <c r="F961" s="116"/>
      <c r="G961" s="115"/>
      <c r="H961" s="115"/>
      <c r="I961" s="115"/>
      <c r="J961" s="115"/>
      <c r="K961" s="115"/>
      <c r="L961" s="127"/>
      <c r="M961" s="128"/>
      <c r="N961" s="127"/>
      <c r="O961" s="115"/>
      <c r="P961" s="115"/>
      <c r="Q961" s="115"/>
      <c r="R961" s="115"/>
      <c r="S961" s="120"/>
      <c r="T961" s="120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</row>
    <row r="962" ht="18.0" customHeight="1">
      <c r="A962" s="114"/>
      <c r="B962" s="115"/>
      <c r="C962" s="115"/>
      <c r="D962" s="115"/>
      <c r="E962" s="116"/>
      <c r="F962" s="116"/>
      <c r="G962" s="115"/>
      <c r="H962" s="115"/>
      <c r="I962" s="115"/>
      <c r="J962" s="115"/>
      <c r="K962" s="115"/>
      <c r="L962" s="127"/>
      <c r="M962" s="128"/>
      <c r="N962" s="127"/>
      <c r="O962" s="115"/>
      <c r="P962" s="115"/>
      <c r="Q962" s="115"/>
      <c r="R962" s="115"/>
      <c r="S962" s="120"/>
      <c r="T962" s="120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</row>
    <row r="963" ht="18.0" customHeight="1">
      <c r="A963" s="114"/>
      <c r="B963" s="115"/>
      <c r="C963" s="115"/>
      <c r="D963" s="115"/>
      <c r="E963" s="116"/>
      <c r="F963" s="116"/>
      <c r="G963" s="115"/>
      <c r="H963" s="115"/>
      <c r="I963" s="115"/>
      <c r="J963" s="115"/>
      <c r="K963" s="115"/>
      <c r="L963" s="127"/>
      <c r="M963" s="128"/>
      <c r="N963" s="127"/>
      <c r="O963" s="115"/>
      <c r="P963" s="115"/>
      <c r="Q963" s="115"/>
      <c r="R963" s="115"/>
      <c r="S963" s="120"/>
      <c r="T963" s="120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</row>
    <row r="964" ht="18.0" customHeight="1">
      <c r="A964" s="114"/>
      <c r="B964" s="115"/>
      <c r="C964" s="115"/>
      <c r="D964" s="115"/>
      <c r="E964" s="116"/>
      <c r="F964" s="116"/>
      <c r="G964" s="115"/>
      <c r="H964" s="115"/>
      <c r="I964" s="115"/>
      <c r="J964" s="115"/>
      <c r="K964" s="115"/>
      <c r="L964" s="127"/>
      <c r="M964" s="128"/>
      <c r="N964" s="127"/>
      <c r="O964" s="115"/>
      <c r="P964" s="115"/>
      <c r="Q964" s="115"/>
      <c r="R964" s="115"/>
      <c r="S964" s="120"/>
      <c r="T964" s="120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</row>
    <row r="965" ht="18.0" customHeight="1">
      <c r="A965" s="114"/>
      <c r="B965" s="115"/>
      <c r="C965" s="115"/>
      <c r="D965" s="115"/>
      <c r="E965" s="116"/>
      <c r="F965" s="116"/>
      <c r="G965" s="115"/>
      <c r="H965" s="115"/>
      <c r="I965" s="115"/>
      <c r="J965" s="115"/>
      <c r="K965" s="115"/>
      <c r="L965" s="127"/>
      <c r="M965" s="128"/>
      <c r="N965" s="127"/>
      <c r="O965" s="115"/>
      <c r="P965" s="115"/>
      <c r="Q965" s="115"/>
      <c r="R965" s="115"/>
      <c r="S965" s="120"/>
      <c r="T965" s="120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</row>
    <row r="966" ht="18.0" customHeight="1">
      <c r="A966" s="114"/>
      <c r="B966" s="115"/>
      <c r="C966" s="115"/>
      <c r="D966" s="115"/>
      <c r="E966" s="116"/>
      <c r="F966" s="116"/>
      <c r="G966" s="115"/>
      <c r="H966" s="115"/>
      <c r="I966" s="115"/>
      <c r="J966" s="115"/>
      <c r="K966" s="115"/>
      <c r="L966" s="127"/>
      <c r="M966" s="128"/>
      <c r="N966" s="127"/>
      <c r="O966" s="115"/>
      <c r="P966" s="115"/>
      <c r="Q966" s="115"/>
      <c r="R966" s="115"/>
      <c r="S966" s="120"/>
      <c r="T966" s="120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</row>
    <row r="967" ht="18.0" customHeight="1">
      <c r="A967" s="114"/>
      <c r="B967" s="115"/>
      <c r="C967" s="115"/>
      <c r="D967" s="115"/>
      <c r="E967" s="116"/>
      <c r="F967" s="116"/>
      <c r="G967" s="115"/>
      <c r="H967" s="115"/>
      <c r="I967" s="115"/>
      <c r="J967" s="115"/>
      <c r="K967" s="115"/>
      <c r="L967" s="127"/>
      <c r="M967" s="128"/>
      <c r="N967" s="127"/>
      <c r="O967" s="115"/>
      <c r="P967" s="115"/>
      <c r="Q967" s="115"/>
      <c r="R967" s="115"/>
      <c r="S967" s="120"/>
      <c r="T967" s="120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</row>
    <row r="968" ht="18.0" customHeight="1">
      <c r="A968" s="114"/>
      <c r="B968" s="115"/>
      <c r="C968" s="115"/>
      <c r="D968" s="115"/>
      <c r="E968" s="116"/>
      <c r="F968" s="116"/>
      <c r="G968" s="115"/>
      <c r="H968" s="115"/>
      <c r="I968" s="115"/>
      <c r="J968" s="115"/>
      <c r="K968" s="115"/>
      <c r="L968" s="127"/>
      <c r="M968" s="128"/>
      <c r="N968" s="127"/>
      <c r="O968" s="115"/>
      <c r="P968" s="115"/>
      <c r="Q968" s="115"/>
      <c r="R968" s="115"/>
      <c r="S968" s="120"/>
      <c r="T968" s="120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</row>
    <row r="969" ht="18.0" customHeight="1">
      <c r="A969" s="114"/>
      <c r="B969" s="115"/>
      <c r="C969" s="115"/>
      <c r="D969" s="115"/>
      <c r="E969" s="116"/>
      <c r="F969" s="116"/>
      <c r="G969" s="115"/>
      <c r="H969" s="115"/>
      <c r="I969" s="115"/>
      <c r="J969" s="115"/>
      <c r="K969" s="115"/>
      <c r="L969" s="127"/>
      <c r="M969" s="128"/>
      <c r="N969" s="127"/>
      <c r="O969" s="115"/>
      <c r="P969" s="115"/>
      <c r="Q969" s="115"/>
      <c r="R969" s="115"/>
      <c r="S969" s="120"/>
      <c r="T969" s="120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</row>
    <row r="970" ht="18.0" customHeight="1">
      <c r="A970" s="114"/>
      <c r="B970" s="115"/>
      <c r="C970" s="115"/>
      <c r="D970" s="115"/>
      <c r="E970" s="116"/>
      <c r="F970" s="116"/>
      <c r="G970" s="115"/>
      <c r="H970" s="115"/>
      <c r="I970" s="115"/>
      <c r="J970" s="115"/>
      <c r="K970" s="115"/>
      <c r="L970" s="127"/>
      <c r="M970" s="128"/>
      <c r="N970" s="127"/>
      <c r="O970" s="115"/>
      <c r="P970" s="115"/>
      <c r="Q970" s="115"/>
      <c r="R970" s="115"/>
      <c r="S970" s="120"/>
      <c r="T970" s="120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</row>
    <row r="971" ht="18.0" customHeight="1">
      <c r="A971" s="114"/>
      <c r="B971" s="115"/>
      <c r="C971" s="115"/>
      <c r="D971" s="115"/>
      <c r="E971" s="116"/>
      <c r="F971" s="116"/>
      <c r="G971" s="115"/>
      <c r="H971" s="115"/>
      <c r="I971" s="115"/>
      <c r="J971" s="115"/>
      <c r="K971" s="115"/>
      <c r="L971" s="127"/>
      <c r="M971" s="128"/>
      <c r="N971" s="127"/>
      <c r="O971" s="115"/>
      <c r="P971" s="115"/>
      <c r="Q971" s="115"/>
      <c r="R971" s="115"/>
      <c r="S971" s="120"/>
      <c r="T971" s="120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</row>
    <row r="972" ht="18.0" customHeight="1">
      <c r="A972" s="114"/>
      <c r="B972" s="115"/>
      <c r="C972" s="115"/>
      <c r="D972" s="115"/>
      <c r="E972" s="116"/>
      <c r="F972" s="116"/>
      <c r="G972" s="115"/>
      <c r="H972" s="115"/>
      <c r="I972" s="115"/>
      <c r="J972" s="115"/>
      <c r="K972" s="115"/>
      <c r="L972" s="127"/>
      <c r="M972" s="128"/>
      <c r="N972" s="127"/>
      <c r="O972" s="115"/>
      <c r="P972" s="115"/>
      <c r="Q972" s="115"/>
      <c r="R972" s="115"/>
      <c r="S972" s="120"/>
      <c r="T972" s="120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</row>
    <row r="973" ht="18.0" customHeight="1">
      <c r="A973" s="114"/>
      <c r="B973" s="115"/>
      <c r="C973" s="115"/>
      <c r="D973" s="115"/>
      <c r="E973" s="116"/>
      <c r="F973" s="116"/>
      <c r="G973" s="115"/>
      <c r="H973" s="115"/>
      <c r="I973" s="115"/>
      <c r="J973" s="115"/>
      <c r="K973" s="115"/>
      <c r="L973" s="127"/>
      <c r="M973" s="128"/>
      <c r="N973" s="127"/>
      <c r="O973" s="115"/>
      <c r="P973" s="115"/>
      <c r="Q973" s="115"/>
      <c r="R973" s="115"/>
      <c r="S973" s="120"/>
      <c r="T973" s="120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</row>
    <row r="974" ht="18.0" customHeight="1">
      <c r="A974" s="114"/>
      <c r="B974" s="115"/>
      <c r="C974" s="115"/>
      <c r="D974" s="115"/>
      <c r="E974" s="116"/>
      <c r="F974" s="116"/>
      <c r="G974" s="115"/>
      <c r="H974" s="115"/>
      <c r="I974" s="115"/>
      <c r="J974" s="115"/>
      <c r="K974" s="115"/>
      <c r="L974" s="127"/>
      <c r="M974" s="128"/>
      <c r="N974" s="127"/>
      <c r="O974" s="115"/>
      <c r="P974" s="115"/>
      <c r="Q974" s="115"/>
      <c r="R974" s="115"/>
      <c r="S974" s="120"/>
      <c r="T974" s="120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</row>
    <row r="975" ht="18.0" customHeight="1">
      <c r="A975" s="114"/>
      <c r="B975" s="115"/>
      <c r="C975" s="115"/>
      <c r="D975" s="115"/>
      <c r="E975" s="116"/>
      <c r="F975" s="116"/>
      <c r="G975" s="115"/>
      <c r="H975" s="115"/>
      <c r="I975" s="115"/>
      <c r="J975" s="115"/>
      <c r="K975" s="115"/>
      <c r="L975" s="127"/>
      <c r="M975" s="128"/>
      <c r="N975" s="127"/>
      <c r="O975" s="115"/>
      <c r="P975" s="115"/>
      <c r="Q975" s="115"/>
      <c r="R975" s="115"/>
      <c r="S975" s="120"/>
      <c r="T975" s="120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</row>
    <row r="976" ht="18.0" customHeight="1">
      <c r="A976" s="114"/>
      <c r="B976" s="115"/>
      <c r="C976" s="115"/>
      <c r="D976" s="115"/>
      <c r="E976" s="116"/>
      <c r="F976" s="116"/>
      <c r="G976" s="115"/>
      <c r="H976" s="115"/>
      <c r="I976" s="115"/>
      <c r="J976" s="115"/>
      <c r="K976" s="115"/>
      <c r="L976" s="127"/>
      <c r="M976" s="128"/>
      <c r="N976" s="127"/>
      <c r="O976" s="115"/>
      <c r="P976" s="115"/>
      <c r="Q976" s="115"/>
      <c r="R976" s="115"/>
      <c r="S976" s="120"/>
      <c r="T976" s="120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</row>
    <row r="977" ht="18.0" customHeight="1">
      <c r="A977" s="114"/>
      <c r="B977" s="115"/>
      <c r="C977" s="115"/>
      <c r="D977" s="115"/>
      <c r="E977" s="116"/>
      <c r="F977" s="116"/>
      <c r="G977" s="115"/>
      <c r="H977" s="115"/>
      <c r="I977" s="115"/>
      <c r="J977" s="115"/>
      <c r="K977" s="115"/>
      <c r="L977" s="127"/>
      <c r="M977" s="128"/>
      <c r="N977" s="127"/>
      <c r="O977" s="115"/>
      <c r="P977" s="115"/>
      <c r="Q977" s="115"/>
      <c r="R977" s="115"/>
      <c r="S977" s="120"/>
      <c r="T977" s="120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</row>
    <row r="978" ht="18.0" customHeight="1">
      <c r="A978" s="114"/>
      <c r="B978" s="115"/>
      <c r="C978" s="115"/>
      <c r="D978" s="115"/>
      <c r="E978" s="116"/>
      <c r="F978" s="116"/>
      <c r="G978" s="115"/>
      <c r="H978" s="115"/>
      <c r="I978" s="115"/>
      <c r="J978" s="115"/>
      <c r="K978" s="115"/>
      <c r="L978" s="127"/>
      <c r="M978" s="128"/>
      <c r="N978" s="127"/>
      <c r="O978" s="115"/>
      <c r="P978" s="115"/>
      <c r="Q978" s="115"/>
      <c r="R978" s="115"/>
      <c r="S978" s="120"/>
      <c r="T978" s="120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</row>
    <row r="979" ht="18.0" customHeight="1">
      <c r="A979" s="114"/>
      <c r="B979" s="115"/>
      <c r="C979" s="115"/>
      <c r="D979" s="115"/>
      <c r="E979" s="116"/>
      <c r="F979" s="116"/>
      <c r="G979" s="115"/>
      <c r="H979" s="115"/>
      <c r="I979" s="115"/>
      <c r="J979" s="115"/>
      <c r="K979" s="115"/>
      <c r="L979" s="127"/>
      <c r="M979" s="128"/>
      <c r="N979" s="127"/>
      <c r="O979" s="115"/>
      <c r="P979" s="115"/>
      <c r="Q979" s="115"/>
      <c r="R979" s="115"/>
      <c r="S979" s="120"/>
      <c r="T979" s="120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</row>
    <row r="980" ht="18.0" customHeight="1">
      <c r="A980" s="114"/>
      <c r="B980" s="115"/>
      <c r="C980" s="115"/>
      <c r="D980" s="115"/>
      <c r="E980" s="116"/>
      <c r="F980" s="116"/>
      <c r="G980" s="115"/>
      <c r="H980" s="115"/>
      <c r="I980" s="115"/>
      <c r="J980" s="115"/>
      <c r="K980" s="115"/>
      <c r="L980" s="127"/>
      <c r="M980" s="128"/>
      <c r="N980" s="127"/>
      <c r="O980" s="115"/>
      <c r="P980" s="115"/>
      <c r="Q980" s="115"/>
      <c r="R980" s="115"/>
      <c r="S980" s="120"/>
      <c r="T980" s="120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</row>
    <row r="981" ht="18.0" customHeight="1">
      <c r="A981" s="114"/>
      <c r="B981" s="115"/>
      <c r="C981" s="115"/>
      <c r="D981" s="115"/>
      <c r="E981" s="116"/>
      <c r="F981" s="116"/>
      <c r="G981" s="115"/>
      <c r="H981" s="115"/>
      <c r="I981" s="115"/>
      <c r="J981" s="115"/>
      <c r="K981" s="115"/>
      <c r="L981" s="127"/>
      <c r="M981" s="128"/>
      <c r="N981" s="127"/>
      <c r="O981" s="115"/>
      <c r="P981" s="115"/>
      <c r="Q981" s="115"/>
      <c r="R981" s="115"/>
      <c r="S981" s="120"/>
      <c r="T981" s="120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</row>
    <row r="982" ht="18.0" customHeight="1">
      <c r="A982" s="114"/>
      <c r="B982" s="115"/>
      <c r="C982" s="115"/>
      <c r="D982" s="115"/>
      <c r="E982" s="116"/>
      <c r="F982" s="116"/>
      <c r="G982" s="115"/>
      <c r="H982" s="115"/>
      <c r="I982" s="115"/>
      <c r="J982" s="115"/>
      <c r="K982" s="115"/>
      <c r="L982" s="127"/>
      <c r="M982" s="128"/>
      <c r="N982" s="127"/>
      <c r="O982" s="115"/>
      <c r="P982" s="115"/>
      <c r="Q982" s="115"/>
      <c r="R982" s="115"/>
      <c r="S982" s="120"/>
      <c r="T982" s="120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</row>
    <row r="983" ht="18.0" customHeight="1">
      <c r="A983" s="114"/>
      <c r="B983" s="115"/>
      <c r="C983" s="115"/>
      <c r="D983" s="115"/>
      <c r="E983" s="116"/>
      <c r="F983" s="116"/>
      <c r="G983" s="115"/>
      <c r="H983" s="115"/>
      <c r="I983" s="115"/>
      <c r="J983" s="115"/>
      <c r="K983" s="115"/>
      <c r="L983" s="127"/>
      <c r="M983" s="128"/>
      <c r="N983" s="127"/>
      <c r="O983" s="115"/>
      <c r="P983" s="115"/>
      <c r="Q983" s="115"/>
      <c r="R983" s="115"/>
      <c r="S983" s="120"/>
      <c r="T983" s="120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</row>
    <row r="984" ht="18.0" customHeight="1">
      <c r="A984" s="114"/>
      <c r="B984" s="115"/>
      <c r="C984" s="115"/>
      <c r="D984" s="115"/>
      <c r="E984" s="116"/>
      <c r="F984" s="116"/>
      <c r="G984" s="115"/>
      <c r="H984" s="115"/>
      <c r="I984" s="115"/>
      <c r="J984" s="115"/>
      <c r="K984" s="115"/>
      <c r="L984" s="127"/>
      <c r="M984" s="128"/>
      <c r="N984" s="127"/>
      <c r="O984" s="115"/>
      <c r="P984" s="115"/>
      <c r="Q984" s="115"/>
      <c r="R984" s="115"/>
      <c r="S984" s="120"/>
      <c r="T984" s="120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</row>
    <row r="985" ht="18.0" customHeight="1">
      <c r="A985" s="114"/>
      <c r="B985" s="115"/>
      <c r="C985" s="115"/>
      <c r="D985" s="115"/>
      <c r="E985" s="116"/>
      <c r="F985" s="116"/>
      <c r="G985" s="115"/>
      <c r="H985" s="115"/>
      <c r="I985" s="115"/>
      <c r="J985" s="115"/>
      <c r="K985" s="115"/>
      <c r="L985" s="127"/>
      <c r="M985" s="128"/>
      <c r="N985" s="127"/>
      <c r="O985" s="115"/>
      <c r="P985" s="115"/>
      <c r="Q985" s="115"/>
      <c r="R985" s="115"/>
      <c r="S985" s="120"/>
      <c r="T985" s="120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</row>
    <row r="986" ht="18.0" customHeight="1">
      <c r="A986" s="114"/>
      <c r="B986" s="115"/>
      <c r="C986" s="115"/>
      <c r="D986" s="115"/>
      <c r="E986" s="116"/>
      <c r="F986" s="116"/>
      <c r="G986" s="115"/>
      <c r="H986" s="115"/>
      <c r="I986" s="115"/>
      <c r="J986" s="115"/>
      <c r="K986" s="115"/>
      <c r="L986" s="127"/>
      <c r="M986" s="128"/>
      <c r="N986" s="127"/>
      <c r="O986" s="115"/>
      <c r="P986" s="115"/>
      <c r="Q986" s="115"/>
      <c r="R986" s="115"/>
      <c r="S986" s="120"/>
      <c r="T986" s="120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</row>
    <row r="987" ht="18.0" customHeight="1">
      <c r="A987" s="114"/>
      <c r="B987" s="115"/>
      <c r="C987" s="115"/>
      <c r="D987" s="115"/>
      <c r="E987" s="116"/>
      <c r="F987" s="116"/>
      <c r="G987" s="115"/>
      <c r="H987" s="115"/>
      <c r="I987" s="115"/>
      <c r="J987" s="115"/>
      <c r="K987" s="115"/>
      <c r="L987" s="127"/>
      <c r="M987" s="128"/>
      <c r="N987" s="127"/>
      <c r="O987" s="115"/>
      <c r="P987" s="115"/>
      <c r="Q987" s="115"/>
      <c r="R987" s="115"/>
      <c r="S987" s="120"/>
      <c r="T987" s="120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</row>
    <row r="988" ht="18.0" customHeight="1">
      <c r="A988" s="114"/>
      <c r="B988" s="115"/>
      <c r="C988" s="115"/>
      <c r="D988" s="115"/>
      <c r="E988" s="116"/>
      <c r="F988" s="116"/>
      <c r="G988" s="115"/>
      <c r="H988" s="115"/>
      <c r="I988" s="115"/>
      <c r="J988" s="115"/>
      <c r="K988" s="115"/>
      <c r="L988" s="127"/>
      <c r="M988" s="128"/>
      <c r="N988" s="127"/>
      <c r="O988" s="115"/>
      <c r="P988" s="115"/>
      <c r="Q988" s="115"/>
      <c r="R988" s="115"/>
      <c r="S988" s="120"/>
      <c r="T988" s="120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</row>
    <row r="989" ht="18.0" customHeight="1">
      <c r="A989" s="114"/>
      <c r="B989" s="115"/>
      <c r="C989" s="115"/>
      <c r="D989" s="115"/>
      <c r="E989" s="116"/>
      <c r="F989" s="116"/>
      <c r="G989" s="115"/>
      <c r="H989" s="115"/>
      <c r="I989" s="115"/>
      <c r="J989" s="115"/>
      <c r="K989" s="115"/>
      <c r="L989" s="127"/>
      <c r="M989" s="128"/>
      <c r="N989" s="127"/>
      <c r="O989" s="115"/>
      <c r="P989" s="115"/>
      <c r="Q989" s="115"/>
      <c r="R989" s="115"/>
      <c r="S989" s="120"/>
      <c r="T989" s="120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</row>
    <row r="990" ht="18.0" customHeight="1">
      <c r="A990" s="114"/>
      <c r="B990" s="115"/>
      <c r="C990" s="115"/>
      <c r="D990" s="115"/>
      <c r="E990" s="116"/>
      <c r="F990" s="116"/>
      <c r="G990" s="115"/>
      <c r="H990" s="115"/>
      <c r="I990" s="115"/>
      <c r="J990" s="115"/>
      <c r="K990" s="115"/>
      <c r="L990" s="127"/>
      <c r="M990" s="128"/>
      <c r="N990" s="127"/>
      <c r="O990" s="115"/>
      <c r="P990" s="115"/>
      <c r="Q990" s="115"/>
      <c r="R990" s="115"/>
      <c r="S990" s="120"/>
      <c r="T990" s="120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</row>
    <row r="991" ht="18.0" customHeight="1">
      <c r="A991" s="114"/>
      <c r="B991" s="115"/>
      <c r="C991" s="115"/>
      <c r="D991" s="115"/>
      <c r="E991" s="116"/>
      <c r="F991" s="116"/>
      <c r="G991" s="115"/>
      <c r="H991" s="115"/>
      <c r="I991" s="115"/>
      <c r="J991" s="115"/>
      <c r="K991" s="115"/>
      <c r="L991" s="127"/>
      <c r="M991" s="128"/>
      <c r="N991" s="127"/>
      <c r="O991" s="115"/>
      <c r="P991" s="115"/>
      <c r="Q991" s="115"/>
      <c r="R991" s="115"/>
      <c r="S991" s="120"/>
      <c r="T991" s="120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</row>
    <row r="992" ht="18.0" customHeight="1">
      <c r="A992" s="114"/>
      <c r="B992" s="115"/>
      <c r="C992" s="115"/>
      <c r="D992" s="115"/>
      <c r="E992" s="116"/>
      <c r="F992" s="116"/>
      <c r="G992" s="115"/>
      <c r="H992" s="115"/>
      <c r="I992" s="115"/>
      <c r="J992" s="115"/>
      <c r="K992" s="115"/>
      <c r="L992" s="127"/>
      <c r="M992" s="128"/>
      <c r="N992" s="127"/>
      <c r="O992" s="115"/>
      <c r="P992" s="115"/>
      <c r="Q992" s="115"/>
      <c r="R992" s="115"/>
      <c r="S992" s="120"/>
      <c r="T992" s="120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</row>
    <row r="993" ht="18.0" customHeight="1">
      <c r="A993" s="114"/>
      <c r="B993" s="115"/>
      <c r="C993" s="115"/>
      <c r="D993" s="115"/>
      <c r="E993" s="116"/>
      <c r="F993" s="116"/>
      <c r="G993" s="115"/>
      <c r="H993" s="115"/>
      <c r="I993" s="115"/>
      <c r="J993" s="115"/>
      <c r="K993" s="115"/>
      <c r="L993" s="127"/>
      <c r="M993" s="128"/>
      <c r="N993" s="127"/>
      <c r="O993" s="115"/>
      <c r="P993" s="115"/>
      <c r="Q993" s="115"/>
      <c r="R993" s="115"/>
      <c r="S993" s="120"/>
      <c r="T993" s="120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</row>
    <row r="994" ht="18.0" customHeight="1">
      <c r="A994" s="114"/>
      <c r="B994" s="115"/>
      <c r="C994" s="115"/>
      <c r="D994" s="115"/>
      <c r="E994" s="116"/>
      <c r="F994" s="116"/>
      <c r="G994" s="115"/>
      <c r="H994" s="115"/>
      <c r="I994" s="115"/>
      <c r="J994" s="115"/>
      <c r="K994" s="115"/>
      <c r="L994" s="127"/>
      <c r="M994" s="128"/>
      <c r="N994" s="127"/>
      <c r="O994" s="115"/>
      <c r="P994" s="115"/>
      <c r="Q994" s="115"/>
      <c r="R994" s="115"/>
      <c r="S994" s="120"/>
      <c r="T994" s="120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</row>
    <row r="995" ht="18.0" customHeight="1">
      <c r="A995" s="114"/>
      <c r="B995" s="115"/>
      <c r="C995" s="115"/>
      <c r="D995" s="115"/>
      <c r="E995" s="116"/>
      <c r="F995" s="116"/>
      <c r="G995" s="115"/>
      <c r="H995" s="115"/>
      <c r="I995" s="115"/>
      <c r="J995" s="115"/>
      <c r="K995" s="115"/>
      <c r="L995" s="127"/>
      <c r="M995" s="128"/>
      <c r="N995" s="127"/>
      <c r="O995" s="115"/>
      <c r="P995" s="115"/>
      <c r="Q995" s="115"/>
      <c r="R995" s="115"/>
      <c r="S995" s="120"/>
      <c r="T995" s="120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</row>
    <row r="996" ht="18.0" customHeight="1">
      <c r="A996" s="114"/>
      <c r="B996" s="115"/>
      <c r="C996" s="115"/>
      <c r="D996" s="115"/>
      <c r="E996" s="116"/>
      <c r="F996" s="116"/>
      <c r="G996" s="115"/>
      <c r="H996" s="115"/>
      <c r="I996" s="115"/>
      <c r="J996" s="115"/>
      <c r="K996" s="115"/>
      <c r="L996" s="127"/>
      <c r="M996" s="128"/>
      <c r="N996" s="127"/>
      <c r="O996" s="115"/>
      <c r="P996" s="115"/>
      <c r="Q996" s="115"/>
      <c r="R996" s="115"/>
      <c r="S996" s="120"/>
      <c r="T996" s="120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</row>
    <row r="997" ht="18.0" customHeight="1">
      <c r="A997" s="114"/>
      <c r="B997" s="115"/>
      <c r="C997" s="115"/>
      <c r="D997" s="115"/>
      <c r="E997" s="116"/>
      <c r="F997" s="116"/>
      <c r="G997" s="115"/>
      <c r="H997" s="115"/>
      <c r="I997" s="115"/>
      <c r="J997" s="115"/>
      <c r="K997" s="115"/>
      <c r="L997" s="127"/>
      <c r="M997" s="128"/>
      <c r="N997" s="127"/>
      <c r="O997" s="115"/>
      <c r="P997" s="115"/>
      <c r="Q997" s="115"/>
      <c r="R997" s="115"/>
      <c r="S997" s="120"/>
      <c r="T997" s="120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</row>
    <row r="998" ht="18.0" customHeight="1">
      <c r="A998" s="114"/>
      <c r="B998" s="115"/>
      <c r="C998" s="115"/>
      <c r="D998" s="115"/>
      <c r="E998" s="116"/>
      <c r="F998" s="116"/>
      <c r="G998" s="115"/>
      <c r="H998" s="115"/>
      <c r="I998" s="115"/>
      <c r="J998" s="115"/>
      <c r="K998" s="115"/>
      <c r="L998" s="127"/>
      <c r="M998" s="128"/>
      <c r="N998" s="127"/>
      <c r="O998" s="115"/>
      <c r="P998" s="115"/>
      <c r="Q998" s="115"/>
      <c r="R998" s="115"/>
      <c r="S998" s="120"/>
      <c r="T998" s="120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</row>
    <row r="999" ht="18.0" customHeight="1">
      <c r="A999" s="114"/>
      <c r="B999" s="115"/>
      <c r="C999" s="115"/>
      <c r="D999" s="115"/>
      <c r="E999" s="116"/>
      <c r="F999" s="116"/>
      <c r="G999" s="115"/>
      <c r="H999" s="115"/>
      <c r="I999" s="115"/>
      <c r="J999" s="115"/>
      <c r="K999" s="115"/>
      <c r="L999" s="127"/>
      <c r="M999" s="128"/>
      <c r="N999" s="127"/>
      <c r="O999" s="115"/>
      <c r="P999" s="115"/>
      <c r="Q999" s="115"/>
      <c r="R999" s="115"/>
      <c r="S999" s="120"/>
      <c r="T999" s="120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</row>
    <row r="1000" ht="18.0" customHeight="1">
      <c r="A1000" s="114"/>
      <c r="B1000" s="115"/>
      <c r="C1000" s="115"/>
      <c r="D1000" s="115"/>
      <c r="E1000" s="116"/>
      <c r="F1000" s="116"/>
      <c r="G1000" s="115"/>
      <c r="H1000" s="115"/>
      <c r="I1000" s="115"/>
      <c r="J1000" s="115"/>
      <c r="K1000" s="115"/>
      <c r="L1000" s="127"/>
      <c r="M1000" s="128"/>
      <c r="N1000" s="127"/>
      <c r="O1000" s="115"/>
      <c r="P1000" s="115"/>
      <c r="Q1000" s="115"/>
      <c r="R1000" s="115"/>
      <c r="S1000" s="120"/>
      <c r="T1000" s="120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</row>
  </sheetData>
  <autoFilter ref="$A$19:$O$66"/>
  <mergeCells count="6">
    <mergeCell ref="K1:L1"/>
    <mergeCell ref="K2:L2"/>
    <mergeCell ref="G3:H3"/>
    <mergeCell ref="A72:B72"/>
    <mergeCell ref="E72:G72"/>
    <mergeCell ref="E75:G75"/>
  </mergeCells>
  <conditionalFormatting sqref="A1:A18 A23:D69 A70:F71 A72 A73:F1000 B21:D22 B22:B66 D19 D67:D70 E1:F3 E5:F5 E7:F19 E72:F72 F20:F69 H1:K2 H7 H8:K15 I3:K7 I16:N16 L72:L73 Q21:R66 Q67:Q69 R67:R70">
    <cfRule type="cellIs" dxfId="0" priority="1" operator="equal">
      <formula>0</formula>
    </cfRule>
  </conditionalFormatting>
  <conditionalFormatting sqref="B21:D65 B22:B69 D23:D70">
    <cfRule type="cellIs" dxfId="1" priority="2" operator="equal">
      <formula>"dom"</formula>
    </cfRule>
  </conditionalFormatting>
  <conditionalFormatting sqref="B21:D1000">
    <cfRule type="containsText" dxfId="1" priority="3" operator="containsText" text="do">
      <formula>NOT(ISERROR(SEARCH(("do"),(B21))))</formula>
    </cfRule>
  </conditionalFormatting>
  <conditionalFormatting sqref="G1:G1000">
    <cfRule type="cellIs" dxfId="0" priority="4" operator="equal">
      <formula>0</formula>
    </cfRule>
  </conditionalFormatting>
  <conditionalFormatting sqref="H17:K1000">
    <cfRule type="cellIs" dxfId="0" priority="5" operator="equal">
      <formula>0</formula>
    </cfRule>
  </conditionalFormatting>
  <conditionalFormatting sqref="M1:N1000">
    <cfRule type="cellIs" dxfId="0" priority="6" operator="equal">
      <formula>0</formula>
    </cfRule>
  </conditionalFormatting>
  <dataValidations>
    <dataValidation type="list" allowBlank="1" showErrorMessage="1" sqref="M8:N8">
      <formula1>"Carlos Pineda,Yefran Aragon,Roman L,Oficina"</formula1>
    </dataValidation>
    <dataValidation type="list" allowBlank="1" showErrorMessage="1" sqref="L7">
      <formula1>"Dismab,Gestor de cobro,Deposito"</formula1>
    </dataValidation>
    <dataValidation type="list" allowBlank="1" showErrorMessage="1" sqref="H5:H6">
      <formula1>"Microcreditos,Credito Personal,Credito Hipotecario"</formula1>
    </dataValidation>
    <dataValidation type="list" allowBlank="1" showErrorMessage="1" sqref="L8">
      <formula1>"Carlos Pineda,Nicanor Pereira,Roman Lainez,Oficina"</formula1>
    </dataValidation>
    <dataValidation type="list" allowBlank="1" showErrorMessage="1" sqref="L17">
      <formula1>"Aplica,No aplica"</formula1>
    </dataValidation>
    <dataValidation type="list" allowBlank="1" showErrorMessage="1" sqref="G13">
      <formula1>"Catorcenal,Quincenal,Mensual"</formula1>
    </dataValidation>
    <dataValidation type="list" allowBlank="1" showErrorMessage="1" sqref="K5:K6">
      <formula1>"Nuevo,Renovacion"</formula1>
    </dataValidation>
  </dataValidations>
  <printOptions/>
  <pageMargins bottom="0.75" footer="0.0" header="0.0" left="0.7" right="0.7" top="0.75"/>
  <pageSetup orientation="portrait"/>
  <headerFooter>
    <oddHeader>&amp;CCREDIBLAMEN S.A.</oddHeader>
    <oddFooter>&amp;LEstimado cliente: Le instamos realizar sus pagos en tiempo y forma. Evítese el pago de interés moratorio y gastos por cobranza. Puede realizar el pago de su cuota en BANCO LAFISE(BANCENTRO) Cta en dolares 10620263 a nombre de EMILIA DEL SOCORRO MENDIETA</oddFooter>
  </headerFooter>
  <rowBreaks count="1" manualBreakCount="1">
    <brk id="79" man="1"/>
  </rowBreaks>
  <colBreaks count="1" manualBreakCount="1">
    <brk id="14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2.57"/>
    <col customWidth="1" min="3" max="3" width="21.71"/>
    <col customWidth="1" min="4" max="4" width="13.14"/>
    <col customWidth="1" min="5" max="5" width="48.71"/>
    <col customWidth="1" min="6" max="26" width="10.71"/>
  </cols>
  <sheetData>
    <row r="1" ht="14.25" customHeight="1">
      <c r="A1" s="198" t="s">
        <v>136</v>
      </c>
      <c r="B1" s="198" t="s">
        <v>137</v>
      </c>
      <c r="C1" s="198" t="s">
        <v>138</v>
      </c>
      <c r="D1" s="198" t="s">
        <v>139</v>
      </c>
      <c r="E1" s="198" t="s">
        <v>140</v>
      </c>
    </row>
    <row r="2" ht="14.25" customHeight="1">
      <c r="A2" s="199">
        <v>3.0</v>
      </c>
      <c r="B2" s="199" t="str">
        <f>+_xlfn.MAXIFS([1]Datos!$H:$H,[1]Datos!$B:$B,A2)</f>
        <v>#ERROR!</v>
      </c>
      <c r="C2" s="199" t="s">
        <v>141</v>
      </c>
      <c r="D2" s="199">
        <f t="shared" ref="D2:D431" si="1">+LEN(C2)</f>
        <v>14</v>
      </c>
      <c r="E2" s="199" t="s">
        <v>142</v>
      </c>
    </row>
    <row r="3" ht="14.25" customHeight="1">
      <c r="A3" s="199">
        <v>14.0</v>
      </c>
      <c r="B3" s="199" t="str">
        <f>+_xlfn.MAXIFS([1]Datos!$H:$H,[1]Datos!$B:$B,A3)</f>
        <v>#ERROR!</v>
      </c>
      <c r="C3" s="199" t="s">
        <v>143</v>
      </c>
      <c r="D3" s="199">
        <f t="shared" si="1"/>
        <v>14</v>
      </c>
      <c r="E3" s="199" t="s">
        <v>144</v>
      </c>
    </row>
    <row r="4" ht="14.25" customHeight="1">
      <c r="A4" s="199">
        <v>15.0</v>
      </c>
      <c r="B4" s="199" t="str">
        <f>+_xlfn.MAXIFS([1]Datos!$H:$H,[1]Datos!$B:$B,A4)</f>
        <v>#ERROR!</v>
      </c>
      <c r="C4" s="199" t="s">
        <v>145</v>
      </c>
      <c r="D4" s="199">
        <f t="shared" si="1"/>
        <v>14</v>
      </c>
      <c r="E4" s="199" t="s">
        <v>146</v>
      </c>
    </row>
    <row r="5" ht="14.25" customHeight="1">
      <c r="A5" s="199">
        <v>41.0</v>
      </c>
      <c r="B5" s="199" t="str">
        <f>+_xlfn.MAXIFS([1]Datos!$H:$H,[1]Datos!$B:$B,A5)</f>
        <v>#ERROR!</v>
      </c>
      <c r="C5" s="199" t="s">
        <v>147</v>
      </c>
      <c r="D5" s="199">
        <f t="shared" si="1"/>
        <v>14</v>
      </c>
      <c r="E5" s="199" t="s">
        <v>148</v>
      </c>
    </row>
    <row r="6" ht="14.25" customHeight="1">
      <c r="A6" s="199">
        <v>66.0</v>
      </c>
      <c r="B6" s="199" t="str">
        <f>+_xlfn.MAXIFS([1]Datos!$H:$H,[1]Datos!$B:$B,A6)</f>
        <v>#ERROR!</v>
      </c>
      <c r="C6" s="199" t="s">
        <v>149</v>
      </c>
      <c r="D6" s="199">
        <f t="shared" si="1"/>
        <v>14</v>
      </c>
      <c r="E6" s="199" t="s">
        <v>150</v>
      </c>
    </row>
    <row r="7" ht="14.25" customHeight="1">
      <c r="A7" s="199">
        <v>87.0</v>
      </c>
      <c r="B7" s="199" t="str">
        <f>+_xlfn.MAXIFS([1]Datos!$H:$H,[1]Datos!$B:$B,A7)</f>
        <v>#ERROR!</v>
      </c>
      <c r="C7" s="199" t="s">
        <v>151</v>
      </c>
      <c r="D7" s="199">
        <f t="shared" si="1"/>
        <v>14</v>
      </c>
      <c r="E7" s="199" t="s">
        <v>152</v>
      </c>
    </row>
    <row r="8" ht="14.25" customHeight="1">
      <c r="A8" s="199">
        <v>89.0</v>
      </c>
      <c r="B8" s="199" t="str">
        <f>+_xlfn.MAXIFS([1]Datos!$H:$H,[1]Datos!$B:$B,A8)</f>
        <v>#ERROR!</v>
      </c>
      <c r="C8" s="199" t="s">
        <v>153</v>
      </c>
      <c r="D8" s="199">
        <f t="shared" si="1"/>
        <v>14</v>
      </c>
      <c r="E8" s="199" t="s">
        <v>154</v>
      </c>
    </row>
    <row r="9" ht="14.25" customHeight="1">
      <c r="A9" s="199">
        <v>116.0</v>
      </c>
      <c r="B9" s="199" t="str">
        <f>+_xlfn.MAXIFS([1]Datos!$H:$H,[1]Datos!$B:$B,A9)</f>
        <v>#ERROR!</v>
      </c>
      <c r="C9" s="199" t="s">
        <v>155</v>
      </c>
      <c r="D9" s="199">
        <f t="shared" si="1"/>
        <v>14</v>
      </c>
      <c r="E9" s="199" t="s">
        <v>156</v>
      </c>
    </row>
    <row r="10" ht="14.25" customHeight="1">
      <c r="A10" s="199">
        <v>126.0</v>
      </c>
      <c r="B10" s="199" t="str">
        <f>+_xlfn.MAXIFS([1]Datos!$H:$H,[1]Datos!$B:$B,A10)</f>
        <v>#ERROR!</v>
      </c>
      <c r="C10" s="199" t="s">
        <v>157</v>
      </c>
      <c r="D10" s="199">
        <f t="shared" si="1"/>
        <v>14</v>
      </c>
      <c r="E10" s="199" t="s">
        <v>158</v>
      </c>
    </row>
    <row r="11" ht="14.25" customHeight="1">
      <c r="A11" s="199">
        <v>128.0</v>
      </c>
      <c r="B11" s="199" t="str">
        <f>+_xlfn.MAXIFS([1]Datos!$H:$H,[1]Datos!$B:$B,A11)</f>
        <v>#ERROR!</v>
      </c>
      <c r="C11" s="199" t="s">
        <v>159</v>
      </c>
      <c r="D11" s="199">
        <f t="shared" si="1"/>
        <v>14</v>
      </c>
      <c r="E11" s="199" t="s">
        <v>160</v>
      </c>
    </row>
    <row r="12" ht="14.25" customHeight="1">
      <c r="A12" s="199">
        <v>139.0</v>
      </c>
      <c r="B12" s="199" t="str">
        <f>+_xlfn.MAXIFS([1]Datos!$H:$H,[1]Datos!$B:$B,A12)</f>
        <v>#ERROR!</v>
      </c>
      <c r="C12" s="199" t="s">
        <v>161</v>
      </c>
      <c r="D12" s="199">
        <f t="shared" si="1"/>
        <v>14</v>
      </c>
      <c r="E12" s="199" t="s">
        <v>162</v>
      </c>
    </row>
    <row r="13" ht="14.25" customHeight="1">
      <c r="A13" s="199">
        <v>140.0</v>
      </c>
      <c r="B13" s="199" t="str">
        <f>+_xlfn.MAXIFS([1]Datos!$H:$H,[1]Datos!$B:$B,A13)</f>
        <v>#ERROR!</v>
      </c>
      <c r="C13" s="199" t="s">
        <v>163</v>
      </c>
      <c r="D13" s="199">
        <f t="shared" si="1"/>
        <v>14</v>
      </c>
      <c r="E13" s="199" t="s">
        <v>164</v>
      </c>
    </row>
    <row r="14" ht="14.25" customHeight="1">
      <c r="A14" s="199">
        <v>141.0</v>
      </c>
      <c r="B14" s="199" t="str">
        <f>+_xlfn.MAXIFS([1]Datos!$H:$H,[1]Datos!$B:$B,A14)</f>
        <v>#ERROR!</v>
      </c>
      <c r="C14" s="199" t="s">
        <v>165</v>
      </c>
      <c r="D14" s="199">
        <f t="shared" si="1"/>
        <v>14</v>
      </c>
      <c r="E14" s="199" t="s">
        <v>166</v>
      </c>
    </row>
    <row r="15" ht="14.25" customHeight="1">
      <c r="A15" s="199">
        <v>156.0</v>
      </c>
      <c r="B15" s="199" t="str">
        <f>+_xlfn.MAXIFS([1]Datos!$H:$H,[1]Datos!$B:$B,A15)</f>
        <v>#ERROR!</v>
      </c>
      <c r="C15" s="199" t="s">
        <v>167</v>
      </c>
      <c r="D15" s="199">
        <f t="shared" si="1"/>
        <v>14</v>
      </c>
      <c r="E15" s="199" t="s">
        <v>168</v>
      </c>
    </row>
    <row r="16" ht="14.25" customHeight="1">
      <c r="A16" s="199">
        <v>163.0</v>
      </c>
      <c r="B16" s="199" t="str">
        <f>+_xlfn.MAXIFS([1]Datos!$H:$H,[1]Datos!$B:$B,A16)</f>
        <v>#ERROR!</v>
      </c>
      <c r="C16" s="199" t="s">
        <v>169</v>
      </c>
      <c r="D16" s="199">
        <f t="shared" si="1"/>
        <v>14</v>
      </c>
      <c r="E16" s="199" t="s">
        <v>170</v>
      </c>
    </row>
    <row r="17" ht="14.25" customHeight="1">
      <c r="A17" s="199">
        <v>170.0</v>
      </c>
      <c r="B17" s="199" t="str">
        <f>+_xlfn.MAXIFS([1]Datos!$H:$H,[1]Datos!$B:$B,A17)</f>
        <v>#ERROR!</v>
      </c>
      <c r="C17" s="199" t="s">
        <v>171</v>
      </c>
      <c r="D17" s="199">
        <f t="shared" si="1"/>
        <v>14</v>
      </c>
      <c r="E17" s="199" t="s">
        <v>172</v>
      </c>
    </row>
    <row r="18" ht="14.25" customHeight="1">
      <c r="A18" s="199">
        <v>174.0</v>
      </c>
      <c r="B18" s="199" t="str">
        <f>+_xlfn.MAXIFS([1]Datos!$H:$H,[1]Datos!$B:$B,A18)</f>
        <v>#ERROR!</v>
      </c>
      <c r="C18" s="199" t="s">
        <v>173</v>
      </c>
      <c r="D18" s="199">
        <f t="shared" si="1"/>
        <v>14</v>
      </c>
      <c r="E18" s="199" t="s">
        <v>174</v>
      </c>
    </row>
    <row r="19" ht="14.25" customHeight="1">
      <c r="A19" s="199">
        <v>177.0</v>
      </c>
      <c r="B19" s="199" t="str">
        <f>+_xlfn.MAXIFS([1]Datos!$H:$H,[1]Datos!$B:$B,A19)</f>
        <v>#ERROR!</v>
      </c>
      <c r="C19" s="199" t="s">
        <v>175</v>
      </c>
      <c r="D19" s="199">
        <f t="shared" si="1"/>
        <v>14</v>
      </c>
      <c r="E19" s="199" t="s">
        <v>176</v>
      </c>
    </row>
    <row r="20" ht="14.25" customHeight="1">
      <c r="A20" s="199">
        <v>179.0</v>
      </c>
      <c r="B20" s="199" t="str">
        <f>+_xlfn.MAXIFS([1]Datos!$H:$H,[1]Datos!$B:$B,A20)</f>
        <v>#ERROR!</v>
      </c>
      <c r="C20" s="199" t="s">
        <v>177</v>
      </c>
      <c r="D20" s="199">
        <f t="shared" si="1"/>
        <v>14</v>
      </c>
      <c r="E20" s="199" t="s">
        <v>178</v>
      </c>
    </row>
    <row r="21" ht="14.25" customHeight="1">
      <c r="A21" s="199">
        <v>193.0</v>
      </c>
      <c r="B21" s="199" t="str">
        <f>+_xlfn.MAXIFS([1]Datos!$H:$H,[1]Datos!$B:$B,A21)</f>
        <v>#ERROR!</v>
      </c>
      <c r="C21" s="199" t="s">
        <v>179</v>
      </c>
      <c r="D21" s="199">
        <f t="shared" si="1"/>
        <v>14</v>
      </c>
      <c r="E21" s="199" t="s">
        <v>180</v>
      </c>
    </row>
    <row r="22" ht="14.25" customHeight="1">
      <c r="A22" s="199">
        <v>199.0</v>
      </c>
      <c r="B22" s="199" t="str">
        <f>+_xlfn.MAXIFS([1]Datos!$H:$H,[1]Datos!$B:$B,A22)</f>
        <v>#ERROR!</v>
      </c>
      <c r="C22" s="199" t="s">
        <v>181</v>
      </c>
      <c r="D22" s="199">
        <f t="shared" si="1"/>
        <v>14</v>
      </c>
      <c r="E22" s="199" t="s">
        <v>182</v>
      </c>
    </row>
    <row r="23" ht="14.25" customHeight="1">
      <c r="A23" s="199">
        <v>200.0</v>
      </c>
      <c r="B23" s="199" t="str">
        <f>+_xlfn.MAXIFS([1]Datos!$H:$H,[1]Datos!$B:$B,A23)</f>
        <v>#ERROR!</v>
      </c>
      <c r="C23" s="199" t="s">
        <v>183</v>
      </c>
      <c r="D23" s="199">
        <f t="shared" si="1"/>
        <v>14</v>
      </c>
      <c r="E23" s="199" t="s">
        <v>184</v>
      </c>
    </row>
    <row r="24" ht="14.25" customHeight="1">
      <c r="A24" s="199">
        <v>214.0</v>
      </c>
      <c r="B24" s="199" t="str">
        <f>+_xlfn.MAXIFS([1]Datos!$H:$H,[1]Datos!$B:$B,A24)</f>
        <v>#ERROR!</v>
      </c>
      <c r="C24" s="199" t="s">
        <v>185</v>
      </c>
      <c r="D24" s="199">
        <f t="shared" si="1"/>
        <v>14</v>
      </c>
      <c r="E24" s="199" t="s">
        <v>186</v>
      </c>
    </row>
    <row r="25" ht="14.25" customHeight="1">
      <c r="A25" s="199">
        <v>1331.0</v>
      </c>
      <c r="B25" s="199" t="str">
        <f>+_xlfn.MAXIFS([1]Datos!$H:$H,[1]Datos!$B:$B,A25)</f>
        <v>#ERROR!</v>
      </c>
      <c r="C25" s="199" t="s">
        <v>187</v>
      </c>
      <c r="D25" s="199">
        <f t="shared" si="1"/>
        <v>14</v>
      </c>
      <c r="E25" s="199" t="s">
        <v>188</v>
      </c>
    </row>
    <row r="26" ht="14.25" customHeight="1">
      <c r="A26" s="199">
        <v>218.0</v>
      </c>
      <c r="B26" s="199" t="str">
        <f>+_xlfn.MAXIFS([1]Datos!$H:$H,[1]Datos!$B:$B,A26)</f>
        <v>#ERROR!</v>
      </c>
      <c r="C26" s="199" t="s">
        <v>189</v>
      </c>
      <c r="D26" s="199">
        <f t="shared" si="1"/>
        <v>14</v>
      </c>
      <c r="E26" s="199" t="s">
        <v>190</v>
      </c>
    </row>
    <row r="27" ht="14.25" customHeight="1">
      <c r="A27" s="199">
        <v>233.0</v>
      </c>
      <c r="B27" s="199" t="str">
        <f>+_xlfn.MAXIFS([1]Datos!$H:$H,[1]Datos!$B:$B,A27)</f>
        <v>#ERROR!</v>
      </c>
      <c r="C27" s="199" t="s">
        <v>191</v>
      </c>
      <c r="D27" s="199">
        <f t="shared" si="1"/>
        <v>14</v>
      </c>
      <c r="E27" s="199" t="s">
        <v>192</v>
      </c>
    </row>
    <row r="28" ht="14.25" customHeight="1">
      <c r="A28" s="199">
        <v>242.0</v>
      </c>
      <c r="B28" s="199" t="str">
        <f>+_xlfn.MAXIFS([1]Datos!$H:$H,[1]Datos!$B:$B,A28)</f>
        <v>#ERROR!</v>
      </c>
      <c r="C28" s="199" t="s">
        <v>193</v>
      </c>
      <c r="D28" s="199">
        <f t="shared" si="1"/>
        <v>14</v>
      </c>
      <c r="E28" s="199" t="s">
        <v>194</v>
      </c>
    </row>
    <row r="29" ht="14.25" customHeight="1">
      <c r="A29" s="199">
        <v>243.0</v>
      </c>
      <c r="B29" s="199" t="str">
        <f>+_xlfn.MAXIFS([1]Datos!$H:$H,[1]Datos!$B:$B,A29)</f>
        <v>#ERROR!</v>
      </c>
      <c r="C29" s="199" t="s">
        <v>195</v>
      </c>
      <c r="D29" s="199">
        <f t="shared" si="1"/>
        <v>14</v>
      </c>
      <c r="E29" s="199" t="s">
        <v>196</v>
      </c>
    </row>
    <row r="30" ht="14.25" customHeight="1">
      <c r="A30" s="199">
        <v>250.0</v>
      </c>
      <c r="B30" s="199" t="str">
        <f>+_xlfn.MAXIFS([1]Datos!$H:$H,[1]Datos!$B:$B,A30)</f>
        <v>#ERROR!</v>
      </c>
      <c r="C30" s="199" t="s">
        <v>197</v>
      </c>
      <c r="D30" s="199">
        <f t="shared" si="1"/>
        <v>14</v>
      </c>
      <c r="E30" s="199" t="s">
        <v>198</v>
      </c>
    </row>
    <row r="31" ht="14.25" customHeight="1">
      <c r="A31" s="199">
        <v>257.0</v>
      </c>
      <c r="B31" s="199" t="str">
        <f>+_xlfn.MAXIFS([1]Datos!$H:$H,[1]Datos!$B:$B,A31)</f>
        <v>#ERROR!</v>
      </c>
      <c r="C31" s="199" t="s">
        <v>199</v>
      </c>
      <c r="D31" s="199">
        <f t="shared" si="1"/>
        <v>14</v>
      </c>
      <c r="E31" s="199" t="s">
        <v>200</v>
      </c>
    </row>
    <row r="32" ht="14.25" customHeight="1">
      <c r="A32" s="199">
        <v>274.0</v>
      </c>
      <c r="B32" s="199" t="str">
        <f>+_xlfn.MAXIFS([1]Datos!$H:$H,[1]Datos!$B:$B,A32)</f>
        <v>#ERROR!</v>
      </c>
      <c r="C32" s="199" t="s">
        <v>201</v>
      </c>
      <c r="D32" s="199">
        <f t="shared" si="1"/>
        <v>14</v>
      </c>
      <c r="E32" s="199" t="s">
        <v>202</v>
      </c>
    </row>
    <row r="33" ht="14.25" customHeight="1">
      <c r="A33" s="199">
        <v>284.0</v>
      </c>
      <c r="B33" s="199" t="str">
        <f>+_xlfn.MAXIFS([1]Datos!$H:$H,[1]Datos!$B:$B,A33)</f>
        <v>#ERROR!</v>
      </c>
      <c r="C33" s="199" t="s">
        <v>203</v>
      </c>
      <c r="D33" s="199">
        <f t="shared" si="1"/>
        <v>14</v>
      </c>
      <c r="E33" s="199" t="s">
        <v>204</v>
      </c>
    </row>
    <row r="34" ht="14.25" customHeight="1">
      <c r="A34" s="199">
        <v>292.0</v>
      </c>
      <c r="B34" s="199" t="str">
        <f>+_xlfn.MAXIFS([1]Datos!$H:$H,[1]Datos!$B:$B,A34)</f>
        <v>#ERROR!</v>
      </c>
      <c r="C34" s="199" t="s">
        <v>205</v>
      </c>
      <c r="D34" s="199">
        <f t="shared" si="1"/>
        <v>14</v>
      </c>
      <c r="E34" s="199" t="s">
        <v>206</v>
      </c>
    </row>
    <row r="35" ht="14.25" customHeight="1">
      <c r="A35" s="199">
        <v>293.0</v>
      </c>
      <c r="B35" s="199" t="str">
        <f>+_xlfn.MAXIFS([1]Datos!$H:$H,[1]Datos!$B:$B,A35)</f>
        <v>#ERROR!</v>
      </c>
      <c r="C35" s="199" t="s">
        <v>207</v>
      </c>
      <c r="D35" s="199">
        <f t="shared" si="1"/>
        <v>14</v>
      </c>
      <c r="E35" s="199" t="s">
        <v>208</v>
      </c>
    </row>
    <row r="36" ht="14.25" customHeight="1">
      <c r="A36" s="199">
        <v>299.0</v>
      </c>
      <c r="B36" s="199" t="str">
        <f>+_xlfn.MAXIFS([1]Datos!$H:$H,[1]Datos!$B:$B,A36)</f>
        <v>#ERROR!</v>
      </c>
      <c r="C36" s="199" t="s">
        <v>209</v>
      </c>
      <c r="D36" s="199">
        <f t="shared" si="1"/>
        <v>14</v>
      </c>
      <c r="E36" s="199" t="s">
        <v>210</v>
      </c>
    </row>
    <row r="37" ht="14.25" customHeight="1">
      <c r="A37" s="199">
        <v>303.0</v>
      </c>
      <c r="B37" s="199" t="str">
        <f>+_xlfn.MAXIFS([1]Datos!$H:$H,[1]Datos!$B:$B,A37)</f>
        <v>#ERROR!</v>
      </c>
      <c r="C37" s="199" t="s">
        <v>211</v>
      </c>
      <c r="D37" s="199">
        <f t="shared" si="1"/>
        <v>14</v>
      </c>
      <c r="E37" s="199" t="s">
        <v>212</v>
      </c>
    </row>
    <row r="38" ht="14.25" customHeight="1">
      <c r="A38" s="199">
        <v>319.0</v>
      </c>
      <c r="B38" s="199" t="str">
        <f>+_xlfn.MAXIFS([1]Datos!$H:$H,[1]Datos!$B:$B,A38)</f>
        <v>#ERROR!</v>
      </c>
      <c r="C38" s="199" t="s">
        <v>213</v>
      </c>
      <c r="D38" s="199">
        <f t="shared" si="1"/>
        <v>14</v>
      </c>
      <c r="E38" s="199" t="s">
        <v>214</v>
      </c>
    </row>
    <row r="39" ht="14.25" customHeight="1">
      <c r="A39" s="199">
        <v>330.0</v>
      </c>
      <c r="B39" s="199" t="str">
        <f>+_xlfn.MAXIFS([1]Datos!$H:$H,[1]Datos!$B:$B,A39)</f>
        <v>#ERROR!</v>
      </c>
      <c r="C39" s="199" t="s">
        <v>215</v>
      </c>
      <c r="D39" s="199">
        <f t="shared" si="1"/>
        <v>14</v>
      </c>
      <c r="E39" s="199" t="s">
        <v>216</v>
      </c>
    </row>
    <row r="40" ht="14.25" customHeight="1">
      <c r="A40" s="199">
        <v>337.0</v>
      </c>
      <c r="B40" s="199" t="str">
        <f>+_xlfn.MAXIFS([1]Datos!$H:$H,[1]Datos!$B:$B,A40)</f>
        <v>#ERROR!</v>
      </c>
      <c r="C40" s="199" t="s">
        <v>217</v>
      </c>
      <c r="D40" s="199">
        <f t="shared" si="1"/>
        <v>14</v>
      </c>
      <c r="E40" s="199" t="s">
        <v>218</v>
      </c>
    </row>
    <row r="41" ht="14.25" customHeight="1">
      <c r="A41" s="199">
        <v>338.0</v>
      </c>
      <c r="B41" s="199" t="str">
        <f>+_xlfn.MAXIFS([1]Datos!$H:$H,[1]Datos!$B:$B,A41)</f>
        <v>#ERROR!</v>
      </c>
      <c r="C41" s="199" t="s">
        <v>219</v>
      </c>
      <c r="D41" s="199">
        <f t="shared" si="1"/>
        <v>14</v>
      </c>
      <c r="E41" s="199" t="s">
        <v>220</v>
      </c>
    </row>
    <row r="42" ht="14.25" customHeight="1">
      <c r="A42" s="199">
        <v>342.0</v>
      </c>
      <c r="B42" s="199" t="str">
        <f>+_xlfn.MAXIFS([1]Datos!$H:$H,[1]Datos!$B:$B,A42)</f>
        <v>#ERROR!</v>
      </c>
      <c r="C42" s="199" t="s">
        <v>221</v>
      </c>
      <c r="D42" s="199">
        <f t="shared" si="1"/>
        <v>14</v>
      </c>
      <c r="E42" s="199" t="s">
        <v>222</v>
      </c>
    </row>
    <row r="43" ht="14.25" customHeight="1">
      <c r="A43" s="199">
        <v>346.0</v>
      </c>
      <c r="B43" s="199" t="str">
        <f>+_xlfn.MAXIFS([1]Datos!$H:$H,[1]Datos!$B:$B,A43)</f>
        <v>#ERROR!</v>
      </c>
      <c r="C43" s="199" t="s">
        <v>223</v>
      </c>
      <c r="D43" s="199">
        <f t="shared" si="1"/>
        <v>14</v>
      </c>
      <c r="E43" s="199" t="s">
        <v>224</v>
      </c>
    </row>
    <row r="44" ht="14.25" customHeight="1">
      <c r="A44" s="199">
        <v>353.0</v>
      </c>
      <c r="B44" s="199" t="str">
        <f>+_xlfn.MAXIFS([1]Datos!$H:$H,[1]Datos!$B:$B,A44)</f>
        <v>#ERROR!</v>
      </c>
      <c r="C44" s="199" t="s">
        <v>225</v>
      </c>
      <c r="D44" s="199">
        <f t="shared" si="1"/>
        <v>14</v>
      </c>
      <c r="E44" s="199" t="s">
        <v>226</v>
      </c>
    </row>
    <row r="45" ht="14.25" customHeight="1">
      <c r="A45" s="199">
        <v>363.0</v>
      </c>
      <c r="B45" s="199" t="str">
        <f>+_xlfn.MAXIFS([1]Datos!$H:$H,[1]Datos!$B:$B,A45)</f>
        <v>#ERROR!</v>
      </c>
      <c r="C45" s="199" t="s">
        <v>227</v>
      </c>
      <c r="D45" s="199">
        <f t="shared" si="1"/>
        <v>14</v>
      </c>
      <c r="E45" s="199" t="s">
        <v>228</v>
      </c>
    </row>
    <row r="46" ht="14.25" customHeight="1">
      <c r="A46" s="199">
        <v>382.0</v>
      </c>
      <c r="B46" s="199" t="str">
        <f>+_xlfn.MAXIFS([1]Datos!$H:$H,[1]Datos!$B:$B,A46)</f>
        <v>#ERROR!</v>
      </c>
      <c r="C46" s="199" t="s">
        <v>229</v>
      </c>
      <c r="D46" s="199">
        <f t="shared" si="1"/>
        <v>14</v>
      </c>
      <c r="E46" s="199" t="s">
        <v>230</v>
      </c>
    </row>
    <row r="47" ht="14.25" customHeight="1">
      <c r="A47" s="199">
        <v>386.0</v>
      </c>
      <c r="B47" s="199" t="str">
        <f>+_xlfn.MAXIFS([1]Datos!$H:$H,[1]Datos!$B:$B,A47)</f>
        <v>#ERROR!</v>
      </c>
      <c r="C47" s="199" t="s">
        <v>231</v>
      </c>
      <c r="D47" s="199">
        <f t="shared" si="1"/>
        <v>14</v>
      </c>
      <c r="E47" s="199" t="s">
        <v>232</v>
      </c>
    </row>
    <row r="48" ht="14.25" customHeight="1">
      <c r="A48" s="199">
        <v>389.0</v>
      </c>
      <c r="B48" s="199" t="str">
        <f>+_xlfn.MAXIFS([1]Datos!$H:$H,[1]Datos!$B:$B,A48)</f>
        <v>#ERROR!</v>
      </c>
      <c r="C48" s="199" t="s">
        <v>233</v>
      </c>
      <c r="D48" s="199">
        <f t="shared" si="1"/>
        <v>14</v>
      </c>
      <c r="E48" s="199" t="s">
        <v>234</v>
      </c>
    </row>
    <row r="49" ht="14.25" customHeight="1">
      <c r="A49" s="199">
        <v>403.0</v>
      </c>
      <c r="B49" s="199" t="str">
        <f>+_xlfn.MAXIFS([1]Datos!$H:$H,[1]Datos!$B:$B,A49)</f>
        <v>#ERROR!</v>
      </c>
      <c r="C49" s="199" t="s">
        <v>235</v>
      </c>
      <c r="D49" s="199">
        <f t="shared" si="1"/>
        <v>14</v>
      </c>
      <c r="E49" s="199" t="s">
        <v>236</v>
      </c>
    </row>
    <row r="50" ht="14.25" customHeight="1">
      <c r="A50" s="199">
        <v>410.0</v>
      </c>
      <c r="B50" s="199" t="str">
        <f>+_xlfn.MAXIFS([1]Datos!$H:$H,[1]Datos!$B:$B,A50)</f>
        <v>#ERROR!</v>
      </c>
      <c r="C50" s="199" t="s">
        <v>237</v>
      </c>
      <c r="D50" s="199">
        <f t="shared" si="1"/>
        <v>14</v>
      </c>
      <c r="E50" s="199" t="s">
        <v>238</v>
      </c>
    </row>
    <row r="51" ht="14.25" customHeight="1">
      <c r="A51" s="199">
        <v>413.0</v>
      </c>
      <c r="B51" s="199" t="str">
        <f>+_xlfn.MAXIFS([1]Datos!$H:$H,[1]Datos!$B:$B,A51)</f>
        <v>#ERROR!</v>
      </c>
      <c r="C51" s="199" t="s">
        <v>239</v>
      </c>
      <c r="D51" s="199">
        <f t="shared" si="1"/>
        <v>14</v>
      </c>
      <c r="E51" s="199" t="s">
        <v>240</v>
      </c>
    </row>
    <row r="52" ht="14.25" customHeight="1">
      <c r="A52" s="199">
        <v>416.0</v>
      </c>
      <c r="B52" s="199" t="str">
        <f>+_xlfn.MAXIFS([1]Datos!$H:$H,[1]Datos!$B:$B,A52)</f>
        <v>#ERROR!</v>
      </c>
      <c r="C52" s="199" t="s">
        <v>237</v>
      </c>
      <c r="D52" s="199">
        <f t="shared" si="1"/>
        <v>14</v>
      </c>
      <c r="E52" s="199" t="s">
        <v>241</v>
      </c>
    </row>
    <row r="53" ht="14.25" customHeight="1">
      <c r="A53" s="199">
        <v>423.0</v>
      </c>
      <c r="B53" s="199" t="str">
        <f>+_xlfn.MAXIFS([1]Datos!$H:$H,[1]Datos!$B:$B,A53)</f>
        <v>#ERROR!</v>
      </c>
      <c r="C53" s="199" t="s">
        <v>242</v>
      </c>
      <c r="D53" s="199">
        <f t="shared" si="1"/>
        <v>14</v>
      </c>
      <c r="E53" s="199" t="s">
        <v>243</v>
      </c>
    </row>
    <row r="54" ht="14.25" customHeight="1">
      <c r="A54" s="199">
        <v>445.0</v>
      </c>
      <c r="B54" s="199" t="str">
        <f>+_xlfn.MAXIFS([1]Datos!$H:$H,[1]Datos!$B:$B,A54)</f>
        <v>#ERROR!</v>
      </c>
      <c r="C54" s="199" t="s">
        <v>244</v>
      </c>
      <c r="D54" s="199">
        <f t="shared" si="1"/>
        <v>14</v>
      </c>
      <c r="E54" s="199" t="s">
        <v>245</v>
      </c>
    </row>
    <row r="55" ht="14.25" customHeight="1">
      <c r="A55" s="199">
        <v>459.0</v>
      </c>
      <c r="B55" s="199" t="str">
        <f>+_xlfn.MAXIFS([1]Datos!$H:$H,[1]Datos!$B:$B,A55)</f>
        <v>#ERROR!</v>
      </c>
      <c r="C55" s="199" t="s">
        <v>246</v>
      </c>
      <c r="D55" s="199">
        <f t="shared" si="1"/>
        <v>14</v>
      </c>
      <c r="E55" s="199" t="s">
        <v>247</v>
      </c>
    </row>
    <row r="56" ht="14.25" customHeight="1">
      <c r="A56" s="199">
        <v>465.0</v>
      </c>
      <c r="B56" s="199" t="str">
        <f>+_xlfn.MAXIFS([1]Datos!$H:$H,[1]Datos!$B:$B,A56)</f>
        <v>#ERROR!</v>
      </c>
      <c r="C56" s="199" t="s">
        <v>248</v>
      </c>
      <c r="D56" s="199">
        <f t="shared" si="1"/>
        <v>14</v>
      </c>
      <c r="E56" s="199" t="s">
        <v>249</v>
      </c>
    </row>
    <row r="57" ht="14.25" customHeight="1">
      <c r="A57" s="199">
        <v>470.0</v>
      </c>
      <c r="B57" s="199" t="str">
        <f>+_xlfn.MAXIFS([1]Datos!$H:$H,[1]Datos!$B:$B,A57)</f>
        <v>#ERROR!</v>
      </c>
      <c r="C57" s="199" t="s">
        <v>250</v>
      </c>
      <c r="D57" s="199">
        <f t="shared" si="1"/>
        <v>14</v>
      </c>
      <c r="E57" s="199" t="s">
        <v>251</v>
      </c>
    </row>
    <row r="58" ht="14.25" customHeight="1">
      <c r="A58" s="199">
        <v>474.0</v>
      </c>
      <c r="B58" s="199" t="str">
        <f>+_xlfn.MAXIFS([1]Datos!$H:$H,[1]Datos!$B:$B,A58)</f>
        <v>#ERROR!</v>
      </c>
      <c r="C58" s="199" t="s">
        <v>252</v>
      </c>
      <c r="D58" s="199">
        <f t="shared" si="1"/>
        <v>14</v>
      </c>
      <c r="E58" s="199" t="s">
        <v>253</v>
      </c>
    </row>
    <row r="59" ht="14.25" customHeight="1">
      <c r="A59" s="199">
        <v>481.0</v>
      </c>
      <c r="B59" s="199" t="str">
        <f>+_xlfn.MAXIFS([1]Datos!$H:$H,[1]Datos!$B:$B,A59)</f>
        <v>#ERROR!</v>
      </c>
      <c r="C59" s="199" t="s">
        <v>254</v>
      </c>
      <c r="D59" s="199">
        <f t="shared" si="1"/>
        <v>14</v>
      </c>
      <c r="E59" s="199" t="s">
        <v>255</v>
      </c>
    </row>
    <row r="60" ht="14.25" customHeight="1">
      <c r="A60" s="199">
        <v>489.0</v>
      </c>
      <c r="B60" s="199" t="str">
        <f>+_xlfn.MAXIFS([1]Datos!$H:$H,[1]Datos!$B:$B,A60)</f>
        <v>#ERROR!</v>
      </c>
      <c r="C60" s="199" t="s">
        <v>256</v>
      </c>
      <c r="D60" s="199">
        <f t="shared" si="1"/>
        <v>14</v>
      </c>
      <c r="E60" s="199" t="s">
        <v>257</v>
      </c>
    </row>
    <row r="61" ht="14.25" customHeight="1">
      <c r="A61" s="199">
        <v>491.0</v>
      </c>
      <c r="B61" s="199" t="str">
        <f>+_xlfn.MAXIFS([1]Datos!$H:$H,[1]Datos!$B:$B,A61)</f>
        <v>#ERROR!</v>
      </c>
      <c r="C61" s="199" t="s">
        <v>258</v>
      </c>
      <c r="D61" s="199">
        <f t="shared" si="1"/>
        <v>14</v>
      </c>
      <c r="E61" s="199" t="s">
        <v>259</v>
      </c>
    </row>
    <row r="62" ht="14.25" customHeight="1">
      <c r="A62" s="199">
        <v>492.0</v>
      </c>
      <c r="B62" s="199" t="str">
        <f>+_xlfn.MAXIFS([1]Datos!$H:$H,[1]Datos!$B:$B,A62)</f>
        <v>#ERROR!</v>
      </c>
      <c r="C62" s="199" t="s">
        <v>260</v>
      </c>
      <c r="D62" s="199">
        <f t="shared" si="1"/>
        <v>14</v>
      </c>
      <c r="E62" s="199" t="s">
        <v>261</v>
      </c>
    </row>
    <row r="63" ht="14.25" customHeight="1">
      <c r="A63" s="199">
        <v>494.0</v>
      </c>
      <c r="B63" s="199" t="str">
        <f>+_xlfn.MAXIFS([1]Datos!$H:$H,[1]Datos!$B:$B,A63)</f>
        <v>#ERROR!</v>
      </c>
      <c r="C63" s="199" t="s">
        <v>260</v>
      </c>
      <c r="D63" s="199">
        <f t="shared" si="1"/>
        <v>14</v>
      </c>
      <c r="E63" s="199" t="s">
        <v>262</v>
      </c>
    </row>
    <row r="64" ht="14.25" customHeight="1">
      <c r="A64" s="199">
        <v>504.0</v>
      </c>
      <c r="B64" s="199" t="str">
        <f>+_xlfn.MAXIFS([1]Datos!$H:$H,[1]Datos!$B:$B,A64)</f>
        <v>#ERROR!</v>
      </c>
      <c r="C64" s="199" t="s">
        <v>263</v>
      </c>
      <c r="D64" s="199">
        <f t="shared" si="1"/>
        <v>14</v>
      </c>
      <c r="E64" s="199" t="s">
        <v>264</v>
      </c>
    </row>
    <row r="65" ht="14.25" customHeight="1">
      <c r="A65" s="199">
        <v>510.0</v>
      </c>
      <c r="B65" s="199" t="str">
        <f>+_xlfn.MAXIFS([1]Datos!$H:$H,[1]Datos!$B:$B,A65)</f>
        <v>#ERROR!</v>
      </c>
      <c r="C65" s="199" t="s">
        <v>265</v>
      </c>
      <c r="D65" s="199">
        <f t="shared" si="1"/>
        <v>14</v>
      </c>
      <c r="E65" s="199" t="s">
        <v>266</v>
      </c>
    </row>
    <row r="66" ht="14.25" customHeight="1">
      <c r="A66" s="199">
        <v>513.0</v>
      </c>
      <c r="B66" s="199" t="str">
        <f>+_xlfn.MAXIFS([1]Datos!$H:$H,[1]Datos!$B:$B,A66)</f>
        <v>#ERROR!</v>
      </c>
      <c r="C66" s="199" t="s">
        <v>267</v>
      </c>
      <c r="D66" s="199">
        <f t="shared" si="1"/>
        <v>14</v>
      </c>
      <c r="E66" s="199" t="s">
        <v>268</v>
      </c>
    </row>
    <row r="67" ht="14.25" customHeight="1">
      <c r="A67" s="199">
        <v>532.0</v>
      </c>
      <c r="B67" s="199" t="str">
        <f>+_xlfn.MAXIFS([1]Datos!$H:$H,[1]Datos!$B:$B,A67)</f>
        <v>#ERROR!</v>
      </c>
      <c r="C67" s="199" t="s">
        <v>269</v>
      </c>
      <c r="D67" s="199">
        <f t="shared" si="1"/>
        <v>14</v>
      </c>
      <c r="E67" s="199" t="s">
        <v>270</v>
      </c>
    </row>
    <row r="68" ht="14.25" customHeight="1">
      <c r="A68" s="199">
        <v>540.0</v>
      </c>
      <c r="B68" s="199" t="str">
        <f>+_xlfn.MAXIFS([1]Datos!$H:$H,[1]Datos!$B:$B,A68)</f>
        <v>#ERROR!</v>
      </c>
      <c r="C68" s="199" t="s">
        <v>271</v>
      </c>
      <c r="D68" s="199">
        <f t="shared" si="1"/>
        <v>14</v>
      </c>
      <c r="E68" s="199" t="s">
        <v>272</v>
      </c>
    </row>
    <row r="69" ht="14.25" customHeight="1">
      <c r="A69" s="199">
        <v>543.0</v>
      </c>
      <c r="B69" s="199" t="str">
        <f>+_xlfn.MAXIFS([1]Datos!$H:$H,[1]Datos!$B:$B,A69)</f>
        <v>#ERROR!</v>
      </c>
      <c r="C69" s="199" t="s">
        <v>273</v>
      </c>
      <c r="D69" s="199">
        <f t="shared" si="1"/>
        <v>14</v>
      </c>
      <c r="E69" s="199" t="s">
        <v>274</v>
      </c>
    </row>
    <row r="70" ht="14.25" customHeight="1">
      <c r="A70" s="199">
        <v>545.0</v>
      </c>
      <c r="B70" s="199" t="str">
        <f>+_xlfn.MAXIFS([1]Datos!$H:$H,[1]Datos!$B:$B,A70)</f>
        <v>#ERROR!</v>
      </c>
      <c r="C70" s="199" t="s">
        <v>275</v>
      </c>
      <c r="D70" s="199">
        <f t="shared" si="1"/>
        <v>14</v>
      </c>
      <c r="E70" s="199" t="s">
        <v>276</v>
      </c>
    </row>
    <row r="71" ht="14.25" customHeight="1">
      <c r="A71" s="199">
        <v>547.0</v>
      </c>
      <c r="B71" s="199" t="str">
        <f>+_xlfn.MAXIFS([1]Datos!$H:$H,[1]Datos!$B:$B,A71)</f>
        <v>#ERROR!</v>
      </c>
      <c r="C71" s="199" t="s">
        <v>277</v>
      </c>
      <c r="D71" s="199">
        <f t="shared" si="1"/>
        <v>14</v>
      </c>
      <c r="E71" s="199" t="s">
        <v>278</v>
      </c>
    </row>
    <row r="72" ht="14.25" customHeight="1">
      <c r="A72" s="199">
        <v>561.0</v>
      </c>
      <c r="B72" s="199" t="str">
        <f>+_xlfn.MAXIFS([1]Datos!$H:$H,[1]Datos!$B:$B,A72)</f>
        <v>#ERROR!</v>
      </c>
      <c r="C72" s="199" t="s">
        <v>279</v>
      </c>
      <c r="D72" s="199">
        <f t="shared" si="1"/>
        <v>14</v>
      </c>
      <c r="E72" s="199" t="s">
        <v>280</v>
      </c>
    </row>
    <row r="73" ht="14.25" customHeight="1">
      <c r="A73" s="199">
        <v>562.0</v>
      </c>
      <c r="B73" s="199" t="str">
        <f>+_xlfn.MAXIFS([1]Datos!$H:$H,[1]Datos!$B:$B,A73)</f>
        <v>#ERROR!</v>
      </c>
      <c r="C73" s="199" t="s">
        <v>281</v>
      </c>
      <c r="D73" s="199">
        <f t="shared" si="1"/>
        <v>14</v>
      </c>
      <c r="E73" s="199" t="s">
        <v>282</v>
      </c>
    </row>
    <row r="74" ht="14.25" customHeight="1">
      <c r="A74" s="199">
        <v>565.0</v>
      </c>
      <c r="B74" s="199" t="str">
        <f>+_xlfn.MAXIFS([1]Datos!$H:$H,[1]Datos!$B:$B,A74)</f>
        <v>#ERROR!</v>
      </c>
      <c r="C74" s="199" t="s">
        <v>283</v>
      </c>
      <c r="D74" s="199">
        <f t="shared" si="1"/>
        <v>14</v>
      </c>
      <c r="E74" s="199" t="s">
        <v>284</v>
      </c>
    </row>
    <row r="75" ht="14.25" customHeight="1">
      <c r="A75" s="199">
        <v>566.0</v>
      </c>
      <c r="B75" s="199" t="str">
        <f>+_xlfn.MAXIFS([1]Datos!$H:$H,[1]Datos!$B:$B,A75)</f>
        <v>#ERROR!</v>
      </c>
      <c r="C75" s="199" t="s">
        <v>283</v>
      </c>
      <c r="D75" s="199">
        <f t="shared" si="1"/>
        <v>14</v>
      </c>
      <c r="E75" s="199" t="s">
        <v>285</v>
      </c>
    </row>
    <row r="76" ht="14.25" customHeight="1">
      <c r="A76" s="199">
        <v>570.0</v>
      </c>
      <c r="B76" s="199" t="str">
        <f>+_xlfn.MAXIFS([1]Datos!$H:$H,[1]Datos!$B:$B,A76)</f>
        <v>#ERROR!</v>
      </c>
      <c r="C76" s="199" t="s">
        <v>286</v>
      </c>
      <c r="D76" s="199">
        <f t="shared" si="1"/>
        <v>14</v>
      </c>
      <c r="E76" s="199" t="s">
        <v>287</v>
      </c>
    </row>
    <row r="77" ht="14.25" customHeight="1">
      <c r="A77" s="199">
        <v>572.0</v>
      </c>
      <c r="B77" s="199" t="str">
        <f>+_xlfn.MAXIFS([1]Datos!$H:$H,[1]Datos!$B:$B,A77)</f>
        <v>#ERROR!</v>
      </c>
      <c r="C77" s="199" t="s">
        <v>288</v>
      </c>
      <c r="D77" s="199">
        <f t="shared" si="1"/>
        <v>14</v>
      </c>
      <c r="E77" s="199" t="s">
        <v>289</v>
      </c>
    </row>
    <row r="78" ht="14.25" customHeight="1">
      <c r="A78" s="199">
        <v>582.0</v>
      </c>
      <c r="B78" s="199" t="str">
        <f>+_xlfn.MAXIFS([1]Datos!$H:$H,[1]Datos!$B:$B,A78)</f>
        <v>#ERROR!</v>
      </c>
      <c r="C78" s="199" t="s">
        <v>290</v>
      </c>
      <c r="D78" s="199">
        <f t="shared" si="1"/>
        <v>14</v>
      </c>
      <c r="E78" s="199" t="s">
        <v>291</v>
      </c>
    </row>
    <row r="79" ht="14.25" customHeight="1">
      <c r="A79" s="199">
        <v>584.0</v>
      </c>
      <c r="B79" s="199" t="str">
        <f>+_xlfn.MAXIFS([1]Datos!$H:$H,[1]Datos!$B:$B,A79)</f>
        <v>#ERROR!</v>
      </c>
      <c r="C79" s="199" t="s">
        <v>292</v>
      </c>
      <c r="D79" s="199">
        <f t="shared" si="1"/>
        <v>14</v>
      </c>
      <c r="E79" s="199" t="s">
        <v>293</v>
      </c>
    </row>
    <row r="80" ht="14.25" customHeight="1">
      <c r="A80" s="199">
        <v>586.0</v>
      </c>
      <c r="B80" s="199" t="str">
        <f>+_xlfn.MAXIFS([1]Datos!$H:$H,[1]Datos!$B:$B,A80)</f>
        <v>#ERROR!</v>
      </c>
      <c r="C80" s="199" t="s">
        <v>294</v>
      </c>
      <c r="D80" s="199">
        <f t="shared" si="1"/>
        <v>14</v>
      </c>
      <c r="E80" s="199" t="s">
        <v>295</v>
      </c>
    </row>
    <row r="81" ht="14.25" customHeight="1">
      <c r="A81" s="199">
        <v>587.0</v>
      </c>
      <c r="B81" s="199" t="str">
        <f>+_xlfn.MAXIFS([1]Datos!$H:$H,[1]Datos!$B:$B,A81)</f>
        <v>#ERROR!</v>
      </c>
      <c r="C81" s="199" t="s">
        <v>296</v>
      </c>
      <c r="D81" s="199">
        <f t="shared" si="1"/>
        <v>14</v>
      </c>
      <c r="E81" s="199" t="s">
        <v>297</v>
      </c>
    </row>
    <row r="82" ht="14.25" customHeight="1">
      <c r="A82" s="199">
        <v>589.0</v>
      </c>
      <c r="B82" s="199" t="str">
        <f>+_xlfn.MAXIFS([1]Datos!$H:$H,[1]Datos!$B:$B,A82)</f>
        <v>#ERROR!</v>
      </c>
      <c r="C82" s="199" t="s">
        <v>298</v>
      </c>
      <c r="D82" s="199">
        <f t="shared" si="1"/>
        <v>14</v>
      </c>
      <c r="E82" s="199" t="s">
        <v>299</v>
      </c>
    </row>
    <row r="83" ht="14.25" customHeight="1">
      <c r="A83" s="199">
        <v>604.0</v>
      </c>
      <c r="B83" s="199" t="str">
        <f>+_xlfn.MAXIFS([1]Datos!$H:$H,[1]Datos!$B:$B,A83)</f>
        <v>#ERROR!</v>
      </c>
      <c r="C83" s="199" t="s">
        <v>300</v>
      </c>
      <c r="D83" s="199">
        <f t="shared" si="1"/>
        <v>13</v>
      </c>
      <c r="E83" s="199" t="s">
        <v>301</v>
      </c>
    </row>
    <row r="84" ht="14.25" customHeight="1">
      <c r="A84" s="199">
        <v>611.0</v>
      </c>
      <c r="B84" s="199" t="str">
        <f>+_xlfn.MAXIFS([1]Datos!$H:$H,[1]Datos!$B:$B,A84)</f>
        <v>#ERROR!</v>
      </c>
      <c r="C84" s="199" t="s">
        <v>302</v>
      </c>
      <c r="D84" s="199">
        <f t="shared" si="1"/>
        <v>14</v>
      </c>
      <c r="E84" s="199" t="s">
        <v>303</v>
      </c>
    </row>
    <row r="85" ht="14.25" customHeight="1">
      <c r="A85" s="199">
        <v>616.0</v>
      </c>
      <c r="B85" s="199" t="str">
        <f>+_xlfn.MAXIFS([1]Datos!$H:$H,[1]Datos!$B:$B,A85)</f>
        <v>#ERROR!</v>
      </c>
      <c r="C85" s="199" t="s">
        <v>304</v>
      </c>
      <c r="D85" s="199">
        <f t="shared" si="1"/>
        <v>14</v>
      </c>
      <c r="E85" s="199" t="s">
        <v>305</v>
      </c>
    </row>
    <row r="86" ht="14.25" customHeight="1">
      <c r="A86" s="199">
        <v>618.0</v>
      </c>
      <c r="B86" s="199" t="str">
        <f>+_xlfn.MAXIFS([1]Datos!$H:$H,[1]Datos!$B:$B,A86)</f>
        <v>#ERROR!</v>
      </c>
      <c r="C86" s="199" t="s">
        <v>306</v>
      </c>
      <c r="D86" s="199">
        <f t="shared" si="1"/>
        <v>14</v>
      </c>
      <c r="E86" s="199" t="s">
        <v>307</v>
      </c>
    </row>
    <row r="87" ht="14.25" customHeight="1">
      <c r="A87" s="199">
        <v>619.0</v>
      </c>
      <c r="B87" s="199" t="str">
        <f>+_xlfn.MAXIFS([1]Datos!$H:$H,[1]Datos!$B:$B,A87)</f>
        <v>#ERROR!</v>
      </c>
      <c r="C87" s="199" t="s">
        <v>308</v>
      </c>
      <c r="D87" s="199">
        <f t="shared" si="1"/>
        <v>14</v>
      </c>
      <c r="E87" s="199" t="s">
        <v>309</v>
      </c>
    </row>
    <row r="88" ht="14.25" customHeight="1">
      <c r="A88" s="199">
        <v>634.0</v>
      </c>
      <c r="B88" s="199" t="str">
        <f>+_xlfn.MAXIFS([1]Datos!$H:$H,[1]Datos!$B:$B,A88)</f>
        <v>#ERROR!</v>
      </c>
      <c r="C88" s="199" t="s">
        <v>310</v>
      </c>
      <c r="D88" s="199">
        <f t="shared" si="1"/>
        <v>14</v>
      </c>
      <c r="E88" s="199" t="s">
        <v>311</v>
      </c>
    </row>
    <row r="89" ht="14.25" customHeight="1">
      <c r="A89" s="199">
        <v>637.0</v>
      </c>
      <c r="B89" s="199" t="str">
        <f>+_xlfn.MAXIFS([1]Datos!$H:$H,[1]Datos!$B:$B,A89)</f>
        <v>#ERROR!</v>
      </c>
      <c r="C89" s="199" t="s">
        <v>312</v>
      </c>
      <c r="D89" s="199">
        <f t="shared" si="1"/>
        <v>14</v>
      </c>
      <c r="E89" s="199" t="s">
        <v>313</v>
      </c>
    </row>
    <row r="90" ht="14.25" customHeight="1">
      <c r="A90" s="199">
        <v>648.0</v>
      </c>
      <c r="B90" s="199" t="str">
        <f>+_xlfn.MAXIFS([1]Datos!$H:$H,[1]Datos!$B:$B,A90)</f>
        <v>#ERROR!</v>
      </c>
      <c r="C90" s="199" t="s">
        <v>314</v>
      </c>
      <c r="D90" s="199">
        <f t="shared" si="1"/>
        <v>14</v>
      </c>
      <c r="E90" s="199" t="s">
        <v>315</v>
      </c>
    </row>
    <row r="91" ht="14.25" customHeight="1">
      <c r="A91" s="199">
        <v>656.0</v>
      </c>
      <c r="B91" s="199" t="str">
        <f>+_xlfn.MAXIFS([1]Datos!$H:$H,[1]Datos!$B:$B,A91)</f>
        <v>#ERROR!</v>
      </c>
      <c r="C91" s="199" t="s">
        <v>316</v>
      </c>
      <c r="D91" s="199">
        <f t="shared" si="1"/>
        <v>14</v>
      </c>
      <c r="E91" s="199" t="s">
        <v>317</v>
      </c>
    </row>
    <row r="92" ht="14.25" customHeight="1">
      <c r="A92" s="199">
        <v>657.0</v>
      </c>
      <c r="B92" s="199" t="str">
        <f>+_xlfn.MAXIFS([1]Datos!$H:$H,[1]Datos!$B:$B,A92)</f>
        <v>#ERROR!</v>
      </c>
      <c r="C92" s="199" t="s">
        <v>318</v>
      </c>
      <c r="D92" s="199">
        <f t="shared" si="1"/>
        <v>14</v>
      </c>
      <c r="E92" s="199" t="s">
        <v>319</v>
      </c>
    </row>
    <row r="93" ht="14.25" customHeight="1">
      <c r="A93" s="199">
        <v>662.0</v>
      </c>
      <c r="B93" s="199" t="str">
        <f>+_xlfn.MAXIFS([1]Datos!$H:$H,[1]Datos!$B:$B,A93)</f>
        <v>#ERROR!</v>
      </c>
      <c r="C93" s="199" t="s">
        <v>320</v>
      </c>
      <c r="D93" s="199">
        <f t="shared" si="1"/>
        <v>14</v>
      </c>
      <c r="E93" s="199" t="s">
        <v>321</v>
      </c>
    </row>
    <row r="94" ht="14.25" customHeight="1">
      <c r="A94" s="199">
        <v>674.0</v>
      </c>
      <c r="B94" s="199" t="str">
        <f>+_xlfn.MAXIFS([1]Datos!$H:$H,[1]Datos!$B:$B,A94)</f>
        <v>#ERROR!</v>
      </c>
      <c r="C94" s="199" t="s">
        <v>322</v>
      </c>
      <c r="D94" s="199">
        <f t="shared" si="1"/>
        <v>14</v>
      </c>
      <c r="E94" s="199" t="s">
        <v>323</v>
      </c>
    </row>
    <row r="95" ht="14.25" customHeight="1">
      <c r="A95" s="199">
        <v>683.0</v>
      </c>
      <c r="B95" s="199" t="str">
        <f>+_xlfn.MAXIFS([1]Datos!$H:$H,[1]Datos!$B:$B,A95)</f>
        <v>#ERROR!</v>
      </c>
      <c r="C95" s="199" t="s">
        <v>324</v>
      </c>
      <c r="D95" s="199">
        <f t="shared" si="1"/>
        <v>13</v>
      </c>
      <c r="E95" s="199" t="s">
        <v>325</v>
      </c>
    </row>
    <row r="96" ht="14.25" customHeight="1">
      <c r="A96" s="199">
        <v>685.0</v>
      </c>
      <c r="B96" s="199" t="str">
        <f>+_xlfn.MAXIFS([1]Datos!$H:$H,[1]Datos!$B:$B,A96)</f>
        <v>#ERROR!</v>
      </c>
      <c r="C96" s="199" t="s">
        <v>326</v>
      </c>
      <c r="D96" s="199">
        <f t="shared" si="1"/>
        <v>14</v>
      </c>
      <c r="E96" s="199" t="s">
        <v>327</v>
      </c>
    </row>
    <row r="97" ht="14.25" customHeight="1">
      <c r="A97" s="199">
        <v>700.0</v>
      </c>
      <c r="B97" s="199" t="str">
        <f>+_xlfn.MAXIFS([1]Datos!$H:$H,[1]Datos!$B:$B,A97)</f>
        <v>#ERROR!</v>
      </c>
      <c r="C97" s="199" t="s">
        <v>328</v>
      </c>
      <c r="D97" s="199">
        <f t="shared" si="1"/>
        <v>14</v>
      </c>
      <c r="E97" s="199" t="s">
        <v>329</v>
      </c>
    </row>
    <row r="98" ht="14.25" customHeight="1">
      <c r="A98" s="199">
        <v>703.0</v>
      </c>
      <c r="B98" s="199" t="str">
        <f>+_xlfn.MAXIFS([1]Datos!$H:$H,[1]Datos!$B:$B,A98)</f>
        <v>#ERROR!</v>
      </c>
      <c r="C98" s="199" t="s">
        <v>330</v>
      </c>
      <c r="D98" s="199">
        <f t="shared" si="1"/>
        <v>14</v>
      </c>
      <c r="E98" s="199" t="s">
        <v>331</v>
      </c>
    </row>
    <row r="99" ht="14.25" customHeight="1">
      <c r="A99" s="199">
        <v>704.0</v>
      </c>
      <c r="B99" s="199" t="str">
        <f>+_xlfn.MAXIFS([1]Datos!$H:$H,[1]Datos!$B:$B,A99)</f>
        <v>#ERROR!</v>
      </c>
      <c r="C99" s="199" t="s">
        <v>332</v>
      </c>
      <c r="D99" s="199">
        <f t="shared" si="1"/>
        <v>14</v>
      </c>
      <c r="E99" s="199" t="s">
        <v>333</v>
      </c>
    </row>
    <row r="100" ht="14.25" customHeight="1">
      <c r="A100" s="199">
        <v>714.0</v>
      </c>
      <c r="B100" s="199" t="str">
        <f>+_xlfn.MAXIFS([1]Datos!$H:$H,[1]Datos!$B:$B,A100)</f>
        <v>#ERROR!</v>
      </c>
      <c r="C100" s="199" t="s">
        <v>334</v>
      </c>
      <c r="D100" s="199">
        <f t="shared" si="1"/>
        <v>14</v>
      </c>
      <c r="E100" s="199" t="s">
        <v>335</v>
      </c>
    </row>
    <row r="101" ht="14.25" customHeight="1">
      <c r="A101" s="199">
        <v>720.0</v>
      </c>
      <c r="B101" s="199" t="str">
        <f>+_xlfn.MAXIFS([1]Datos!$H:$H,[1]Datos!$B:$B,A101)</f>
        <v>#ERROR!</v>
      </c>
      <c r="C101" s="199" t="s">
        <v>336</v>
      </c>
      <c r="D101" s="199">
        <f t="shared" si="1"/>
        <v>14</v>
      </c>
      <c r="E101" s="199" t="s">
        <v>337</v>
      </c>
    </row>
    <row r="102" ht="14.25" customHeight="1">
      <c r="A102" s="199">
        <v>724.0</v>
      </c>
      <c r="B102" s="199" t="str">
        <f>+_xlfn.MAXIFS([1]Datos!$H:$H,[1]Datos!$B:$B,A102)</f>
        <v>#ERROR!</v>
      </c>
      <c r="C102" s="199" t="s">
        <v>338</v>
      </c>
      <c r="D102" s="199">
        <f t="shared" si="1"/>
        <v>14</v>
      </c>
      <c r="E102" s="199" t="s">
        <v>339</v>
      </c>
    </row>
    <row r="103" ht="14.25" customHeight="1">
      <c r="A103" s="199">
        <v>732.0</v>
      </c>
      <c r="B103" s="199" t="str">
        <f>+_xlfn.MAXIFS([1]Datos!$H:$H,[1]Datos!$B:$B,A103)</f>
        <v>#ERROR!</v>
      </c>
      <c r="C103" s="199" t="s">
        <v>340</v>
      </c>
      <c r="D103" s="199">
        <f t="shared" si="1"/>
        <v>14</v>
      </c>
      <c r="E103" s="199" t="s">
        <v>341</v>
      </c>
    </row>
    <row r="104" ht="14.25" customHeight="1">
      <c r="A104" s="199">
        <v>738.0</v>
      </c>
      <c r="B104" s="199" t="str">
        <f>+_xlfn.MAXIFS([1]Datos!$H:$H,[1]Datos!$B:$B,A104)</f>
        <v>#ERROR!</v>
      </c>
      <c r="C104" s="199" t="s">
        <v>342</v>
      </c>
      <c r="D104" s="199">
        <f t="shared" si="1"/>
        <v>14</v>
      </c>
      <c r="E104" s="199" t="s">
        <v>343</v>
      </c>
    </row>
    <row r="105" ht="14.25" customHeight="1">
      <c r="A105" s="199">
        <v>756.0</v>
      </c>
      <c r="B105" s="199" t="str">
        <f>+_xlfn.MAXIFS([1]Datos!$H:$H,[1]Datos!$B:$B,A105)</f>
        <v>#ERROR!</v>
      </c>
      <c r="C105" s="199" t="s">
        <v>344</v>
      </c>
      <c r="D105" s="199">
        <f t="shared" si="1"/>
        <v>14</v>
      </c>
      <c r="E105" s="199" t="s">
        <v>345</v>
      </c>
    </row>
    <row r="106" ht="14.25" customHeight="1">
      <c r="A106" s="199">
        <v>760.0</v>
      </c>
      <c r="B106" s="199" t="str">
        <f>+_xlfn.MAXIFS([1]Datos!$H:$H,[1]Datos!$B:$B,A106)</f>
        <v>#ERROR!</v>
      </c>
      <c r="C106" s="199" t="s">
        <v>346</v>
      </c>
      <c r="D106" s="199">
        <f t="shared" si="1"/>
        <v>14</v>
      </c>
      <c r="E106" s="199" t="s">
        <v>347</v>
      </c>
    </row>
    <row r="107" ht="14.25" customHeight="1">
      <c r="A107" s="199">
        <v>761.0</v>
      </c>
      <c r="B107" s="199" t="str">
        <f>+_xlfn.MAXIFS([1]Datos!$H:$H,[1]Datos!$B:$B,A107)</f>
        <v>#ERROR!</v>
      </c>
      <c r="C107" s="199" t="s">
        <v>348</v>
      </c>
      <c r="D107" s="199">
        <f t="shared" si="1"/>
        <v>14</v>
      </c>
      <c r="E107" s="199" t="s">
        <v>349</v>
      </c>
    </row>
    <row r="108" ht="14.25" customHeight="1">
      <c r="A108" s="199">
        <v>764.0</v>
      </c>
      <c r="B108" s="199" t="str">
        <f>+_xlfn.MAXIFS([1]Datos!$H:$H,[1]Datos!$B:$B,A108)</f>
        <v>#ERROR!</v>
      </c>
      <c r="C108" s="199" t="s">
        <v>350</v>
      </c>
      <c r="D108" s="199">
        <f t="shared" si="1"/>
        <v>14</v>
      </c>
      <c r="E108" s="199" t="s">
        <v>351</v>
      </c>
    </row>
    <row r="109" ht="14.25" customHeight="1">
      <c r="A109" s="199">
        <v>765.0</v>
      </c>
      <c r="B109" s="199" t="str">
        <f>+_xlfn.MAXIFS([1]Datos!$H:$H,[1]Datos!$B:$B,A109)</f>
        <v>#ERROR!</v>
      </c>
      <c r="C109" s="199" t="s">
        <v>352</v>
      </c>
      <c r="D109" s="199">
        <f t="shared" si="1"/>
        <v>14</v>
      </c>
      <c r="E109" s="199" t="s">
        <v>353</v>
      </c>
    </row>
    <row r="110" ht="14.25" customHeight="1">
      <c r="A110" s="199">
        <v>769.0</v>
      </c>
      <c r="B110" s="199" t="str">
        <f>+_xlfn.MAXIFS([1]Datos!$H:$H,[1]Datos!$B:$B,A110)</f>
        <v>#ERROR!</v>
      </c>
      <c r="C110" s="199" t="s">
        <v>354</v>
      </c>
      <c r="D110" s="199">
        <f t="shared" si="1"/>
        <v>14</v>
      </c>
      <c r="E110" s="199" t="s">
        <v>355</v>
      </c>
    </row>
    <row r="111" ht="14.25" customHeight="1">
      <c r="A111" s="199">
        <v>773.0</v>
      </c>
      <c r="B111" s="199" t="str">
        <f>+_xlfn.MAXIFS([1]Datos!$H:$H,[1]Datos!$B:$B,A111)</f>
        <v>#ERROR!</v>
      </c>
      <c r="C111" s="199" t="s">
        <v>356</v>
      </c>
      <c r="D111" s="199">
        <f t="shared" si="1"/>
        <v>14</v>
      </c>
      <c r="E111" s="199" t="s">
        <v>357</v>
      </c>
    </row>
    <row r="112" ht="14.25" customHeight="1">
      <c r="A112" s="199">
        <v>781.0</v>
      </c>
      <c r="B112" s="199" t="str">
        <f>+_xlfn.MAXIFS([1]Datos!$H:$H,[1]Datos!$B:$B,A112)</f>
        <v>#ERROR!</v>
      </c>
      <c r="C112" s="199" t="s">
        <v>358</v>
      </c>
      <c r="D112" s="199">
        <f t="shared" si="1"/>
        <v>14</v>
      </c>
      <c r="E112" s="199" t="s">
        <v>359</v>
      </c>
    </row>
    <row r="113" ht="14.25" customHeight="1">
      <c r="A113" s="199">
        <v>797.0</v>
      </c>
      <c r="B113" s="199" t="str">
        <f>+_xlfn.MAXIFS([1]Datos!$H:$H,[1]Datos!$B:$B,A113)</f>
        <v>#ERROR!</v>
      </c>
      <c r="C113" s="199" t="s">
        <v>360</v>
      </c>
      <c r="D113" s="199">
        <f t="shared" si="1"/>
        <v>14</v>
      </c>
      <c r="E113" s="199" t="s">
        <v>361</v>
      </c>
    </row>
    <row r="114" ht="14.25" customHeight="1">
      <c r="A114" s="199">
        <v>799.0</v>
      </c>
      <c r="B114" s="199" t="str">
        <f>+_xlfn.MAXIFS([1]Datos!$H:$H,[1]Datos!$B:$B,A114)</f>
        <v>#ERROR!</v>
      </c>
      <c r="C114" s="199" t="s">
        <v>362</v>
      </c>
      <c r="D114" s="199">
        <f t="shared" si="1"/>
        <v>14</v>
      </c>
      <c r="E114" s="199" t="s">
        <v>363</v>
      </c>
    </row>
    <row r="115" ht="14.25" customHeight="1">
      <c r="A115" s="199">
        <v>802.0</v>
      </c>
      <c r="B115" s="199" t="str">
        <f>+_xlfn.MAXIFS([1]Datos!$H:$H,[1]Datos!$B:$B,A115)</f>
        <v>#ERROR!</v>
      </c>
      <c r="C115" s="199" t="s">
        <v>364</v>
      </c>
      <c r="D115" s="199">
        <f t="shared" si="1"/>
        <v>14</v>
      </c>
      <c r="E115" s="199" t="s">
        <v>365</v>
      </c>
    </row>
    <row r="116" ht="14.25" customHeight="1">
      <c r="A116" s="199">
        <v>808.0</v>
      </c>
      <c r="B116" s="199" t="str">
        <f>+_xlfn.MAXIFS([1]Datos!$H:$H,[1]Datos!$B:$B,A116)</f>
        <v>#ERROR!</v>
      </c>
      <c r="C116" s="199" t="s">
        <v>366</v>
      </c>
      <c r="D116" s="199">
        <f t="shared" si="1"/>
        <v>14</v>
      </c>
      <c r="E116" s="199" t="s">
        <v>367</v>
      </c>
    </row>
    <row r="117" ht="14.25" customHeight="1">
      <c r="A117" s="199">
        <v>811.0</v>
      </c>
      <c r="B117" s="199" t="str">
        <f>+_xlfn.MAXIFS([1]Datos!$H:$H,[1]Datos!$B:$B,A117)</f>
        <v>#ERROR!</v>
      </c>
      <c r="C117" s="199" t="s">
        <v>368</v>
      </c>
      <c r="D117" s="199">
        <f t="shared" si="1"/>
        <v>14</v>
      </c>
      <c r="E117" s="199" t="s">
        <v>369</v>
      </c>
    </row>
    <row r="118" ht="14.25" customHeight="1">
      <c r="A118" s="199">
        <v>814.0</v>
      </c>
      <c r="B118" s="199" t="str">
        <f>+_xlfn.MAXIFS([1]Datos!$H:$H,[1]Datos!$B:$B,A118)</f>
        <v>#ERROR!</v>
      </c>
      <c r="C118" s="199" t="s">
        <v>370</v>
      </c>
      <c r="D118" s="199">
        <f t="shared" si="1"/>
        <v>14</v>
      </c>
      <c r="E118" s="199" t="s">
        <v>371</v>
      </c>
    </row>
    <row r="119" ht="14.25" customHeight="1">
      <c r="A119" s="199">
        <v>816.0</v>
      </c>
      <c r="B119" s="199" t="str">
        <f>+_xlfn.MAXIFS([1]Datos!$H:$H,[1]Datos!$B:$B,A119)</f>
        <v>#ERROR!</v>
      </c>
      <c r="C119" s="199" t="s">
        <v>372</v>
      </c>
      <c r="D119" s="199">
        <f t="shared" si="1"/>
        <v>14</v>
      </c>
      <c r="E119" s="199" t="s">
        <v>373</v>
      </c>
    </row>
    <row r="120" ht="14.25" customHeight="1">
      <c r="A120" s="199">
        <v>821.0</v>
      </c>
      <c r="B120" s="199" t="str">
        <f>+_xlfn.MAXIFS([1]Datos!$H:$H,[1]Datos!$B:$B,A120)</f>
        <v>#ERROR!</v>
      </c>
      <c r="C120" s="199" t="s">
        <v>374</v>
      </c>
      <c r="D120" s="199">
        <f t="shared" si="1"/>
        <v>14</v>
      </c>
      <c r="E120" s="199" t="s">
        <v>375</v>
      </c>
    </row>
    <row r="121" ht="14.25" customHeight="1">
      <c r="A121" s="199">
        <v>831.0</v>
      </c>
      <c r="B121" s="199" t="str">
        <f>+_xlfn.MAXIFS([1]Datos!$H:$H,[1]Datos!$B:$B,A121)</f>
        <v>#ERROR!</v>
      </c>
      <c r="C121" s="199" t="s">
        <v>376</v>
      </c>
      <c r="D121" s="199">
        <f t="shared" si="1"/>
        <v>14</v>
      </c>
      <c r="E121" s="199" t="s">
        <v>377</v>
      </c>
    </row>
    <row r="122" ht="14.25" customHeight="1">
      <c r="A122" s="199">
        <v>854.0</v>
      </c>
      <c r="B122" s="199" t="str">
        <f>+_xlfn.MAXIFS([1]Datos!$H:$H,[1]Datos!$B:$B,A122)</f>
        <v>#ERROR!</v>
      </c>
      <c r="C122" s="199" t="s">
        <v>378</v>
      </c>
      <c r="D122" s="199">
        <f t="shared" si="1"/>
        <v>14</v>
      </c>
      <c r="E122" s="199" t="s">
        <v>379</v>
      </c>
    </row>
    <row r="123" ht="14.25" customHeight="1">
      <c r="A123" s="199">
        <v>859.0</v>
      </c>
      <c r="B123" s="199" t="str">
        <f>+_xlfn.MAXIFS([1]Datos!$H:$H,[1]Datos!$B:$B,A123)</f>
        <v>#ERROR!</v>
      </c>
      <c r="C123" s="199" t="s">
        <v>380</v>
      </c>
      <c r="D123" s="199">
        <f t="shared" si="1"/>
        <v>14</v>
      </c>
      <c r="E123" s="199" t="s">
        <v>381</v>
      </c>
    </row>
    <row r="124" ht="14.25" customHeight="1">
      <c r="A124" s="199">
        <v>863.0</v>
      </c>
      <c r="B124" s="199" t="str">
        <f>+_xlfn.MAXIFS([1]Datos!$H:$H,[1]Datos!$B:$B,A124)</f>
        <v>#ERROR!</v>
      </c>
      <c r="C124" s="199" t="s">
        <v>382</v>
      </c>
      <c r="D124" s="199">
        <f t="shared" si="1"/>
        <v>14</v>
      </c>
      <c r="E124" s="199" t="s">
        <v>383</v>
      </c>
    </row>
    <row r="125" ht="14.25" customHeight="1">
      <c r="A125" s="199">
        <v>864.0</v>
      </c>
      <c r="B125" s="199" t="str">
        <f>+_xlfn.MAXIFS([1]Datos!$H:$H,[1]Datos!$B:$B,A125)</f>
        <v>#ERROR!</v>
      </c>
      <c r="C125" s="199" t="s">
        <v>384</v>
      </c>
      <c r="D125" s="199">
        <f t="shared" si="1"/>
        <v>14</v>
      </c>
      <c r="E125" s="199" t="s">
        <v>385</v>
      </c>
    </row>
    <row r="126" ht="14.25" customHeight="1">
      <c r="A126" s="199">
        <v>865.0</v>
      </c>
      <c r="B126" s="199" t="str">
        <f>+_xlfn.MAXIFS([1]Datos!$H:$H,[1]Datos!$B:$B,A126)</f>
        <v>#ERROR!</v>
      </c>
      <c r="C126" s="199" t="s">
        <v>386</v>
      </c>
      <c r="D126" s="199">
        <f t="shared" si="1"/>
        <v>14</v>
      </c>
      <c r="E126" s="199" t="s">
        <v>387</v>
      </c>
    </row>
    <row r="127" ht="14.25" customHeight="1">
      <c r="A127" s="199">
        <v>867.0</v>
      </c>
      <c r="B127" s="199" t="str">
        <f>+_xlfn.MAXIFS([1]Datos!$H:$H,[1]Datos!$B:$B,A127)</f>
        <v>#ERROR!</v>
      </c>
      <c r="C127" s="199" t="s">
        <v>388</v>
      </c>
      <c r="D127" s="199">
        <f t="shared" si="1"/>
        <v>14</v>
      </c>
      <c r="E127" s="199" t="s">
        <v>389</v>
      </c>
    </row>
    <row r="128" ht="14.25" customHeight="1">
      <c r="A128" s="199">
        <v>869.0</v>
      </c>
      <c r="B128" s="199" t="str">
        <f>+_xlfn.MAXIFS([1]Datos!$H:$H,[1]Datos!$B:$B,A128)</f>
        <v>#ERROR!</v>
      </c>
      <c r="C128" s="199" t="s">
        <v>390</v>
      </c>
      <c r="D128" s="199">
        <f t="shared" si="1"/>
        <v>14</v>
      </c>
      <c r="E128" s="199" t="s">
        <v>391</v>
      </c>
    </row>
    <row r="129" ht="14.25" customHeight="1">
      <c r="A129" s="199">
        <v>871.0</v>
      </c>
      <c r="B129" s="199" t="str">
        <f>+_xlfn.MAXIFS([1]Datos!$H:$H,[1]Datos!$B:$B,A129)</f>
        <v>#ERROR!</v>
      </c>
      <c r="C129" s="199" t="s">
        <v>392</v>
      </c>
      <c r="D129" s="199">
        <f t="shared" si="1"/>
        <v>14</v>
      </c>
      <c r="E129" s="199" t="s">
        <v>393</v>
      </c>
    </row>
    <row r="130" ht="14.25" customHeight="1">
      <c r="A130" s="199">
        <v>874.0</v>
      </c>
      <c r="B130" s="199" t="str">
        <f>+_xlfn.MAXIFS([1]Datos!$H:$H,[1]Datos!$B:$B,A130)</f>
        <v>#ERROR!</v>
      </c>
      <c r="C130" s="199" t="s">
        <v>394</v>
      </c>
      <c r="D130" s="199">
        <f t="shared" si="1"/>
        <v>14</v>
      </c>
      <c r="E130" s="199" t="s">
        <v>395</v>
      </c>
    </row>
    <row r="131" ht="14.25" customHeight="1">
      <c r="A131" s="199">
        <v>876.0</v>
      </c>
      <c r="B131" s="199" t="str">
        <f>+_xlfn.MAXIFS([1]Datos!$H:$H,[1]Datos!$B:$B,A131)</f>
        <v>#ERROR!</v>
      </c>
      <c r="C131" s="199" t="s">
        <v>396</v>
      </c>
      <c r="D131" s="199">
        <f t="shared" si="1"/>
        <v>14</v>
      </c>
      <c r="E131" s="199" t="s">
        <v>397</v>
      </c>
    </row>
    <row r="132" ht="14.25" customHeight="1">
      <c r="A132" s="199">
        <v>877.0</v>
      </c>
      <c r="B132" s="199" t="str">
        <f>+_xlfn.MAXIFS([1]Datos!$H:$H,[1]Datos!$B:$B,A132)</f>
        <v>#ERROR!</v>
      </c>
      <c r="C132" s="199" t="s">
        <v>398</v>
      </c>
      <c r="D132" s="199">
        <f t="shared" si="1"/>
        <v>14</v>
      </c>
      <c r="E132" s="199" t="s">
        <v>399</v>
      </c>
    </row>
    <row r="133" ht="14.25" customHeight="1">
      <c r="A133" s="199">
        <v>880.0</v>
      </c>
      <c r="B133" s="199" t="str">
        <f>+_xlfn.MAXIFS([1]Datos!$H:$H,[1]Datos!$B:$B,A133)</f>
        <v>#ERROR!</v>
      </c>
      <c r="C133" s="199" t="s">
        <v>400</v>
      </c>
      <c r="D133" s="199">
        <f t="shared" si="1"/>
        <v>14</v>
      </c>
      <c r="E133" s="199" t="s">
        <v>401</v>
      </c>
    </row>
    <row r="134" ht="14.25" customHeight="1">
      <c r="A134" s="199">
        <v>896.0</v>
      </c>
      <c r="B134" s="199" t="str">
        <f>+_xlfn.MAXIFS([1]Datos!$H:$H,[1]Datos!$B:$B,A134)</f>
        <v>#ERROR!</v>
      </c>
      <c r="C134" s="199" t="s">
        <v>402</v>
      </c>
      <c r="D134" s="199">
        <f t="shared" si="1"/>
        <v>14</v>
      </c>
      <c r="E134" s="199" t="s">
        <v>403</v>
      </c>
    </row>
    <row r="135" ht="14.25" customHeight="1">
      <c r="A135" s="199">
        <v>900.0</v>
      </c>
      <c r="B135" s="199" t="str">
        <f>+_xlfn.MAXIFS([1]Datos!$H:$H,[1]Datos!$B:$B,A135)</f>
        <v>#ERROR!</v>
      </c>
      <c r="C135" s="199" t="s">
        <v>404</v>
      </c>
      <c r="D135" s="199">
        <f t="shared" si="1"/>
        <v>14</v>
      </c>
      <c r="E135" s="199" t="s">
        <v>405</v>
      </c>
    </row>
    <row r="136" ht="14.25" customHeight="1">
      <c r="A136" s="199">
        <v>902.0</v>
      </c>
      <c r="B136" s="199" t="str">
        <f>+_xlfn.MAXIFS([1]Datos!$H:$H,[1]Datos!$B:$B,A136)</f>
        <v>#ERROR!</v>
      </c>
      <c r="C136" s="199" t="s">
        <v>406</v>
      </c>
      <c r="D136" s="199">
        <f t="shared" si="1"/>
        <v>14</v>
      </c>
      <c r="E136" s="199" t="s">
        <v>407</v>
      </c>
    </row>
    <row r="137" ht="14.25" customHeight="1">
      <c r="A137" s="199">
        <v>905.0</v>
      </c>
      <c r="B137" s="199" t="str">
        <f>+_xlfn.MAXIFS([1]Datos!$H:$H,[1]Datos!$B:$B,A137)</f>
        <v>#ERROR!</v>
      </c>
      <c r="C137" s="199" t="s">
        <v>408</v>
      </c>
      <c r="D137" s="199">
        <f t="shared" si="1"/>
        <v>14</v>
      </c>
      <c r="E137" s="199" t="s">
        <v>409</v>
      </c>
    </row>
    <row r="138" ht="14.25" customHeight="1">
      <c r="A138" s="199">
        <v>906.0</v>
      </c>
      <c r="B138" s="199" t="str">
        <f>+_xlfn.MAXIFS([1]Datos!$H:$H,[1]Datos!$B:$B,A138)</f>
        <v>#ERROR!</v>
      </c>
      <c r="C138" s="199" t="s">
        <v>410</v>
      </c>
      <c r="D138" s="199">
        <f t="shared" si="1"/>
        <v>14</v>
      </c>
      <c r="E138" s="199" t="s">
        <v>411</v>
      </c>
    </row>
    <row r="139" ht="14.25" customHeight="1">
      <c r="A139" s="199">
        <v>911.0</v>
      </c>
      <c r="B139" s="199" t="str">
        <f>+_xlfn.MAXIFS([1]Datos!$H:$H,[1]Datos!$B:$B,A139)</f>
        <v>#ERROR!</v>
      </c>
      <c r="C139" s="199" t="s">
        <v>412</v>
      </c>
      <c r="D139" s="199">
        <f t="shared" si="1"/>
        <v>14</v>
      </c>
      <c r="E139" s="199" t="s">
        <v>413</v>
      </c>
    </row>
    <row r="140" ht="14.25" customHeight="1">
      <c r="A140" s="199">
        <v>915.0</v>
      </c>
      <c r="B140" s="199" t="str">
        <f>+_xlfn.MAXIFS([1]Datos!$H:$H,[1]Datos!$B:$B,A140)</f>
        <v>#ERROR!</v>
      </c>
      <c r="C140" s="199" t="s">
        <v>414</v>
      </c>
      <c r="D140" s="199">
        <f t="shared" si="1"/>
        <v>14</v>
      </c>
      <c r="E140" s="199" t="s">
        <v>415</v>
      </c>
    </row>
    <row r="141" ht="14.25" customHeight="1">
      <c r="A141" s="199">
        <v>917.0</v>
      </c>
      <c r="B141" s="199" t="str">
        <f>+_xlfn.MAXIFS([1]Datos!$H:$H,[1]Datos!$B:$B,A141)</f>
        <v>#ERROR!</v>
      </c>
      <c r="C141" s="199" t="s">
        <v>416</v>
      </c>
      <c r="D141" s="199">
        <f t="shared" si="1"/>
        <v>14</v>
      </c>
      <c r="E141" s="199" t="s">
        <v>417</v>
      </c>
    </row>
    <row r="142" ht="14.25" customHeight="1">
      <c r="A142" s="199">
        <v>921.0</v>
      </c>
      <c r="B142" s="199" t="str">
        <f>+_xlfn.MAXIFS([1]Datos!$H:$H,[1]Datos!$B:$B,A142)</f>
        <v>#ERROR!</v>
      </c>
      <c r="C142" s="199" t="s">
        <v>418</v>
      </c>
      <c r="D142" s="199">
        <f t="shared" si="1"/>
        <v>14</v>
      </c>
      <c r="E142" s="199" t="s">
        <v>419</v>
      </c>
    </row>
    <row r="143" ht="14.25" customHeight="1">
      <c r="A143" s="199">
        <v>922.0</v>
      </c>
      <c r="B143" s="199" t="str">
        <f>+_xlfn.MAXIFS([1]Datos!$H:$H,[1]Datos!$B:$B,A143)</f>
        <v>#ERROR!</v>
      </c>
      <c r="C143" s="199" t="s">
        <v>420</v>
      </c>
      <c r="D143" s="199">
        <f t="shared" si="1"/>
        <v>14</v>
      </c>
      <c r="E143" s="199" t="s">
        <v>421</v>
      </c>
    </row>
    <row r="144" ht="14.25" customHeight="1">
      <c r="A144" s="199">
        <v>927.0</v>
      </c>
      <c r="B144" s="199" t="str">
        <f>+_xlfn.MAXIFS([1]Datos!$H:$H,[1]Datos!$B:$B,A144)</f>
        <v>#ERROR!</v>
      </c>
      <c r="C144" s="199" t="s">
        <v>422</v>
      </c>
      <c r="D144" s="199">
        <f t="shared" si="1"/>
        <v>14</v>
      </c>
      <c r="E144" s="199" t="s">
        <v>423</v>
      </c>
    </row>
    <row r="145" ht="14.25" customHeight="1">
      <c r="A145" s="199">
        <v>929.0</v>
      </c>
      <c r="B145" s="199" t="str">
        <f>+_xlfn.MAXIFS([1]Datos!$H:$H,[1]Datos!$B:$B,A145)</f>
        <v>#ERROR!</v>
      </c>
      <c r="C145" s="199" t="s">
        <v>424</v>
      </c>
      <c r="D145" s="199">
        <f t="shared" si="1"/>
        <v>14</v>
      </c>
      <c r="E145" s="199" t="s">
        <v>425</v>
      </c>
    </row>
    <row r="146" ht="14.25" customHeight="1">
      <c r="A146" s="199">
        <v>930.0</v>
      </c>
      <c r="B146" s="199" t="str">
        <f>+_xlfn.MAXIFS([1]Datos!$H:$H,[1]Datos!$B:$B,A146)</f>
        <v>#ERROR!</v>
      </c>
      <c r="C146" s="199" t="s">
        <v>426</v>
      </c>
      <c r="D146" s="199">
        <f t="shared" si="1"/>
        <v>14</v>
      </c>
      <c r="E146" s="199" t="s">
        <v>427</v>
      </c>
    </row>
    <row r="147" ht="14.25" customHeight="1">
      <c r="A147" s="199">
        <v>934.0</v>
      </c>
      <c r="B147" s="199" t="str">
        <f>+_xlfn.MAXIFS([1]Datos!$H:$H,[1]Datos!$B:$B,A147)</f>
        <v>#ERROR!</v>
      </c>
      <c r="C147" s="199" t="s">
        <v>428</v>
      </c>
      <c r="D147" s="199">
        <f t="shared" si="1"/>
        <v>14</v>
      </c>
      <c r="E147" s="199" t="s">
        <v>429</v>
      </c>
    </row>
    <row r="148" ht="14.25" customHeight="1">
      <c r="A148" s="199">
        <v>936.0</v>
      </c>
      <c r="B148" s="199" t="str">
        <f>+_xlfn.MAXIFS([1]Datos!$H:$H,[1]Datos!$B:$B,A148)</f>
        <v>#ERROR!</v>
      </c>
      <c r="C148" s="199" t="s">
        <v>430</v>
      </c>
      <c r="D148" s="199">
        <f t="shared" si="1"/>
        <v>14</v>
      </c>
      <c r="E148" s="199" t="s">
        <v>431</v>
      </c>
    </row>
    <row r="149" ht="14.25" customHeight="1">
      <c r="A149" s="199">
        <v>937.0</v>
      </c>
      <c r="B149" s="199" t="str">
        <f>+_xlfn.MAXIFS([1]Datos!$H:$H,[1]Datos!$B:$B,A149)</f>
        <v>#ERROR!</v>
      </c>
      <c r="C149" s="199" t="s">
        <v>432</v>
      </c>
      <c r="D149" s="199">
        <f t="shared" si="1"/>
        <v>14</v>
      </c>
      <c r="E149" s="199" t="s">
        <v>433</v>
      </c>
    </row>
    <row r="150" ht="14.25" customHeight="1">
      <c r="A150" s="199">
        <v>940.0</v>
      </c>
      <c r="B150" s="199" t="str">
        <f>+_xlfn.MAXIFS([1]Datos!$H:$H,[1]Datos!$B:$B,A150)</f>
        <v>#ERROR!</v>
      </c>
      <c r="C150" s="199" t="s">
        <v>434</v>
      </c>
      <c r="D150" s="199">
        <f t="shared" si="1"/>
        <v>14</v>
      </c>
      <c r="E150" s="199" t="s">
        <v>435</v>
      </c>
    </row>
    <row r="151" ht="14.25" customHeight="1">
      <c r="A151" s="199">
        <v>943.0</v>
      </c>
      <c r="B151" s="199" t="str">
        <f>+_xlfn.MAXIFS([1]Datos!$H:$H,[1]Datos!$B:$B,A151)</f>
        <v>#ERROR!</v>
      </c>
      <c r="C151" s="199" t="s">
        <v>436</v>
      </c>
      <c r="D151" s="199">
        <f t="shared" si="1"/>
        <v>14</v>
      </c>
      <c r="E151" s="199" t="s">
        <v>437</v>
      </c>
    </row>
    <row r="152" ht="14.25" customHeight="1">
      <c r="A152" s="199">
        <v>945.0</v>
      </c>
      <c r="B152" s="199" t="str">
        <f>+_xlfn.MAXIFS([1]Datos!$H:$H,[1]Datos!$B:$B,A152)</f>
        <v>#ERROR!</v>
      </c>
      <c r="C152" s="199" t="s">
        <v>438</v>
      </c>
      <c r="D152" s="199">
        <f t="shared" si="1"/>
        <v>14</v>
      </c>
      <c r="E152" s="199" t="s">
        <v>439</v>
      </c>
    </row>
    <row r="153" ht="14.25" customHeight="1">
      <c r="A153" s="199">
        <v>946.0</v>
      </c>
      <c r="B153" s="199" t="str">
        <f>+_xlfn.MAXIFS([1]Datos!$H:$H,[1]Datos!$B:$B,A153)</f>
        <v>#ERROR!</v>
      </c>
      <c r="C153" s="199" t="s">
        <v>440</v>
      </c>
      <c r="D153" s="199">
        <f t="shared" si="1"/>
        <v>14</v>
      </c>
      <c r="E153" s="199" t="s">
        <v>441</v>
      </c>
    </row>
    <row r="154" ht="14.25" customHeight="1">
      <c r="A154" s="199">
        <v>947.0</v>
      </c>
      <c r="B154" s="199" t="str">
        <f>+_xlfn.MAXIFS([1]Datos!$H:$H,[1]Datos!$B:$B,A154)</f>
        <v>#ERROR!</v>
      </c>
      <c r="C154" s="199" t="s">
        <v>442</v>
      </c>
      <c r="D154" s="199">
        <f t="shared" si="1"/>
        <v>14</v>
      </c>
      <c r="E154" s="199" t="s">
        <v>443</v>
      </c>
    </row>
    <row r="155" ht="14.25" customHeight="1">
      <c r="A155" s="199">
        <v>950.0</v>
      </c>
      <c r="B155" s="199" t="str">
        <f>+_xlfn.MAXIFS([1]Datos!$H:$H,[1]Datos!$B:$B,A155)</f>
        <v>#ERROR!</v>
      </c>
      <c r="C155" s="199" t="s">
        <v>444</v>
      </c>
      <c r="D155" s="199">
        <f t="shared" si="1"/>
        <v>14</v>
      </c>
      <c r="E155" s="199" t="s">
        <v>445</v>
      </c>
    </row>
    <row r="156" ht="14.25" customHeight="1">
      <c r="A156" s="199">
        <v>951.0</v>
      </c>
      <c r="B156" s="199" t="str">
        <f>+_xlfn.MAXIFS([1]Datos!$H:$H,[1]Datos!$B:$B,A156)</f>
        <v>#ERROR!</v>
      </c>
      <c r="C156" s="199" t="s">
        <v>446</v>
      </c>
      <c r="D156" s="199">
        <f t="shared" si="1"/>
        <v>14</v>
      </c>
      <c r="E156" s="199" t="s">
        <v>447</v>
      </c>
    </row>
    <row r="157" ht="14.25" customHeight="1">
      <c r="A157" s="199">
        <v>954.0</v>
      </c>
      <c r="B157" s="199" t="str">
        <f>+_xlfn.MAXIFS([1]Datos!$H:$H,[1]Datos!$B:$B,A157)</f>
        <v>#ERROR!</v>
      </c>
      <c r="C157" s="199" t="s">
        <v>448</v>
      </c>
      <c r="D157" s="199">
        <f t="shared" si="1"/>
        <v>14</v>
      </c>
      <c r="E157" s="199" t="s">
        <v>449</v>
      </c>
    </row>
    <row r="158" ht="14.25" customHeight="1">
      <c r="A158" s="199">
        <v>955.0</v>
      </c>
      <c r="B158" s="199" t="str">
        <f>+_xlfn.MAXIFS([1]Datos!$H:$H,[1]Datos!$B:$B,A158)</f>
        <v>#ERROR!</v>
      </c>
      <c r="C158" s="199" t="s">
        <v>450</v>
      </c>
      <c r="D158" s="199">
        <f t="shared" si="1"/>
        <v>14</v>
      </c>
      <c r="E158" s="199" t="s">
        <v>451</v>
      </c>
    </row>
    <row r="159" ht="14.25" customHeight="1">
      <c r="A159" s="199">
        <v>962.0</v>
      </c>
      <c r="B159" s="199" t="str">
        <f>+_xlfn.MAXIFS([1]Datos!$H:$H,[1]Datos!$B:$B,A159)</f>
        <v>#ERROR!</v>
      </c>
      <c r="C159" s="199" t="s">
        <v>452</v>
      </c>
      <c r="D159" s="199">
        <f t="shared" si="1"/>
        <v>14</v>
      </c>
      <c r="E159" s="199" t="s">
        <v>453</v>
      </c>
    </row>
    <row r="160" ht="14.25" customHeight="1">
      <c r="A160" s="199">
        <v>963.0</v>
      </c>
      <c r="B160" s="199" t="str">
        <f>+_xlfn.MAXIFS([1]Datos!$H:$H,[1]Datos!$B:$B,A160)</f>
        <v>#ERROR!</v>
      </c>
      <c r="C160" s="199" t="s">
        <v>454</v>
      </c>
      <c r="D160" s="199">
        <f t="shared" si="1"/>
        <v>14</v>
      </c>
      <c r="E160" s="199" t="s">
        <v>455</v>
      </c>
    </row>
    <row r="161" ht="14.25" customHeight="1">
      <c r="A161" s="199">
        <v>964.0</v>
      </c>
      <c r="B161" s="199" t="str">
        <f>+_xlfn.MAXIFS([1]Datos!$H:$H,[1]Datos!$B:$B,A161)</f>
        <v>#ERROR!</v>
      </c>
      <c r="C161" s="199" t="s">
        <v>456</v>
      </c>
      <c r="D161" s="199">
        <f t="shared" si="1"/>
        <v>14</v>
      </c>
      <c r="E161" s="199" t="s">
        <v>457</v>
      </c>
    </row>
    <row r="162" ht="14.25" customHeight="1">
      <c r="A162" s="199">
        <v>967.0</v>
      </c>
      <c r="B162" s="199" t="str">
        <f>+_xlfn.MAXIFS([1]Datos!$H:$H,[1]Datos!$B:$B,A162)</f>
        <v>#ERROR!</v>
      </c>
      <c r="C162" s="199" t="s">
        <v>458</v>
      </c>
      <c r="D162" s="199">
        <f t="shared" si="1"/>
        <v>14</v>
      </c>
      <c r="E162" s="199" t="s">
        <v>459</v>
      </c>
    </row>
    <row r="163" ht="14.25" customHeight="1">
      <c r="A163" s="199">
        <v>972.0</v>
      </c>
      <c r="B163" s="199" t="str">
        <f>+_xlfn.MAXIFS([1]Datos!$H:$H,[1]Datos!$B:$B,A163)</f>
        <v>#ERROR!</v>
      </c>
      <c r="C163" s="199" t="s">
        <v>460</v>
      </c>
      <c r="D163" s="199">
        <f t="shared" si="1"/>
        <v>14</v>
      </c>
      <c r="E163" s="199" t="s">
        <v>461</v>
      </c>
    </row>
    <row r="164" ht="14.25" customHeight="1">
      <c r="A164" s="199">
        <v>977.0</v>
      </c>
      <c r="B164" s="199" t="str">
        <f>+_xlfn.MAXIFS([1]Datos!$H:$H,[1]Datos!$B:$B,A164)</f>
        <v>#ERROR!</v>
      </c>
      <c r="C164" s="199" t="s">
        <v>462</v>
      </c>
      <c r="D164" s="199">
        <f t="shared" si="1"/>
        <v>14</v>
      </c>
      <c r="E164" s="199" t="s">
        <v>463</v>
      </c>
    </row>
    <row r="165" ht="14.25" customHeight="1">
      <c r="A165" s="199">
        <v>991.0</v>
      </c>
      <c r="B165" s="199" t="str">
        <f>+_xlfn.MAXIFS([1]Datos!$H:$H,[1]Datos!$B:$B,A165)</f>
        <v>#ERROR!</v>
      </c>
      <c r="C165" s="199" t="s">
        <v>464</v>
      </c>
      <c r="D165" s="199">
        <f t="shared" si="1"/>
        <v>14</v>
      </c>
      <c r="E165" s="199" t="s">
        <v>465</v>
      </c>
    </row>
    <row r="166" ht="14.25" customHeight="1">
      <c r="A166" s="199">
        <v>992.0</v>
      </c>
      <c r="B166" s="199" t="str">
        <f>+_xlfn.MAXIFS([1]Datos!$H:$H,[1]Datos!$B:$B,A166)</f>
        <v>#ERROR!</v>
      </c>
      <c r="C166" s="199" t="s">
        <v>466</v>
      </c>
      <c r="D166" s="199">
        <f t="shared" si="1"/>
        <v>14</v>
      </c>
      <c r="E166" s="199" t="s">
        <v>467</v>
      </c>
    </row>
    <row r="167" ht="14.25" customHeight="1">
      <c r="A167" s="199">
        <v>995.0</v>
      </c>
      <c r="B167" s="199" t="str">
        <f>+_xlfn.MAXIFS([1]Datos!$H:$H,[1]Datos!$B:$B,A167)</f>
        <v>#ERROR!</v>
      </c>
      <c r="C167" s="199" t="s">
        <v>468</v>
      </c>
      <c r="D167" s="199">
        <f t="shared" si="1"/>
        <v>14</v>
      </c>
      <c r="E167" s="199" t="s">
        <v>469</v>
      </c>
    </row>
    <row r="168" ht="14.25" customHeight="1">
      <c r="A168" s="199">
        <v>996.0</v>
      </c>
      <c r="B168" s="199" t="str">
        <f>+_xlfn.MAXIFS([1]Datos!$H:$H,[1]Datos!$B:$B,A168)</f>
        <v>#ERROR!</v>
      </c>
      <c r="C168" s="199" t="s">
        <v>470</v>
      </c>
      <c r="D168" s="199">
        <f t="shared" si="1"/>
        <v>14</v>
      </c>
      <c r="E168" s="199" t="s">
        <v>471</v>
      </c>
    </row>
    <row r="169" ht="14.25" customHeight="1">
      <c r="A169" s="199">
        <v>1005.0</v>
      </c>
      <c r="B169" s="199" t="str">
        <f>+_xlfn.MAXIFS([1]Datos!$H:$H,[1]Datos!$B:$B,A169)</f>
        <v>#ERROR!</v>
      </c>
      <c r="C169" s="199" t="s">
        <v>472</v>
      </c>
      <c r="D169" s="199">
        <f t="shared" si="1"/>
        <v>14</v>
      </c>
      <c r="E169" s="199" t="s">
        <v>473</v>
      </c>
    </row>
    <row r="170" ht="14.25" customHeight="1">
      <c r="A170" s="199">
        <v>1006.0</v>
      </c>
      <c r="B170" s="199" t="str">
        <f>+_xlfn.MAXIFS([1]Datos!$H:$H,[1]Datos!$B:$B,A170)</f>
        <v>#ERROR!</v>
      </c>
      <c r="C170" s="199" t="s">
        <v>474</v>
      </c>
      <c r="D170" s="199">
        <f t="shared" si="1"/>
        <v>14</v>
      </c>
      <c r="E170" s="199" t="s">
        <v>475</v>
      </c>
    </row>
    <row r="171" ht="14.25" customHeight="1">
      <c r="A171" s="199">
        <v>1010.0</v>
      </c>
      <c r="B171" s="199" t="str">
        <f>+_xlfn.MAXIFS([1]Datos!$H:$H,[1]Datos!$B:$B,A171)</f>
        <v>#ERROR!</v>
      </c>
      <c r="C171" s="199" t="s">
        <v>476</v>
      </c>
      <c r="D171" s="199">
        <f t="shared" si="1"/>
        <v>14</v>
      </c>
      <c r="E171" s="199" t="s">
        <v>477</v>
      </c>
    </row>
    <row r="172" ht="14.25" customHeight="1">
      <c r="A172" s="199">
        <v>1012.0</v>
      </c>
      <c r="B172" s="199" t="str">
        <f>+_xlfn.MAXIFS([1]Datos!$H:$H,[1]Datos!$B:$B,A172)</f>
        <v>#ERROR!</v>
      </c>
      <c r="C172" s="199" t="s">
        <v>478</v>
      </c>
      <c r="D172" s="199">
        <f t="shared" si="1"/>
        <v>14</v>
      </c>
      <c r="E172" s="199" t="s">
        <v>479</v>
      </c>
    </row>
    <row r="173" ht="14.25" customHeight="1">
      <c r="A173" s="199">
        <v>1023.0</v>
      </c>
      <c r="B173" s="199" t="str">
        <f>+_xlfn.MAXIFS([1]Datos!$H:$H,[1]Datos!$B:$B,A173)</f>
        <v>#ERROR!</v>
      </c>
      <c r="C173" s="199" t="s">
        <v>480</v>
      </c>
      <c r="D173" s="199">
        <f t="shared" si="1"/>
        <v>14</v>
      </c>
      <c r="E173" s="199" t="s">
        <v>481</v>
      </c>
    </row>
    <row r="174" ht="14.25" customHeight="1">
      <c r="A174" s="199">
        <v>1024.0</v>
      </c>
      <c r="B174" s="199" t="str">
        <f>+_xlfn.MAXIFS([1]Datos!$H:$H,[1]Datos!$B:$B,A174)</f>
        <v>#ERROR!</v>
      </c>
      <c r="C174" s="199" t="s">
        <v>482</v>
      </c>
      <c r="D174" s="199">
        <f t="shared" si="1"/>
        <v>14</v>
      </c>
      <c r="E174" s="199" t="s">
        <v>483</v>
      </c>
    </row>
    <row r="175" ht="14.25" customHeight="1">
      <c r="A175" s="199">
        <v>1026.0</v>
      </c>
      <c r="B175" s="199" t="str">
        <f>+_xlfn.MAXIFS([1]Datos!$H:$H,[1]Datos!$B:$B,A175)</f>
        <v>#ERROR!</v>
      </c>
      <c r="C175" s="199" t="s">
        <v>47</v>
      </c>
      <c r="D175" s="199">
        <f t="shared" si="1"/>
        <v>14</v>
      </c>
      <c r="E175" s="199" t="s">
        <v>484</v>
      </c>
    </row>
    <row r="176" ht="14.25" customHeight="1">
      <c r="A176" s="199">
        <v>1035.0</v>
      </c>
      <c r="B176" s="199" t="str">
        <f>+_xlfn.MAXIFS([1]Datos!$H:$H,[1]Datos!$B:$B,A176)</f>
        <v>#ERROR!</v>
      </c>
      <c r="C176" s="199" t="s">
        <v>485</v>
      </c>
      <c r="D176" s="199">
        <f t="shared" si="1"/>
        <v>14</v>
      </c>
      <c r="E176" s="199" t="s">
        <v>486</v>
      </c>
    </row>
    <row r="177" ht="14.25" customHeight="1">
      <c r="A177" s="199">
        <v>1037.0</v>
      </c>
      <c r="B177" s="199" t="str">
        <f>+_xlfn.MAXIFS([1]Datos!$H:$H,[1]Datos!$B:$B,A177)</f>
        <v>#ERROR!</v>
      </c>
      <c r="C177" s="199" t="s">
        <v>487</v>
      </c>
      <c r="D177" s="199">
        <f t="shared" si="1"/>
        <v>14</v>
      </c>
      <c r="E177" s="199" t="s">
        <v>488</v>
      </c>
    </row>
    <row r="178" ht="14.25" customHeight="1">
      <c r="A178" s="199">
        <v>1045.0</v>
      </c>
      <c r="B178" s="199" t="str">
        <f>+_xlfn.MAXIFS([1]Datos!$H:$H,[1]Datos!$B:$B,A178)</f>
        <v>#ERROR!</v>
      </c>
      <c r="C178" s="199" t="s">
        <v>489</v>
      </c>
      <c r="D178" s="199">
        <f t="shared" si="1"/>
        <v>14</v>
      </c>
      <c r="E178" s="199" t="s">
        <v>490</v>
      </c>
    </row>
    <row r="179" ht="14.25" customHeight="1">
      <c r="A179" s="199">
        <v>1048.0</v>
      </c>
      <c r="B179" s="199" t="str">
        <f>+_xlfn.MAXIFS([1]Datos!$H:$H,[1]Datos!$B:$B,A179)</f>
        <v>#ERROR!</v>
      </c>
      <c r="C179" s="199" t="s">
        <v>491</v>
      </c>
      <c r="D179" s="199">
        <f t="shared" si="1"/>
        <v>14</v>
      </c>
      <c r="E179" s="199" t="s">
        <v>492</v>
      </c>
    </row>
    <row r="180" ht="14.25" customHeight="1">
      <c r="A180" s="199">
        <v>1053.0</v>
      </c>
      <c r="B180" s="199" t="str">
        <f>+_xlfn.MAXIFS([1]Datos!$H:$H,[1]Datos!$B:$B,A180)</f>
        <v>#ERROR!</v>
      </c>
      <c r="C180" s="199" t="s">
        <v>493</v>
      </c>
      <c r="D180" s="199">
        <f t="shared" si="1"/>
        <v>14</v>
      </c>
      <c r="E180" s="199" t="s">
        <v>494</v>
      </c>
    </row>
    <row r="181" ht="14.25" customHeight="1">
      <c r="A181" s="199">
        <v>1054.0</v>
      </c>
      <c r="B181" s="199" t="str">
        <f>+_xlfn.MAXIFS([1]Datos!$H:$H,[1]Datos!$B:$B,A181)</f>
        <v>#ERROR!</v>
      </c>
      <c r="C181" s="199" t="s">
        <v>495</v>
      </c>
      <c r="D181" s="199">
        <f t="shared" si="1"/>
        <v>14</v>
      </c>
      <c r="E181" s="199" t="s">
        <v>496</v>
      </c>
    </row>
    <row r="182" ht="14.25" customHeight="1">
      <c r="A182" s="199">
        <v>1058.0</v>
      </c>
      <c r="B182" s="199" t="str">
        <f>+_xlfn.MAXIFS([1]Datos!$H:$H,[1]Datos!$B:$B,A182)</f>
        <v>#ERROR!</v>
      </c>
      <c r="C182" s="199" t="s">
        <v>497</v>
      </c>
      <c r="D182" s="199">
        <f t="shared" si="1"/>
        <v>14</v>
      </c>
      <c r="E182" s="199" t="s">
        <v>498</v>
      </c>
    </row>
    <row r="183" ht="14.25" customHeight="1">
      <c r="A183" s="199">
        <v>1064.0</v>
      </c>
      <c r="B183" s="199" t="str">
        <f>+_xlfn.MAXIFS([1]Datos!$H:$H,[1]Datos!$B:$B,A183)</f>
        <v>#ERROR!</v>
      </c>
      <c r="C183" s="199" t="s">
        <v>499</v>
      </c>
      <c r="D183" s="199">
        <f t="shared" si="1"/>
        <v>14</v>
      </c>
      <c r="E183" s="199" t="s">
        <v>500</v>
      </c>
    </row>
    <row r="184" ht="14.25" customHeight="1">
      <c r="A184" s="199">
        <v>1066.0</v>
      </c>
      <c r="B184" s="199" t="str">
        <f>+_xlfn.MAXIFS([1]Datos!$H:$H,[1]Datos!$B:$B,A184)</f>
        <v>#ERROR!</v>
      </c>
      <c r="C184" s="199" t="s">
        <v>501</v>
      </c>
      <c r="D184" s="199">
        <f t="shared" si="1"/>
        <v>14</v>
      </c>
      <c r="E184" s="199" t="s">
        <v>502</v>
      </c>
    </row>
    <row r="185" ht="14.25" customHeight="1">
      <c r="A185" s="199">
        <v>1068.0</v>
      </c>
      <c r="B185" s="199" t="str">
        <f>+_xlfn.MAXIFS([1]Datos!$H:$H,[1]Datos!$B:$B,A185)</f>
        <v>#ERROR!</v>
      </c>
      <c r="C185" s="199" t="s">
        <v>503</v>
      </c>
      <c r="D185" s="199">
        <f t="shared" si="1"/>
        <v>14</v>
      </c>
      <c r="E185" s="199" t="s">
        <v>504</v>
      </c>
    </row>
    <row r="186" ht="14.25" customHeight="1">
      <c r="A186" s="199">
        <v>1071.0</v>
      </c>
      <c r="B186" s="199" t="str">
        <f>+_xlfn.MAXIFS([1]Datos!$H:$H,[1]Datos!$B:$B,A186)</f>
        <v>#ERROR!</v>
      </c>
      <c r="C186" s="199" t="s">
        <v>505</v>
      </c>
      <c r="D186" s="199">
        <f t="shared" si="1"/>
        <v>14</v>
      </c>
      <c r="E186" s="199" t="s">
        <v>506</v>
      </c>
    </row>
    <row r="187" ht="14.25" customHeight="1">
      <c r="A187" s="199">
        <v>1073.0</v>
      </c>
      <c r="B187" s="199" t="str">
        <f>+_xlfn.MAXIFS([1]Datos!$H:$H,[1]Datos!$B:$B,A187)</f>
        <v>#ERROR!</v>
      </c>
      <c r="C187" s="199" t="s">
        <v>507</v>
      </c>
      <c r="D187" s="199">
        <f t="shared" si="1"/>
        <v>14</v>
      </c>
      <c r="E187" s="199" t="s">
        <v>508</v>
      </c>
    </row>
    <row r="188" ht="14.25" customHeight="1">
      <c r="A188" s="199">
        <v>1078.0</v>
      </c>
      <c r="B188" s="199" t="str">
        <f>+_xlfn.MAXIFS([1]Datos!$H:$H,[1]Datos!$B:$B,A188)</f>
        <v>#ERROR!</v>
      </c>
      <c r="C188" s="199" t="s">
        <v>509</v>
      </c>
      <c r="D188" s="199">
        <f t="shared" si="1"/>
        <v>14</v>
      </c>
      <c r="E188" s="199" t="s">
        <v>510</v>
      </c>
    </row>
    <row r="189" ht="14.25" customHeight="1">
      <c r="A189" s="199">
        <v>1080.0</v>
      </c>
      <c r="B189" s="199" t="str">
        <f>+_xlfn.MAXIFS([1]Datos!$H:$H,[1]Datos!$B:$B,A189)</f>
        <v>#ERROR!</v>
      </c>
      <c r="C189" s="199" t="s">
        <v>511</v>
      </c>
      <c r="D189" s="199">
        <f t="shared" si="1"/>
        <v>14</v>
      </c>
      <c r="E189" s="199" t="s">
        <v>512</v>
      </c>
    </row>
    <row r="190" ht="14.25" customHeight="1">
      <c r="A190" s="199">
        <v>1081.0</v>
      </c>
      <c r="B190" s="199" t="str">
        <f>+_xlfn.MAXIFS([1]Datos!$H:$H,[1]Datos!$B:$B,A190)</f>
        <v>#ERROR!</v>
      </c>
      <c r="C190" s="199" t="s">
        <v>513</v>
      </c>
      <c r="D190" s="199">
        <f t="shared" si="1"/>
        <v>14</v>
      </c>
      <c r="E190" s="199" t="s">
        <v>514</v>
      </c>
    </row>
    <row r="191" ht="14.25" customHeight="1">
      <c r="A191" s="199">
        <v>1085.0</v>
      </c>
      <c r="B191" s="199" t="str">
        <f>+_xlfn.MAXIFS([1]Datos!$H:$H,[1]Datos!$B:$B,A191)</f>
        <v>#ERROR!</v>
      </c>
      <c r="C191" s="199" t="s">
        <v>515</v>
      </c>
      <c r="D191" s="199">
        <f t="shared" si="1"/>
        <v>14</v>
      </c>
      <c r="E191" s="199" t="s">
        <v>516</v>
      </c>
    </row>
    <row r="192" ht="14.25" customHeight="1">
      <c r="A192" s="199">
        <v>1086.0</v>
      </c>
      <c r="B192" s="199" t="str">
        <f>+_xlfn.MAXIFS([1]Datos!$H:$H,[1]Datos!$B:$B,A192)</f>
        <v>#ERROR!</v>
      </c>
      <c r="C192" s="199" t="s">
        <v>517</v>
      </c>
      <c r="D192" s="199">
        <f t="shared" si="1"/>
        <v>14</v>
      </c>
      <c r="E192" s="199" t="s">
        <v>518</v>
      </c>
    </row>
    <row r="193" ht="14.25" customHeight="1">
      <c r="A193" s="199">
        <v>1372.0</v>
      </c>
      <c r="B193" s="199" t="str">
        <f>+_xlfn.MAXIFS([1]Datos!$H:$H,[1]Datos!$B:$B,A193)</f>
        <v>#ERROR!</v>
      </c>
      <c r="C193" s="199" t="s">
        <v>519</v>
      </c>
      <c r="D193" s="199">
        <f t="shared" si="1"/>
        <v>14</v>
      </c>
      <c r="E193" s="199" t="s">
        <v>520</v>
      </c>
    </row>
    <row r="194" ht="14.25" customHeight="1">
      <c r="A194" s="199">
        <v>1090.0</v>
      </c>
      <c r="B194" s="199" t="str">
        <f>+_xlfn.MAXIFS([1]Datos!$H:$H,[1]Datos!$B:$B,A194)</f>
        <v>#ERROR!</v>
      </c>
      <c r="C194" s="199" t="s">
        <v>521</v>
      </c>
      <c r="D194" s="199">
        <f t="shared" si="1"/>
        <v>14</v>
      </c>
      <c r="E194" s="199" t="s">
        <v>522</v>
      </c>
    </row>
    <row r="195" ht="14.25" customHeight="1">
      <c r="A195" s="199">
        <v>1093.0</v>
      </c>
      <c r="B195" s="199" t="str">
        <f>+_xlfn.MAXIFS([1]Datos!$H:$H,[1]Datos!$B:$B,A195)</f>
        <v>#ERROR!</v>
      </c>
      <c r="C195" s="199" t="s">
        <v>523</v>
      </c>
      <c r="D195" s="199">
        <f t="shared" si="1"/>
        <v>14</v>
      </c>
      <c r="E195" s="199" t="s">
        <v>524</v>
      </c>
    </row>
    <row r="196" ht="14.25" customHeight="1">
      <c r="A196" s="199">
        <v>1095.0</v>
      </c>
      <c r="B196" s="199" t="str">
        <f>+_xlfn.MAXIFS([1]Datos!$H:$H,[1]Datos!$B:$B,A196)</f>
        <v>#ERROR!</v>
      </c>
      <c r="C196" s="199" t="s">
        <v>525</v>
      </c>
      <c r="D196" s="199">
        <f t="shared" si="1"/>
        <v>14</v>
      </c>
      <c r="E196" s="199" t="s">
        <v>526</v>
      </c>
    </row>
    <row r="197" ht="14.25" customHeight="1">
      <c r="A197" s="199">
        <v>1098.0</v>
      </c>
      <c r="B197" s="199" t="str">
        <f>+_xlfn.MAXIFS([1]Datos!$H:$H,[1]Datos!$B:$B,A197)</f>
        <v>#ERROR!</v>
      </c>
      <c r="C197" s="199" t="s">
        <v>527</v>
      </c>
      <c r="D197" s="199">
        <f t="shared" si="1"/>
        <v>14</v>
      </c>
      <c r="E197" s="199" t="s">
        <v>528</v>
      </c>
    </row>
    <row r="198" ht="14.25" customHeight="1">
      <c r="A198" s="199">
        <v>1100.0</v>
      </c>
      <c r="B198" s="199" t="str">
        <f>+_xlfn.MAXIFS([1]Datos!$H:$H,[1]Datos!$B:$B,A198)</f>
        <v>#ERROR!</v>
      </c>
      <c r="C198" s="199" t="s">
        <v>529</v>
      </c>
      <c r="D198" s="199">
        <f t="shared" si="1"/>
        <v>14</v>
      </c>
      <c r="E198" s="199" t="s">
        <v>530</v>
      </c>
    </row>
    <row r="199" ht="14.25" customHeight="1">
      <c r="A199" s="199">
        <v>1103.0</v>
      </c>
      <c r="B199" s="199" t="str">
        <f>+_xlfn.MAXIFS([1]Datos!$H:$H,[1]Datos!$B:$B,A199)</f>
        <v>#ERROR!</v>
      </c>
      <c r="C199" s="199" t="s">
        <v>531</v>
      </c>
      <c r="D199" s="199">
        <f t="shared" si="1"/>
        <v>14</v>
      </c>
      <c r="E199" s="199" t="s">
        <v>532</v>
      </c>
    </row>
    <row r="200" ht="14.25" customHeight="1">
      <c r="A200" s="199">
        <v>1107.0</v>
      </c>
      <c r="B200" s="199" t="str">
        <f>+_xlfn.MAXIFS([1]Datos!$H:$H,[1]Datos!$B:$B,A200)</f>
        <v>#ERROR!</v>
      </c>
      <c r="C200" s="199" t="s">
        <v>533</v>
      </c>
      <c r="D200" s="199">
        <f t="shared" si="1"/>
        <v>14</v>
      </c>
      <c r="E200" s="199" t="s">
        <v>534</v>
      </c>
    </row>
    <row r="201" ht="14.25" customHeight="1">
      <c r="A201" s="199">
        <v>1108.0</v>
      </c>
      <c r="B201" s="199" t="str">
        <f>+_xlfn.MAXIFS([1]Datos!$H:$H,[1]Datos!$B:$B,A201)</f>
        <v>#ERROR!</v>
      </c>
      <c r="C201" s="199" t="s">
        <v>535</v>
      </c>
      <c r="D201" s="199">
        <f t="shared" si="1"/>
        <v>14</v>
      </c>
      <c r="E201" s="199" t="s">
        <v>536</v>
      </c>
    </row>
    <row r="202" ht="14.25" customHeight="1">
      <c r="A202" s="199">
        <v>1109.0</v>
      </c>
      <c r="B202" s="199" t="str">
        <f>+_xlfn.MAXIFS([1]Datos!$H:$H,[1]Datos!$B:$B,A202)</f>
        <v>#ERROR!</v>
      </c>
      <c r="C202" s="199" t="s">
        <v>537</v>
      </c>
      <c r="D202" s="199">
        <f t="shared" si="1"/>
        <v>14</v>
      </c>
      <c r="E202" s="199" t="s">
        <v>538</v>
      </c>
    </row>
    <row r="203" ht="14.25" customHeight="1">
      <c r="A203" s="199">
        <v>1110.0</v>
      </c>
      <c r="B203" s="199" t="str">
        <f>+_xlfn.MAXIFS([1]Datos!$H:$H,[1]Datos!$B:$B,A203)</f>
        <v>#ERROR!</v>
      </c>
      <c r="C203" s="199" t="s">
        <v>539</v>
      </c>
      <c r="D203" s="199">
        <f t="shared" si="1"/>
        <v>14</v>
      </c>
      <c r="E203" s="199" t="s">
        <v>540</v>
      </c>
    </row>
    <row r="204" ht="14.25" customHeight="1">
      <c r="A204" s="199">
        <v>1119.0</v>
      </c>
      <c r="B204" s="199" t="str">
        <f>+_xlfn.MAXIFS([1]Datos!$H:$H,[1]Datos!$B:$B,A204)</f>
        <v>#ERROR!</v>
      </c>
      <c r="C204" s="199" t="s">
        <v>541</v>
      </c>
      <c r="D204" s="199">
        <f t="shared" si="1"/>
        <v>14</v>
      </c>
      <c r="E204" s="199" t="s">
        <v>542</v>
      </c>
    </row>
    <row r="205" ht="14.25" customHeight="1">
      <c r="A205" s="199">
        <v>1123.0</v>
      </c>
      <c r="B205" s="199" t="str">
        <f>+_xlfn.MAXIFS([1]Datos!$H:$H,[1]Datos!$B:$B,A205)</f>
        <v>#ERROR!</v>
      </c>
      <c r="C205" s="199" t="s">
        <v>543</v>
      </c>
      <c r="D205" s="199">
        <f t="shared" si="1"/>
        <v>14</v>
      </c>
      <c r="E205" s="199" t="s">
        <v>544</v>
      </c>
    </row>
    <row r="206" ht="14.25" customHeight="1">
      <c r="A206" s="199">
        <v>1124.0</v>
      </c>
      <c r="B206" s="199" t="str">
        <f>+_xlfn.MAXIFS([1]Datos!$H:$H,[1]Datos!$B:$B,A206)</f>
        <v>#ERROR!</v>
      </c>
      <c r="C206" s="199" t="s">
        <v>545</v>
      </c>
      <c r="D206" s="199">
        <f t="shared" si="1"/>
        <v>14</v>
      </c>
      <c r="E206" s="199" t="s">
        <v>546</v>
      </c>
    </row>
    <row r="207" ht="14.25" customHeight="1">
      <c r="A207" s="199">
        <v>1126.0</v>
      </c>
      <c r="B207" s="199" t="str">
        <f>+_xlfn.MAXIFS([1]Datos!$H:$H,[1]Datos!$B:$B,A207)</f>
        <v>#ERROR!</v>
      </c>
      <c r="C207" s="199" t="s">
        <v>547</v>
      </c>
      <c r="D207" s="199">
        <f t="shared" si="1"/>
        <v>14</v>
      </c>
      <c r="E207" s="199" t="s">
        <v>548</v>
      </c>
    </row>
    <row r="208" ht="14.25" customHeight="1">
      <c r="A208" s="199">
        <v>1127.0</v>
      </c>
      <c r="B208" s="199" t="str">
        <f>+_xlfn.MAXIFS([1]Datos!$H:$H,[1]Datos!$B:$B,A208)</f>
        <v>#ERROR!</v>
      </c>
      <c r="C208" s="199" t="s">
        <v>549</v>
      </c>
      <c r="D208" s="199">
        <f t="shared" si="1"/>
        <v>14</v>
      </c>
      <c r="E208" s="199" t="s">
        <v>550</v>
      </c>
    </row>
    <row r="209" ht="14.25" customHeight="1">
      <c r="A209" s="199">
        <v>1128.0</v>
      </c>
      <c r="B209" s="199" t="str">
        <f>+_xlfn.MAXIFS([1]Datos!$H:$H,[1]Datos!$B:$B,A209)</f>
        <v>#ERROR!</v>
      </c>
      <c r="C209" s="199" t="s">
        <v>551</v>
      </c>
      <c r="D209" s="199">
        <f t="shared" si="1"/>
        <v>14</v>
      </c>
      <c r="E209" s="199" t="s">
        <v>552</v>
      </c>
    </row>
    <row r="210" ht="14.25" customHeight="1">
      <c r="A210" s="199">
        <v>1129.0</v>
      </c>
      <c r="B210" s="199" t="str">
        <f>+_xlfn.MAXIFS([1]Datos!$H:$H,[1]Datos!$B:$B,A210)</f>
        <v>#ERROR!</v>
      </c>
      <c r="C210" s="199" t="s">
        <v>553</v>
      </c>
      <c r="D210" s="199">
        <f t="shared" si="1"/>
        <v>14</v>
      </c>
      <c r="E210" s="199" t="s">
        <v>554</v>
      </c>
    </row>
    <row r="211" ht="14.25" customHeight="1">
      <c r="A211" s="199">
        <v>1130.0</v>
      </c>
      <c r="B211" s="199" t="str">
        <f>+_xlfn.MAXIFS([1]Datos!$H:$H,[1]Datos!$B:$B,A211)</f>
        <v>#ERROR!</v>
      </c>
      <c r="C211" s="199" t="s">
        <v>555</v>
      </c>
      <c r="D211" s="199">
        <f t="shared" si="1"/>
        <v>14</v>
      </c>
      <c r="E211" s="199" t="s">
        <v>556</v>
      </c>
    </row>
    <row r="212" ht="14.25" customHeight="1">
      <c r="A212" s="199">
        <v>1133.0</v>
      </c>
      <c r="B212" s="199" t="str">
        <f>+_xlfn.MAXIFS([1]Datos!$H:$H,[1]Datos!$B:$B,A212)</f>
        <v>#ERROR!</v>
      </c>
      <c r="C212" s="199" t="s">
        <v>557</v>
      </c>
      <c r="D212" s="199">
        <f t="shared" si="1"/>
        <v>14</v>
      </c>
      <c r="E212" s="199" t="s">
        <v>558</v>
      </c>
    </row>
    <row r="213" ht="14.25" customHeight="1">
      <c r="A213" s="199">
        <v>1135.0</v>
      </c>
      <c r="B213" s="199" t="str">
        <f>+_xlfn.MAXIFS([1]Datos!$H:$H,[1]Datos!$B:$B,A213)</f>
        <v>#ERROR!</v>
      </c>
      <c r="C213" s="199" t="s">
        <v>559</v>
      </c>
      <c r="D213" s="199">
        <f t="shared" si="1"/>
        <v>14</v>
      </c>
      <c r="E213" s="199" t="s">
        <v>560</v>
      </c>
    </row>
    <row r="214" ht="14.25" customHeight="1">
      <c r="A214" s="199">
        <v>1137.0</v>
      </c>
      <c r="B214" s="199" t="str">
        <f>+_xlfn.MAXIFS([1]Datos!$H:$H,[1]Datos!$B:$B,A214)</f>
        <v>#ERROR!</v>
      </c>
      <c r="C214" s="199" t="s">
        <v>561</v>
      </c>
      <c r="D214" s="199">
        <f t="shared" si="1"/>
        <v>14</v>
      </c>
      <c r="E214" s="199" t="s">
        <v>562</v>
      </c>
    </row>
    <row r="215" ht="14.25" customHeight="1">
      <c r="A215" s="199">
        <v>1138.0</v>
      </c>
      <c r="B215" s="199" t="str">
        <f>+_xlfn.MAXIFS([1]Datos!$H:$H,[1]Datos!$B:$B,A215)</f>
        <v>#ERROR!</v>
      </c>
      <c r="C215" s="199" t="s">
        <v>563</v>
      </c>
      <c r="D215" s="199">
        <f t="shared" si="1"/>
        <v>14</v>
      </c>
      <c r="E215" s="199" t="s">
        <v>564</v>
      </c>
    </row>
    <row r="216" ht="14.25" customHeight="1">
      <c r="A216" s="199">
        <v>1139.0</v>
      </c>
      <c r="B216" s="199" t="str">
        <f>+_xlfn.MAXIFS([1]Datos!$H:$H,[1]Datos!$B:$B,A216)</f>
        <v>#ERROR!</v>
      </c>
      <c r="C216" s="199" t="s">
        <v>565</v>
      </c>
      <c r="D216" s="199">
        <f t="shared" si="1"/>
        <v>14</v>
      </c>
      <c r="E216" s="199" t="s">
        <v>566</v>
      </c>
    </row>
    <row r="217" ht="14.25" customHeight="1">
      <c r="A217" s="199">
        <v>1141.0</v>
      </c>
      <c r="B217" s="199" t="str">
        <f>+_xlfn.MAXIFS([1]Datos!$H:$H,[1]Datos!$B:$B,A217)</f>
        <v>#ERROR!</v>
      </c>
      <c r="C217" s="199" t="s">
        <v>567</v>
      </c>
      <c r="D217" s="199">
        <f t="shared" si="1"/>
        <v>14</v>
      </c>
      <c r="E217" s="199" t="s">
        <v>568</v>
      </c>
    </row>
    <row r="218" ht="14.25" customHeight="1">
      <c r="A218" s="199">
        <v>1142.0</v>
      </c>
      <c r="B218" s="199" t="str">
        <f>+_xlfn.MAXIFS([1]Datos!$H:$H,[1]Datos!$B:$B,A218)</f>
        <v>#ERROR!</v>
      </c>
      <c r="C218" s="199" t="s">
        <v>569</v>
      </c>
      <c r="D218" s="199">
        <f t="shared" si="1"/>
        <v>14</v>
      </c>
      <c r="E218" s="199" t="s">
        <v>570</v>
      </c>
    </row>
    <row r="219" ht="14.25" customHeight="1">
      <c r="A219" s="199">
        <v>1146.0</v>
      </c>
      <c r="B219" s="199" t="str">
        <f>+_xlfn.MAXIFS([1]Datos!$H:$H,[1]Datos!$B:$B,A219)</f>
        <v>#ERROR!</v>
      </c>
      <c r="C219" s="199" t="s">
        <v>571</v>
      </c>
      <c r="D219" s="199">
        <f t="shared" si="1"/>
        <v>14</v>
      </c>
      <c r="E219" s="199" t="s">
        <v>572</v>
      </c>
    </row>
    <row r="220" ht="14.25" customHeight="1">
      <c r="A220" s="199">
        <v>1150.0</v>
      </c>
      <c r="B220" s="199" t="str">
        <f>+_xlfn.MAXIFS([1]Datos!$H:$H,[1]Datos!$B:$B,A220)</f>
        <v>#ERROR!</v>
      </c>
      <c r="C220" s="199" t="s">
        <v>573</v>
      </c>
      <c r="D220" s="199">
        <f t="shared" si="1"/>
        <v>14</v>
      </c>
      <c r="E220" s="199" t="s">
        <v>574</v>
      </c>
    </row>
    <row r="221" ht="14.25" customHeight="1">
      <c r="A221" s="199">
        <v>1152.0</v>
      </c>
      <c r="B221" s="199" t="str">
        <f>+_xlfn.MAXIFS([1]Datos!$H:$H,[1]Datos!$B:$B,A221)</f>
        <v>#ERROR!</v>
      </c>
      <c r="C221" s="199" t="s">
        <v>575</v>
      </c>
      <c r="D221" s="199">
        <f t="shared" si="1"/>
        <v>14</v>
      </c>
      <c r="E221" s="199" t="s">
        <v>576</v>
      </c>
    </row>
    <row r="222" ht="14.25" customHeight="1">
      <c r="A222" s="199">
        <v>1157.0</v>
      </c>
      <c r="B222" s="199" t="str">
        <f>+_xlfn.MAXIFS([1]Datos!$H:$H,[1]Datos!$B:$B,A222)</f>
        <v>#ERROR!</v>
      </c>
      <c r="C222" s="199" t="s">
        <v>577</v>
      </c>
      <c r="D222" s="199">
        <f t="shared" si="1"/>
        <v>14</v>
      </c>
      <c r="E222" s="199" t="s">
        <v>578</v>
      </c>
    </row>
    <row r="223" ht="14.25" customHeight="1">
      <c r="A223" s="199">
        <v>1160.0</v>
      </c>
      <c r="B223" s="199" t="str">
        <f>+_xlfn.MAXIFS([1]Datos!$H:$H,[1]Datos!$B:$B,A223)</f>
        <v>#ERROR!</v>
      </c>
      <c r="C223" s="199" t="s">
        <v>579</v>
      </c>
      <c r="D223" s="199">
        <f t="shared" si="1"/>
        <v>14</v>
      </c>
      <c r="E223" s="199" t="s">
        <v>580</v>
      </c>
    </row>
    <row r="224" ht="14.25" customHeight="1">
      <c r="A224" s="199">
        <v>1161.0</v>
      </c>
      <c r="B224" s="199" t="str">
        <f>+_xlfn.MAXIFS([1]Datos!$H:$H,[1]Datos!$B:$B,A224)</f>
        <v>#ERROR!</v>
      </c>
      <c r="C224" s="199" t="s">
        <v>581</v>
      </c>
      <c r="D224" s="199">
        <f t="shared" si="1"/>
        <v>14</v>
      </c>
      <c r="E224" s="199" t="s">
        <v>582</v>
      </c>
    </row>
    <row r="225" ht="14.25" customHeight="1">
      <c r="A225" s="199">
        <v>1163.0</v>
      </c>
      <c r="B225" s="199" t="str">
        <f>+_xlfn.MAXIFS([1]Datos!$H:$H,[1]Datos!$B:$B,A225)</f>
        <v>#ERROR!</v>
      </c>
      <c r="C225" s="199" t="s">
        <v>583</v>
      </c>
      <c r="D225" s="199">
        <f t="shared" si="1"/>
        <v>14</v>
      </c>
      <c r="E225" s="199" t="s">
        <v>584</v>
      </c>
    </row>
    <row r="226" ht="14.25" customHeight="1">
      <c r="A226" s="199">
        <v>1164.0</v>
      </c>
      <c r="B226" s="199" t="str">
        <f>+_xlfn.MAXIFS([1]Datos!$H:$H,[1]Datos!$B:$B,A226)</f>
        <v>#ERROR!</v>
      </c>
      <c r="C226" s="199" t="s">
        <v>585</v>
      </c>
      <c r="D226" s="199">
        <f t="shared" si="1"/>
        <v>14</v>
      </c>
      <c r="E226" s="199" t="s">
        <v>586</v>
      </c>
    </row>
    <row r="227" ht="14.25" customHeight="1">
      <c r="A227" s="199">
        <v>1165.0</v>
      </c>
      <c r="B227" s="199" t="str">
        <f>+_xlfn.MAXIFS([1]Datos!$H:$H,[1]Datos!$B:$B,A227)</f>
        <v>#ERROR!</v>
      </c>
      <c r="C227" s="199" t="s">
        <v>587</v>
      </c>
      <c r="D227" s="199">
        <f t="shared" si="1"/>
        <v>14</v>
      </c>
      <c r="E227" s="199" t="s">
        <v>588</v>
      </c>
    </row>
    <row r="228" ht="14.25" customHeight="1">
      <c r="A228" s="199">
        <v>1166.0</v>
      </c>
      <c r="B228" s="199" t="str">
        <f>+_xlfn.MAXIFS([1]Datos!$H:$H,[1]Datos!$B:$B,A228)</f>
        <v>#ERROR!</v>
      </c>
      <c r="C228" s="199" t="s">
        <v>589</v>
      </c>
      <c r="D228" s="199">
        <f t="shared" si="1"/>
        <v>14</v>
      </c>
      <c r="E228" s="199" t="s">
        <v>590</v>
      </c>
    </row>
    <row r="229" ht="14.25" customHeight="1">
      <c r="A229" s="199">
        <v>1172.0</v>
      </c>
      <c r="B229" s="199" t="str">
        <f>+_xlfn.MAXIFS([1]Datos!$H:$H,[1]Datos!$B:$B,A229)</f>
        <v>#ERROR!</v>
      </c>
      <c r="C229" s="199" t="s">
        <v>591</v>
      </c>
      <c r="D229" s="199">
        <f t="shared" si="1"/>
        <v>14</v>
      </c>
      <c r="E229" s="199" t="s">
        <v>592</v>
      </c>
    </row>
    <row r="230" ht="14.25" customHeight="1">
      <c r="A230" s="199">
        <v>1173.0</v>
      </c>
      <c r="B230" s="199" t="str">
        <f>+_xlfn.MAXIFS([1]Datos!$H:$H,[1]Datos!$B:$B,A230)</f>
        <v>#ERROR!</v>
      </c>
      <c r="C230" s="199" t="s">
        <v>593</v>
      </c>
      <c r="D230" s="199">
        <f t="shared" si="1"/>
        <v>14</v>
      </c>
      <c r="E230" s="199" t="s">
        <v>594</v>
      </c>
    </row>
    <row r="231" ht="14.25" customHeight="1">
      <c r="A231" s="199">
        <v>1174.0</v>
      </c>
      <c r="B231" s="199" t="str">
        <f>+_xlfn.MAXIFS([1]Datos!$H:$H,[1]Datos!$B:$B,A231)</f>
        <v>#ERROR!</v>
      </c>
      <c r="C231" s="199" t="s">
        <v>595</v>
      </c>
      <c r="D231" s="199">
        <f t="shared" si="1"/>
        <v>14</v>
      </c>
      <c r="E231" s="199" t="s">
        <v>596</v>
      </c>
    </row>
    <row r="232" ht="14.25" customHeight="1">
      <c r="A232" s="199">
        <v>1176.0</v>
      </c>
      <c r="B232" s="199" t="str">
        <f>+_xlfn.MAXIFS([1]Datos!$H:$H,[1]Datos!$B:$B,A232)</f>
        <v>#ERROR!</v>
      </c>
      <c r="C232" s="199" t="s">
        <v>597</v>
      </c>
      <c r="D232" s="199">
        <f t="shared" si="1"/>
        <v>14</v>
      </c>
      <c r="E232" s="199" t="s">
        <v>598</v>
      </c>
    </row>
    <row r="233" ht="14.25" customHeight="1">
      <c r="A233" s="199">
        <v>1177.0</v>
      </c>
      <c r="B233" s="199" t="str">
        <f>+_xlfn.MAXIFS([1]Datos!$H:$H,[1]Datos!$B:$B,A233)</f>
        <v>#ERROR!</v>
      </c>
      <c r="C233" s="199" t="s">
        <v>599</v>
      </c>
      <c r="D233" s="199">
        <f t="shared" si="1"/>
        <v>14</v>
      </c>
      <c r="E233" s="199" t="s">
        <v>600</v>
      </c>
    </row>
    <row r="234" ht="14.25" customHeight="1">
      <c r="A234" s="199">
        <v>1178.0</v>
      </c>
      <c r="B234" s="199" t="str">
        <f>+_xlfn.MAXIFS([1]Datos!$H:$H,[1]Datos!$B:$B,A234)</f>
        <v>#ERROR!</v>
      </c>
      <c r="C234" s="199" t="s">
        <v>601</v>
      </c>
      <c r="D234" s="199">
        <f t="shared" si="1"/>
        <v>14</v>
      </c>
      <c r="E234" s="199" t="s">
        <v>602</v>
      </c>
    </row>
    <row r="235" ht="14.25" customHeight="1">
      <c r="A235" s="199">
        <v>1179.0</v>
      </c>
      <c r="B235" s="199" t="str">
        <f>+_xlfn.MAXIFS([1]Datos!$H:$H,[1]Datos!$B:$B,A235)</f>
        <v>#ERROR!</v>
      </c>
      <c r="C235" s="199" t="s">
        <v>603</v>
      </c>
      <c r="D235" s="199">
        <f t="shared" si="1"/>
        <v>14</v>
      </c>
      <c r="E235" s="199" t="s">
        <v>604</v>
      </c>
    </row>
    <row r="236" ht="14.25" customHeight="1">
      <c r="A236" s="199">
        <v>1188.0</v>
      </c>
      <c r="B236" s="199" t="str">
        <f>+_xlfn.MAXIFS([1]Datos!$H:$H,[1]Datos!$B:$B,A236)</f>
        <v>#ERROR!</v>
      </c>
      <c r="C236" s="199" t="s">
        <v>605</v>
      </c>
      <c r="D236" s="199">
        <f t="shared" si="1"/>
        <v>14</v>
      </c>
      <c r="E236" s="199" t="s">
        <v>606</v>
      </c>
    </row>
    <row r="237" ht="14.25" customHeight="1">
      <c r="A237" s="199">
        <v>1190.0</v>
      </c>
      <c r="B237" s="199" t="str">
        <f>+_xlfn.MAXIFS([1]Datos!$H:$H,[1]Datos!$B:$B,A237)</f>
        <v>#ERROR!</v>
      </c>
      <c r="C237" s="199" t="s">
        <v>607</v>
      </c>
      <c r="D237" s="199">
        <f t="shared" si="1"/>
        <v>14</v>
      </c>
      <c r="E237" s="199" t="s">
        <v>608</v>
      </c>
    </row>
    <row r="238" ht="14.25" customHeight="1">
      <c r="A238" s="199">
        <v>1192.0</v>
      </c>
      <c r="B238" s="199" t="str">
        <f>+_xlfn.MAXIFS([1]Datos!$H:$H,[1]Datos!$B:$B,A238)</f>
        <v>#ERROR!</v>
      </c>
      <c r="C238" s="199" t="s">
        <v>609</v>
      </c>
      <c r="D238" s="199">
        <f t="shared" si="1"/>
        <v>14</v>
      </c>
      <c r="E238" s="199" t="s">
        <v>610</v>
      </c>
    </row>
    <row r="239" ht="14.25" customHeight="1">
      <c r="A239" s="199">
        <v>1196.0</v>
      </c>
      <c r="B239" s="199" t="str">
        <f>+_xlfn.MAXIFS([1]Datos!$H:$H,[1]Datos!$B:$B,A239)</f>
        <v>#ERROR!</v>
      </c>
      <c r="C239" s="199" t="s">
        <v>611</v>
      </c>
      <c r="D239" s="199">
        <f t="shared" si="1"/>
        <v>14</v>
      </c>
      <c r="E239" s="199" t="s">
        <v>612</v>
      </c>
    </row>
    <row r="240" ht="14.25" customHeight="1">
      <c r="A240" s="199">
        <v>1197.0</v>
      </c>
      <c r="B240" s="199" t="str">
        <f>+_xlfn.MAXIFS([1]Datos!$H:$H,[1]Datos!$B:$B,A240)</f>
        <v>#ERROR!</v>
      </c>
      <c r="C240" s="199" t="s">
        <v>613</v>
      </c>
      <c r="D240" s="199">
        <f t="shared" si="1"/>
        <v>14</v>
      </c>
      <c r="E240" s="199" t="s">
        <v>614</v>
      </c>
    </row>
    <row r="241" ht="14.25" customHeight="1">
      <c r="A241" s="199">
        <v>1199.0</v>
      </c>
      <c r="B241" s="199" t="str">
        <f>+_xlfn.MAXIFS([1]Datos!$H:$H,[1]Datos!$B:$B,A241)</f>
        <v>#ERROR!</v>
      </c>
      <c r="C241" s="199" t="s">
        <v>615</v>
      </c>
      <c r="D241" s="199">
        <f t="shared" si="1"/>
        <v>14</v>
      </c>
      <c r="E241" s="199" t="s">
        <v>616</v>
      </c>
    </row>
    <row r="242" ht="14.25" customHeight="1">
      <c r="A242" s="199">
        <v>1201.0</v>
      </c>
      <c r="B242" s="199" t="str">
        <f>+_xlfn.MAXIFS([1]Datos!$H:$H,[1]Datos!$B:$B,A242)</f>
        <v>#ERROR!</v>
      </c>
      <c r="C242" s="199" t="s">
        <v>617</v>
      </c>
      <c r="D242" s="199">
        <f t="shared" si="1"/>
        <v>14</v>
      </c>
      <c r="E242" s="199" t="s">
        <v>618</v>
      </c>
    </row>
    <row r="243" ht="14.25" customHeight="1">
      <c r="A243" s="199">
        <v>1203.0</v>
      </c>
      <c r="B243" s="199" t="str">
        <f>+_xlfn.MAXIFS([1]Datos!$H:$H,[1]Datos!$B:$B,A243)</f>
        <v>#ERROR!</v>
      </c>
      <c r="C243" s="199" t="s">
        <v>619</v>
      </c>
      <c r="D243" s="199">
        <f t="shared" si="1"/>
        <v>14</v>
      </c>
      <c r="E243" s="199" t="s">
        <v>620</v>
      </c>
    </row>
    <row r="244" ht="14.25" customHeight="1">
      <c r="A244" s="199">
        <v>1204.0</v>
      </c>
      <c r="B244" s="199" t="str">
        <f>+_xlfn.MAXIFS([1]Datos!$H:$H,[1]Datos!$B:$B,A244)</f>
        <v>#ERROR!</v>
      </c>
      <c r="C244" s="199" t="s">
        <v>621</v>
      </c>
      <c r="D244" s="199">
        <f t="shared" si="1"/>
        <v>14</v>
      </c>
      <c r="E244" s="199" t="s">
        <v>622</v>
      </c>
    </row>
    <row r="245" ht="14.25" customHeight="1">
      <c r="A245" s="199">
        <v>1206.0</v>
      </c>
      <c r="B245" s="199" t="str">
        <f>+_xlfn.MAXIFS([1]Datos!$H:$H,[1]Datos!$B:$B,A245)</f>
        <v>#ERROR!</v>
      </c>
      <c r="C245" s="199" t="s">
        <v>623</v>
      </c>
      <c r="D245" s="199">
        <f t="shared" si="1"/>
        <v>14</v>
      </c>
      <c r="E245" s="199" t="s">
        <v>624</v>
      </c>
    </row>
    <row r="246" ht="14.25" customHeight="1">
      <c r="A246" s="199">
        <v>1208.0</v>
      </c>
      <c r="B246" s="199" t="str">
        <f>+_xlfn.MAXIFS([1]Datos!$H:$H,[1]Datos!$B:$B,A246)</f>
        <v>#ERROR!</v>
      </c>
      <c r="C246" s="199" t="s">
        <v>625</v>
      </c>
      <c r="D246" s="199">
        <f t="shared" si="1"/>
        <v>14</v>
      </c>
      <c r="E246" s="199" t="s">
        <v>626</v>
      </c>
    </row>
    <row r="247" ht="14.25" customHeight="1">
      <c r="A247" s="199">
        <v>1210.0</v>
      </c>
      <c r="B247" s="199" t="str">
        <f>+_xlfn.MAXIFS([1]Datos!$H:$H,[1]Datos!$B:$B,A247)</f>
        <v>#ERROR!</v>
      </c>
      <c r="C247" s="199" t="s">
        <v>627</v>
      </c>
      <c r="D247" s="199">
        <f t="shared" si="1"/>
        <v>14</v>
      </c>
      <c r="E247" s="199" t="s">
        <v>628</v>
      </c>
    </row>
    <row r="248" ht="14.25" customHeight="1">
      <c r="A248" s="199">
        <v>1212.0</v>
      </c>
      <c r="B248" s="199" t="str">
        <f>+_xlfn.MAXIFS([1]Datos!$H:$H,[1]Datos!$B:$B,A248)</f>
        <v>#ERROR!</v>
      </c>
      <c r="C248" s="199" t="s">
        <v>629</v>
      </c>
      <c r="D248" s="199">
        <f t="shared" si="1"/>
        <v>14</v>
      </c>
      <c r="E248" s="199" t="s">
        <v>630</v>
      </c>
    </row>
    <row r="249" ht="14.25" customHeight="1">
      <c r="A249" s="199">
        <v>1213.0</v>
      </c>
      <c r="B249" s="199" t="str">
        <f>+_xlfn.MAXIFS([1]Datos!$H:$H,[1]Datos!$B:$B,A249)</f>
        <v>#ERROR!</v>
      </c>
      <c r="C249" s="199" t="s">
        <v>631</v>
      </c>
      <c r="D249" s="199">
        <f t="shared" si="1"/>
        <v>14</v>
      </c>
      <c r="E249" s="199" t="s">
        <v>632</v>
      </c>
    </row>
    <row r="250" ht="14.25" customHeight="1">
      <c r="A250" s="199">
        <v>1214.0</v>
      </c>
      <c r="B250" s="199" t="str">
        <f>+_xlfn.MAXIFS([1]Datos!$H:$H,[1]Datos!$B:$B,A250)</f>
        <v>#ERROR!</v>
      </c>
      <c r="C250" s="199" t="s">
        <v>633</v>
      </c>
      <c r="D250" s="199">
        <f t="shared" si="1"/>
        <v>14</v>
      </c>
      <c r="E250" s="199" t="s">
        <v>634</v>
      </c>
    </row>
    <row r="251" ht="14.25" customHeight="1">
      <c r="A251" s="199">
        <v>1217.0</v>
      </c>
      <c r="B251" s="199" t="str">
        <f>+_xlfn.MAXIFS([1]Datos!$H:$H,[1]Datos!$B:$B,A251)</f>
        <v>#ERROR!</v>
      </c>
      <c r="C251" s="199" t="s">
        <v>635</v>
      </c>
      <c r="D251" s="199">
        <f t="shared" si="1"/>
        <v>14</v>
      </c>
      <c r="E251" s="199" t="s">
        <v>636</v>
      </c>
    </row>
    <row r="252" ht="14.25" customHeight="1">
      <c r="A252" s="199">
        <v>1218.0</v>
      </c>
      <c r="B252" s="199" t="str">
        <f>+_xlfn.MAXIFS([1]Datos!$H:$H,[1]Datos!$B:$B,A252)</f>
        <v>#ERROR!</v>
      </c>
      <c r="C252" s="199" t="s">
        <v>637</v>
      </c>
      <c r="D252" s="199">
        <f t="shared" si="1"/>
        <v>14</v>
      </c>
      <c r="E252" s="199" t="s">
        <v>638</v>
      </c>
    </row>
    <row r="253" ht="14.25" customHeight="1">
      <c r="A253" s="199">
        <v>1220.0</v>
      </c>
      <c r="B253" s="199" t="str">
        <f>+_xlfn.MAXIFS([1]Datos!$H:$H,[1]Datos!$B:$B,A253)</f>
        <v>#ERROR!</v>
      </c>
      <c r="C253" s="199" t="s">
        <v>639</v>
      </c>
      <c r="D253" s="199">
        <f t="shared" si="1"/>
        <v>14</v>
      </c>
      <c r="E253" s="199" t="s">
        <v>640</v>
      </c>
    </row>
    <row r="254" ht="14.25" customHeight="1">
      <c r="A254" s="199">
        <v>1221.0</v>
      </c>
      <c r="B254" s="199" t="str">
        <f>+_xlfn.MAXIFS([1]Datos!$H:$H,[1]Datos!$B:$B,A254)</f>
        <v>#ERROR!</v>
      </c>
      <c r="C254" s="199" t="s">
        <v>641</v>
      </c>
      <c r="D254" s="199">
        <f t="shared" si="1"/>
        <v>14</v>
      </c>
      <c r="E254" s="199" t="s">
        <v>642</v>
      </c>
    </row>
    <row r="255" ht="14.25" customHeight="1">
      <c r="A255" s="199">
        <v>1223.0</v>
      </c>
      <c r="B255" s="199" t="str">
        <f>+_xlfn.MAXIFS([1]Datos!$H:$H,[1]Datos!$B:$B,A255)</f>
        <v>#ERROR!</v>
      </c>
      <c r="C255" s="199" t="s">
        <v>643</v>
      </c>
      <c r="D255" s="199">
        <f t="shared" si="1"/>
        <v>14</v>
      </c>
      <c r="E255" s="199" t="s">
        <v>644</v>
      </c>
    </row>
    <row r="256" ht="14.25" customHeight="1">
      <c r="A256" s="199">
        <v>1226.0</v>
      </c>
      <c r="B256" s="199" t="str">
        <f>+_xlfn.MAXIFS([1]Datos!$H:$H,[1]Datos!$B:$B,A256)</f>
        <v>#ERROR!</v>
      </c>
      <c r="C256" s="199" t="s">
        <v>645</v>
      </c>
      <c r="D256" s="199">
        <f t="shared" si="1"/>
        <v>14</v>
      </c>
      <c r="E256" s="199" t="s">
        <v>646</v>
      </c>
    </row>
    <row r="257" ht="14.25" customHeight="1">
      <c r="A257" s="199">
        <v>1229.0</v>
      </c>
      <c r="B257" s="199" t="str">
        <f>+_xlfn.MAXIFS([1]Datos!$H:$H,[1]Datos!$B:$B,A257)</f>
        <v>#ERROR!</v>
      </c>
      <c r="C257" s="199" t="s">
        <v>647</v>
      </c>
      <c r="D257" s="199">
        <f t="shared" si="1"/>
        <v>14</v>
      </c>
      <c r="E257" s="199" t="s">
        <v>648</v>
      </c>
    </row>
    <row r="258" ht="14.25" customHeight="1">
      <c r="A258" s="199">
        <v>1231.0</v>
      </c>
      <c r="B258" s="199" t="str">
        <f>+_xlfn.MAXIFS([1]Datos!$H:$H,[1]Datos!$B:$B,A258)</f>
        <v>#ERROR!</v>
      </c>
      <c r="C258" s="199" t="s">
        <v>649</v>
      </c>
      <c r="D258" s="199">
        <f t="shared" si="1"/>
        <v>14</v>
      </c>
      <c r="E258" s="199" t="s">
        <v>650</v>
      </c>
    </row>
    <row r="259" ht="14.25" customHeight="1">
      <c r="A259" s="199">
        <v>1232.0</v>
      </c>
      <c r="B259" s="199" t="str">
        <f>+_xlfn.MAXIFS([1]Datos!$H:$H,[1]Datos!$B:$B,A259)</f>
        <v>#ERROR!</v>
      </c>
      <c r="C259" s="199" t="s">
        <v>651</v>
      </c>
      <c r="D259" s="199">
        <f t="shared" si="1"/>
        <v>14</v>
      </c>
      <c r="E259" s="199" t="s">
        <v>652</v>
      </c>
    </row>
    <row r="260" ht="14.25" customHeight="1">
      <c r="A260" s="199">
        <v>1233.0</v>
      </c>
      <c r="B260" s="199" t="str">
        <f>+_xlfn.MAXIFS([1]Datos!$H:$H,[1]Datos!$B:$B,A260)</f>
        <v>#ERROR!</v>
      </c>
      <c r="C260" s="199" t="s">
        <v>653</v>
      </c>
      <c r="D260" s="199">
        <f t="shared" si="1"/>
        <v>14</v>
      </c>
      <c r="E260" s="199" t="s">
        <v>654</v>
      </c>
    </row>
    <row r="261" ht="14.25" customHeight="1">
      <c r="A261" s="199">
        <v>1235.0</v>
      </c>
      <c r="B261" s="199" t="str">
        <f>+_xlfn.MAXIFS([1]Datos!$H:$H,[1]Datos!$B:$B,A261)</f>
        <v>#ERROR!</v>
      </c>
      <c r="C261" s="199" t="s">
        <v>655</v>
      </c>
      <c r="D261" s="199">
        <f t="shared" si="1"/>
        <v>14</v>
      </c>
      <c r="E261" s="199" t="s">
        <v>656</v>
      </c>
    </row>
    <row r="262" ht="14.25" customHeight="1">
      <c r="A262" s="199">
        <v>1236.0</v>
      </c>
      <c r="B262" s="199" t="str">
        <f>+_xlfn.MAXIFS([1]Datos!$H:$H,[1]Datos!$B:$B,A262)</f>
        <v>#ERROR!</v>
      </c>
      <c r="C262" s="199" t="s">
        <v>657</v>
      </c>
      <c r="D262" s="199">
        <f t="shared" si="1"/>
        <v>14</v>
      </c>
      <c r="E262" s="199" t="s">
        <v>658</v>
      </c>
    </row>
    <row r="263" ht="14.25" customHeight="1">
      <c r="A263" s="199">
        <v>1237.0</v>
      </c>
      <c r="B263" s="199" t="str">
        <f>+_xlfn.MAXIFS([1]Datos!$H:$H,[1]Datos!$B:$B,A263)</f>
        <v>#ERROR!</v>
      </c>
      <c r="C263" s="199" t="s">
        <v>659</v>
      </c>
      <c r="D263" s="199">
        <f t="shared" si="1"/>
        <v>14</v>
      </c>
      <c r="E263" s="199" t="s">
        <v>660</v>
      </c>
    </row>
    <row r="264" ht="14.25" customHeight="1">
      <c r="A264" s="199">
        <v>1238.0</v>
      </c>
      <c r="B264" s="199" t="str">
        <f>+_xlfn.MAXIFS([1]Datos!$H:$H,[1]Datos!$B:$B,A264)</f>
        <v>#ERROR!</v>
      </c>
      <c r="C264" s="199" t="s">
        <v>661</v>
      </c>
      <c r="D264" s="199">
        <f t="shared" si="1"/>
        <v>14</v>
      </c>
      <c r="E264" s="199" t="s">
        <v>662</v>
      </c>
    </row>
    <row r="265" ht="14.25" customHeight="1">
      <c r="A265" s="199">
        <v>1239.0</v>
      </c>
      <c r="B265" s="199" t="str">
        <f>+_xlfn.MAXIFS([1]Datos!$H:$H,[1]Datos!$B:$B,A265)</f>
        <v>#ERROR!</v>
      </c>
      <c r="C265" s="199" t="s">
        <v>663</v>
      </c>
      <c r="D265" s="199">
        <f t="shared" si="1"/>
        <v>14</v>
      </c>
      <c r="E265" s="199" t="s">
        <v>664</v>
      </c>
    </row>
    <row r="266" ht="14.25" customHeight="1">
      <c r="A266" s="199">
        <v>1240.0</v>
      </c>
      <c r="B266" s="199" t="str">
        <f>+_xlfn.MAXIFS([1]Datos!$H:$H,[1]Datos!$B:$B,A266)</f>
        <v>#ERROR!</v>
      </c>
      <c r="C266" s="199" t="s">
        <v>97</v>
      </c>
      <c r="D266" s="199">
        <f t="shared" si="1"/>
        <v>14</v>
      </c>
      <c r="E266" s="199" t="s">
        <v>665</v>
      </c>
    </row>
    <row r="267" ht="14.25" customHeight="1">
      <c r="A267" s="199">
        <v>1241.0</v>
      </c>
      <c r="B267" s="199" t="str">
        <f>+_xlfn.MAXIFS([1]Datos!$H:$H,[1]Datos!$B:$B,A267)</f>
        <v>#ERROR!</v>
      </c>
      <c r="C267" s="199" t="s">
        <v>666</v>
      </c>
      <c r="D267" s="199">
        <f t="shared" si="1"/>
        <v>14</v>
      </c>
      <c r="E267" s="199" t="s">
        <v>667</v>
      </c>
    </row>
    <row r="268" ht="14.25" customHeight="1">
      <c r="A268" s="199">
        <v>1242.0</v>
      </c>
      <c r="B268" s="199" t="str">
        <f>+_xlfn.MAXIFS([1]Datos!$H:$H,[1]Datos!$B:$B,A268)</f>
        <v>#ERROR!</v>
      </c>
      <c r="C268" s="199" t="s">
        <v>668</v>
      </c>
      <c r="D268" s="199">
        <f t="shared" si="1"/>
        <v>14</v>
      </c>
      <c r="E268" s="199" t="s">
        <v>669</v>
      </c>
    </row>
    <row r="269" ht="14.25" customHeight="1">
      <c r="A269" s="199">
        <v>1243.0</v>
      </c>
      <c r="B269" s="199" t="str">
        <f>+_xlfn.MAXIFS([1]Datos!$H:$H,[1]Datos!$B:$B,A269)</f>
        <v>#ERROR!</v>
      </c>
      <c r="C269" s="199" t="s">
        <v>670</v>
      </c>
      <c r="D269" s="199">
        <f t="shared" si="1"/>
        <v>14</v>
      </c>
      <c r="E269" s="199" t="s">
        <v>671</v>
      </c>
    </row>
    <row r="270" ht="14.25" customHeight="1">
      <c r="A270" s="199">
        <v>1244.0</v>
      </c>
      <c r="B270" s="199" t="str">
        <f>+_xlfn.MAXIFS([1]Datos!$H:$H,[1]Datos!$B:$B,A270)</f>
        <v>#ERROR!</v>
      </c>
      <c r="C270" s="199" t="s">
        <v>672</v>
      </c>
      <c r="D270" s="199">
        <f t="shared" si="1"/>
        <v>14</v>
      </c>
      <c r="E270" s="199" t="s">
        <v>673</v>
      </c>
    </row>
    <row r="271" ht="14.25" customHeight="1">
      <c r="A271" s="199">
        <v>1245.0</v>
      </c>
      <c r="B271" s="199" t="str">
        <f>+_xlfn.MAXIFS([1]Datos!$H:$H,[1]Datos!$B:$B,A271)</f>
        <v>#ERROR!</v>
      </c>
      <c r="C271" s="199" t="s">
        <v>674</v>
      </c>
      <c r="D271" s="199">
        <f t="shared" si="1"/>
        <v>14</v>
      </c>
      <c r="E271" s="199" t="s">
        <v>675</v>
      </c>
    </row>
    <row r="272" ht="14.25" customHeight="1">
      <c r="A272" s="199">
        <v>1246.0</v>
      </c>
      <c r="B272" s="199" t="str">
        <f>+_xlfn.MAXIFS([1]Datos!$H:$H,[1]Datos!$B:$B,A272)</f>
        <v>#ERROR!</v>
      </c>
      <c r="C272" s="199" t="s">
        <v>676</v>
      </c>
      <c r="D272" s="199">
        <f t="shared" si="1"/>
        <v>14</v>
      </c>
      <c r="E272" s="199" t="s">
        <v>677</v>
      </c>
    </row>
    <row r="273" ht="14.25" customHeight="1">
      <c r="A273" s="199">
        <v>1247.0</v>
      </c>
      <c r="B273" s="199" t="str">
        <f>+_xlfn.MAXIFS([1]Datos!$H:$H,[1]Datos!$B:$B,A273)</f>
        <v>#ERROR!</v>
      </c>
      <c r="C273" s="199" t="s">
        <v>678</v>
      </c>
      <c r="D273" s="199">
        <f t="shared" si="1"/>
        <v>14</v>
      </c>
      <c r="E273" s="199" t="s">
        <v>679</v>
      </c>
    </row>
    <row r="274" ht="14.25" customHeight="1">
      <c r="A274" s="199">
        <v>1250.0</v>
      </c>
      <c r="B274" s="199" t="str">
        <f>+_xlfn.MAXIFS([1]Datos!$H:$H,[1]Datos!$B:$B,A274)</f>
        <v>#ERROR!</v>
      </c>
      <c r="C274" s="199" t="s">
        <v>680</v>
      </c>
      <c r="D274" s="199">
        <f t="shared" si="1"/>
        <v>14</v>
      </c>
      <c r="E274" s="199" t="s">
        <v>681</v>
      </c>
    </row>
    <row r="275" ht="14.25" customHeight="1">
      <c r="A275" s="199">
        <v>1252.0</v>
      </c>
      <c r="B275" s="199" t="str">
        <f>+_xlfn.MAXIFS([1]Datos!$H:$H,[1]Datos!$B:$B,A275)</f>
        <v>#ERROR!</v>
      </c>
      <c r="C275" s="199" t="s">
        <v>682</v>
      </c>
      <c r="D275" s="199">
        <f t="shared" si="1"/>
        <v>14</v>
      </c>
      <c r="E275" s="199" t="s">
        <v>683</v>
      </c>
    </row>
    <row r="276" ht="14.25" customHeight="1">
      <c r="A276" s="199">
        <v>1253.0</v>
      </c>
      <c r="B276" s="199" t="str">
        <f>+_xlfn.MAXIFS([1]Datos!$H:$H,[1]Datos!$B:$B,A276)</f>
        <v>#ERROR!</v>
      </c>
      <c r="C276" s="199" t="s">
        <v>684</v>
      </c>
      <c r="D276" s="199">
        <f t="shared" si="1"/>
        <v>14</v>
      </c>
      <c r="E276" s="199" t="s">
        <v>685</v>
      </c>
    </row>
    <row r="277" ht="14.25" customHeight="1">
      <c r="A277" s="199">
        <v>1254.0</v>
      </c>
      <c r="B277" s="199" t="str">
        <f>+_xlfn.MAXIFS([1]Datos!$H:$H,[1]Datos!$B:$B,A277)</f>
        <v>#ERROR!</v>
      </c>
      <c r="C277" s="199" t="s">
        <v>686</v>
      </c>
      <c r="D277" s="199">
        <f t="shared" si="1"/>
        <v>14</v>
      </c>
      <c r="E277" s="199" t="s">
        <v>687</v>
      </c>
    </row>
    <row r="278" ht="14.25" customHeight="1">
      <c r="A278" s="199">
        <v>1211.0</v>
      </c>
      <c r="B278" s="199" t="str">
        <f>+_xlfn.MAXIFS([1]Datos!$H:$H,[1]Datos!$B:$B,A278)</f>
        <v>#ERROR!</v>
      </c>
      <c r="C278" s="199" t="s">
        <v>688</v>
      </c>
      <c r="D278" s="199">
        <f t="shared" si="1"/>
        <v>14</v>
      </c>
      <c r="E278" s="199" t="s">
        <v>689</v>
      </c>
    </row>
    <row r="279" ht="14.25" customHeight="1">
      <c r="A279" s="199">
        <v>1258.0</v>
      </c>
      <c r="B279" s="199" t="str">
        <f>+_xlfn.MAXIFS([1]Datos!$H:$H,[1]Datos!$B:$B,A279)</f>
        <v>#ERROR!</v>
      </c>
      <c r="C279" s="199" t="s">
        <v>690</v>
      </c>
      <c r="D279" s="199">
        <f t="shared" si="1"/>
        <v>14</v>
      </c>
      <c r="E279" s="199" t="s">
        <v>691</v>
      </c>
    </row>
    <row r="280" ht="14.25" customHeight="1">
      <c r="A280" s="199">
        <v>1259.0</v>
      </c>
      <c r="B280" s="199" t="str">
        <f>+_xlfn.MAXIFS([1]Datos!$H:$H,[1]Datos!$B:$B,A280)</f>
        <v>#ERROR!</v>
      </c>
      <c r="C280" s="199" t="s">
        <v>692</v>
      </c>
      <c r="D280" s="199">
        <f t="shared" si="1"/>
        <v>14</v>
      </c>
      <c r="E280" s="199" t="s">
        <v>693</v>
      </c>
    </row>
    <row r="281" ht="14.25" customHeight="1">
      <c r="A281" s="199">
        <v>1260.0</v>
      </c>
      <c r="B281" s="199" t="str">
        <f>+_xlfn.MAXIFS([1]Datos!$H:$H,[1]Datos!$B:$B,A281)</f>
        <v>#ERROR!</v>
      </c>
      <c r="C281" s="199" t="s">
        <v>694</v>
      </c>
      <c r="D281" s="199">
        <f t="shared" si="1"/>
        <v>14</v>
      </c>
      <c r="E281" s="199" t="s">
        <v>695</v>
      </c>
    </row>
    <row r="282" ht="14.25" customHeight="1">
      <c r="A282" s="199">
        <v>1261.0</v>
      </c>
      <c r="B282" s="199" t="str">
        <f>+_xlfn.MAXIFS([1]Datos!$H:$H,[1]Datos!$B:$B,A282)</f>
        <v>#ERROR!</v>
      </c>
      <c r="C282" s="199" t="s">
        <v>696</v>
      </c>
      <c r="D282" s="199">
        <f t="shared" si="1"/>
        <v>14</v>
      </c>
      <c r="E282" s="199" t="s">
        <v>697</v>
      </c>
    </row>
    <row r="283" ht="14.25" customHeight="1">
      <c r="A283" s="199">
        <v>1263.0</v>
      </c>
      <c r="B283" s="199" t="str">
        <f>+_xlfn.MAXIFS([1]Datos!$H:$H,[1]Datos!$B:$B,A283)</f>
        <v>#ERROR!</v>
      </c>
      <c r="C283" s="199" t="s">
        <v>698</v>
      </c>
      <c r="D283" s="199">
        <f t="shared" si="1"/>
        <v>14</v>
      </c>
      <c r="E283" s="199" t="s">
        <v>699</v>
      </c>
    </row>
    <row r="284" ht="14.25" customHeight="1">
      <c r="A284" s="199">
        <v>1264.0</v>
      </c>
      <c r="B284" s="199" t="str">
        <f>+_xlfn.MAXIFS([1]Datos!$H:$H,[1]Datos!$B:$B,A284)</f>
        <v>#ERROR!</v>
      </c>
      <c r="C284" s="199" t="s">
        <v>700</v>
      </c>
      <c r="D284" s="199">
        <f t="shared" si="1"/>
        <v>14</v>
      </c>
      <c r="E284" s="199" t="s">
        <v>701</v>
      </c>
    </row>
    <row r="285" ht="14.25" customHeight="1">
      <c r="A285" s="199">
        <v>1265.0</v>
      </c>
      <c r="B285" s="199" t="str">
        <f>+_xlfn.MAXIFS([1]Datos!$H:$H,[1]Datos!$B:$B,A285)</f>
        <v>#ERROR!</v>
      </c>
      <c r="C285" s="199" t="s">
        <v>702</v>
      </c>
      <c r="D285" s="199">
        <f t="shared" si="1"/>
        <v>14</v>
      </c>
      <c r="E285" s="199" t="s">
        <v>703</v>
      </c>
    </row>
    <row r="286" ht="14.25" customHeight="1">
      <c r="A286" s="199">
        <v>1266.0</v>
      </c>
      <c r="B286" s="199" t="str">
        <f>+_xlfn.MAXIFS([1]Datos!$H:$H,[1]Datos!$B:$B,A286)</f>
        <v>#ERROR!</v>
      </c>
      <c r="C286" s="199" t="s">
        <v>704</v>
      </c>
      <c r="D286" s="199">
        <f t="shared" si="1"/>
        <v>14</v>
      </c>
      <c r="E286" s="199" t="s">
        <v>705</v>
      </c>
    </row>
    <row r="287" ht="14.25" customHeight="1">
      <c r="A287" s="199">
        <v>1267.0</v>
      </c>
      <c r="B287" s="199" t="str">
        <f>+_xlfn.MAXIFS([1]Datos!$H:$H,[1]Datos!$B:$B,A287)</f>
        <v>#ERROR!</v>
      </c>
      <c r="C287" s="199" t="s">
        <v>706</v>
      </c>
      <c r="D287" s="199">
        <f t="shared" si="1"/>
        <v>14</v>
      </c>
      <c r="E287" s="199" t="s">
        <v>707</v>
      </c>
    </row>
    <row r="288" ht="14.25" customHeight="1">
      <c r="A288" s="199">
        <v>1268.0</v>
      </c>
      <c r="B288" s="199" t="str">
        <f>+_xlfn.MAXIFS([1]Datos!$H:$H,[1]Datos!$B:$B,A288)</f>
        <v>#ERROR!</v>
      </c>
      <c r="C288" s="199" t="s">
        <v>708</v>
      </c>
      <c r="D288" s="199">
        <f t="shared" si="1"/>
        <v>14</v>
      </c>
      <c r="E288" s="199" t="s">
        <v>709</v>
      </c>
    </row>
    <row r="289" ht="14.25" customHeight="1">
      <c r="A289" s="199">
        <v>1269.0</v>
      </c>
      <c r="B289" s="199" t="str">
        <f>+_xlfn.MAXIFS([1]Datos!$H:$H,[1]Datos!$B:$B,A289)</f>
        <v>#ERROR!</v>
      </c>
      <c r="C289" s="199" t="s">
        <v>710</v>
      </c>
      <c r="D289" s="199">
        <f t="shared" si="1"/>
        <v>14</v>
      </c>
      <c r="E289" s="199" t="s">
        <v>711</v>
      </c>
    </row>
    <row r="290" ht="14.25" customHeight="1">
      <c r="A290" s="199">
        <v>1270.0</v>
      </c>
      <c r="B290" s="199" t="str">
        <f>+_xlfn.MAXIFS([1]Datos!$H:$H,[1]Datos!$B:$B,A290)</f>
        <v>#ERROR!</v>
      </c>
      <c r="C290" s="199" t="s">
        <v>712</v>
      </c>
      <c r="D290" s="199">
        <f t="shared" si="1"/>
        <v>14</v>
      </c>
      <c r="E290" s="199" t="s">
        <v>713</v>
      </c>
    </row>
    <row r="291" ht="14.25" customHeight="1">
      <c r="A291" s="199">
        <v>1271.0</v>
      </c>
      <c r="B291" s="199" t="str">
        <f>+_xlfn.MAXIFS([1]Datos!$H:$H,[1]Datos!$B:$B,A291)</f>
        <v>#ERROR!</v>
      </c>
      <c r="C291" s="199" t="s">
        <v>714</v>
      </c>
      <c r="D291" s="199">
        <f t="shared" si="1"/>
        <v>14</v>
      </c>
      <c r="E291" s="199" t="s">
        <v>715</v>
      </c>
    </row>
    <row r="292" ht="14.25" customHeight="1">
      <c r="A292" s="199">
        <v>1272.0</v>
      </c>
      <c r="B292" s="199" t="str">
        <f>+_xlfn.MAXIFS([1]Datos!$H:$H,[1]Datos!$B:$B,A292)</f>
        <v>#ERROR!</v>
      </c>
      <c r="C292" s="199" t="s">
        <v>716</v>
      </c>
      <c r="D292" s="199">
        <f t="shared" si="1"/>
        <v>14</v>
      </c>
      <c r="E292" s="199" t="s">
        <v>717</v>
      </c>
    </row>
    <row r="293" ht="14.25" customHeight="1">
      <c r="A293" s="199">
        <v>1274.0</v>
      </c>
      <c r="B293" s="199" t="str">
        <f>+_xlfn.MAXIFS([1]Datos!$H:$H,[1]Datos!$B:$B,A293)</f>
        <v>#ERROR!</v>
      </c>
      <c r="C293" s="199" t="s">
        <v>718</v>
      </c>
      <c r="D293" s="199">
        <f t="shared" si="1"/>
        <v>14</v>
      </c>
      <c r="E293" s="199" t="s">
        <v>719</v>
      </c>
    </row>
    <row r="294" ht="14.25" customHeight="1">
      <c r="A294" s="199">
        <v>1275.0</v>
      </c>
      <c r="B294" s="199" t="str">
        <f>+_xlfn.MAXIFS([1]Datos!$H:$H,[1]Datos!$B:$B,A294)</f>
        <v>#ERROR!</v>
      </c>
      <c r="C294" s="199" t="s">
        <v>720</v>
      </c>
      <c r="D294" s="199">
        <f t="shared" si="1"/>
        <v>14</v>
      </c>
      <c r="E294" s="199" t="s">
        <v>721</v>
      </c>
    </row>
    <row r="295" ht="14.25" customHeight="1">
      <c r="A295" s="199">
        <v>1276.0</v>
      </c>
      <c r="B295" s="199" t="str">
        <f>+_xlfn.MAXIFS([1]Datos!$H:$H,[1]Datos!$B:$B,A295)</f>
        <v>#ERROR!</v>
      </c>
      <c r="C295" s="199" t="s">
        <v>722</v>
      </c>
      <c r="D295" s="199">
        <f t="shared" si="1"/>
        <v>14</v>
      </c>
      <c r="E295" s="199" t="s">
        <v>723</v>
      </c>
    </row>
    <row r="296" ht="14.25" customHeight="1">
      <c r="A296" s="199">
        <v>1278.0</v>
      </c>
      <c r="B296" s="199" t="str">
        <f>+_xlfn.MAXIFS([1]Datos!$H:$H,[1]Datos!$B:$B,A296)</f>
        <v>#ERROR!</v>
      </c>
      <c r="C296" s="199" t="s">
        <v>724</v>
      </c>
      <c r="D296" s="199">
        <f t="shared" si="1"/>
        <v>14</v>
      </c>
      <c r="E296" s="199" t="s">
        <v>725</v>
      </c>
    </row>
    <row r="297" ht="14.25" customHeight="1">
      <c r="A297" s="199">
        <v>1279.0</v>
      </c>
      <c r="B297" s="199" t="str">
        <f>+_xlfn.MAXIFS([1]Datos!$H:$H,[1]Datos!$B:$B,A297)</f>
        <v>#ERROR!</v>
      </c>
      <c r="C297" s="199" t="s">
        <v>726</v>
      </c>
      <c r="D297" s="199">
        <f t="shared" si="1"/>
        <v>14</v>
      </c>
      <c r="E297" s="199" t="s">
        <v>727</v>
      </c>
    </row>
    <row r="298" ht="14.25" customHeight="1">
      <c r="A298" s="199">
        <v>1280.0</v>
      </c>
      <c r="B298" s="199" t="str">
        <f>+_xlfn.MAXIFS([1]Datos!$H:$H,[1]Datos!$B:$B,A298)</f>
        <v>#ERROR!</v>
      </c>
      <c r="C298" s="199" t="s">
        <v>728</v>
      </c>
      <c r="D298" s="199">
        <f t="shared" si="1"/>
        <v>14</v>
      </c>
      <c r="E298" s="199" t="s">
        <v>729</v>
      </c>
    </row>
    <row r="299" ht="14.25" customHeight="1">
      <c r="A299" s="199">
        <v>1281.0</v>
      </c>
      <c r="B299" s="199" t="str">
        <f>+_xlfn.MAXIFS([1]Datos!$H:$H,[1]Datos!$B:$B,A299)</f>
        <v>#ERROR!</v>
      </c>
      <c r="C299" s="199" t="s">
        <v>730</v>
      </c>
      <c r="D299" s="199">
        <f t="shared" si="1"/>
        <v>14</v>
      </c>
      <c r="E299" s="199" t="s">
        <v>731</v>
      </c>
    </row>
    <row r="300" ht="14.25" customHeight="1">
      <c r="A300" s="199">
        <v>1282.0</v>
      </c>
      <c r="B300" s="199" t="str">
        <f>+_xlfn.MAXIFS([1]Datos!$H:$H,[1]Datos!$B:$B,A300)</f>
        <v>#ERROR!</v>
      </c>
      <c r="C300" s="199" t="s">
        <v>732</v>
      </c>
      <c r="D300" s="199">
        <f t="shared" si="1"/>
        <v>14</v>
      </c>
      <c r="E300" s="199" t="s">
        <v>733</v>
      </c>
    </row>
    <row r="301" ht="14.25" customHeight="1">
      <c r="A301" s="199">
        <v>1283.0</v>
      </c>
      <c r="B301" s="199" t="str">
        <f>+_xlfn.MAXIFS([1]Datos!$H:$H,[1]Datos!$B:$B,A301)</f>
        <v>#ERROR!</v>
      </c>
      <c r="C301" s="199" t="s">
        <v>734</v>
      </c>
      <c r="D301" s="199">
        <f t="shared" si="1"/>
        <v>14</v>
      </c>
      <c r="E301" s="199" t="s">
        <v>735</v>
      </c>
    </row>
    <row r="302" ht="14.25" customHeight="1">
      <c r="A302" s="199">
        <v>1284.0</v>
      </c>
      <c r="B302" s="199" t="str">
        <f>+_xlfn.MAXIFS([1]Datos!$H:$H,[1]Datos!$B:$B,A302)</f>
        <v>#ERROR!</v>
      </c>
      <c r="C302" s="199" t="s">
        <v>736</v>
      </c>
      <c r="D302" s="199">
        <f t="shared" si="1"/>
        <v>14</v>
      </c>
      <c r="E302" s="199" t="s">
        <v>737</v>
      </c>
    </row>
    <row r="303" ht="14.25" customHeight="1">
      <c r="A303" s="199">
        <v>1285.0</v>
      </c>
      <c r="B303" s="199" t="str">
        <f>+_xlfn.MAXIFS([1]Datos!$H:$H,[1]Datos!$B:$B,A303)</f>
        <v>#ERROR!</v>
      </c>
      <c r="C303" s="199" t="s">
        <v>738</v>
      </c>
      <c r="D303" s="199">
        <f t="shared" si="1"/>
        <v>14</v>
      </c>
      <c r="E303" s="199" t="s">
        <v>739</v>
      </c>
    </row>
    <row r="304" ht="14.25" customHeight="1">
      <c r="A304" s="199">
        <v>1286.0</v>
      </c>
      <c r="B304" s="199" t="str">
        <f>+_xlfn.MAXIFS([1]Datos!$H:$H,[1]Datos!$B:$B,A304)</f>
        <v>#ERROR!</v>
      </c>
      <c r="C304" s="199" t="s">
        <v>740</v>
      </c>
      <c r="D304" s="199">
        <f t="shared" si="1"/>
        <v>14</v>
      </c>
      <c r="E304" s="199" t="s">
        <v>741</v>
      </c>
    </row>
    <row r="305" ht="14.25" customHeight="1">
      <c r="A305" s="199">
        <v>1287.0</v>
      </c>
      <c r="B305" s="199" t="str">
        <f>+_xlfn.MAXIFS([1]Datos!$H:$H,[1]Datos!$B:$B,A305)</f>
        <v>#ERROR!</v>
      </c>
      <c r="C305" s="199" t="s">
        <v>742</v>
      </c>
      <c r="D305" s="199">
        <f t="shared" si="1"/>
        <v>14</v>
      </c>
      <c r="E305" s="199" t="s">
        <v>743</v>
      </c>
    </row>
    <row r="306" ht="14.25" customHeight="1">
      <c r="A306" s="199">
        <v>1288.0</v>
      </c>
      <c r="B306" s="199" t="str">
        <f>+_xlfn.MAXIFS([1]Datos!$H:$H,[1]Datos!$B:$B,A306)</f>
        <v>#ERROR!</v>
      </c>
      <c r="C306" s="199" t="s">
        <v>744</v>
      </c>
      <c r="D306" s="199">
        <f t="shared" si="1"/>
        <v>14</v>
      </c>
      <c r="E306" s="199" t="s">
        <v>745</v>
      </c>
    </row>
    <row r="307" ht="14.25" customHeight="1">
      <c r="A307" s="199">
        <v>1122.0</v>
      </c>
      <c r="B307" s="199" t="str">
        <f>+_xlfn.MAXIFS([1]Datos!$H:$H,[1]Datos!$B:$B,A307)</f>
        <v>#ERROR!</v>
      </c>
      <c r="C307" s="199" t="s">
        <v>746</v>
      </c>
      <c r="D307" s="199">
        <f t="shared" si="1"/>
        <v>14</v>
      </c>
      <c r="E307" s="199" t="s">
        <v>747</v>
      </c>
    </row>
    <row r="308" ht="14.25" customHeight="1">
      <c r="A308" s="199">
        <v>1290.0</v>
      </c>
      <c r="B308" s="199" t="str">
        <f>+_xlfn.MAXIFS([1]Datos!$H:$H,[1]Datos!$B:$B,A308)</f>
        <v>#ERROR!</v>
      </c>
      <c r="C308" s="199" t="s">
        <v>748</v>
      </c>
      <c r="D308" s="199">
        <f t="shared" si="1"/>
        <v>14</v>
      </c>
      <c r="E308" s="199" t="s">
        <v>749</v>
      </c>
    </row>
    <row r="309" ht="14.25" customHeight="1">
      <c r="A309" s="199">
        <v>1375.0</v>
      </c>
      <c r="B309" s="199" t="str">
        <f>+_xlfn.MAXIFS([1]Datos!$H:$H,[1]Datos!$B:$B,A309)</f>
        <v>#ERROR!</v>
      </c>
      <c r="C309" s="199" t="s">
        <v>750</v>
      </c>
      <c r="D309" s="199">
        <f t="shared" si="1"/>
        <v>14</v>
      </c>
      <c r="E309" s="199" t="s">
        <v>751</v>
      </c>
    </row>
    <row r="310" ht="14.25" customHeight="1">
      <c r="A310" s="199">
        <v>1293.0</v>
      </c>
      <c r="B310" s="199" t="str">
        <f>+_xlfn.MAXIFS([1]Datos!$H:$H,[1]Datos!$B:$B,A310)</f>
        <v>#ERROR!</v>
      </c>
      <c r="C310" s="199" t="s">
        <v>752</v>
      </c>
      <c r="D310" s="199">
        <f t="shared" si="1"/>
        <v>14</v>
      </c>
      <c r="E310" s="199" t="s">
        <v>753</v>
      </c>
    </row>
    <row r="311" ht="14.25" customHeight="1">
      <c r="A311" s="199">
        <v>1294.0</v>
      </c>
      <c r="B311" s="199" t="str">
        <f>+_xlfn.MAXIFS([1]Datos!$H:$H,[1]Datos!$B:$B,A311)</f>
        <v>#ERROR!</v>
      </c>
      <c r="C311" s="199" t="s">
        <v>754</v>
      </c>
      <c r="D311" s="199">
        <f t="shared" si="1"/>
        <v>14</v>
      </c>
      <c r="E311" s="199" t="s">
        <v>755</v>
      </c>
    </row>
    <row r="312" ht="14.25" customHeight="1">
      <c r="A312" s="199">
        <v>1296.0</v>
      </c>
      <c r="B312" s="199" t="str">
        <f>+_xlfn.MAXIFS([1]Datos!$H:$H,[1]Datos!$B:$B,A312)</f>
        <v>#ERROR!</v>
      </c>
      <c r="C312" s="199" t="s">
        <v>756</v>
      </c>
      <c r="D312" s="199">
        <f t="shared" si="1"/>
        <v>14</v>
      </c>
      <c r="E312" s="199" t="s">
        <v>757</v>
      </c>
    </row>
    <row r="313" ht="14.25" customHeight="1">
      <c r="A313" s="199">
        <v>1297.0</v>
      </c>
      <c r="B313" s="199" t="str">
        <f>+_xlfn.MAXIFS([1]Datos!$H:$H,[1]Datos!$B:$B,A313)</f>
        <v>#ERROR!</v>
      </c>
      <c r="C313" s="199" t="s">
        <v>758</v>
      </c>
      <c r="D313" s="199">
        <f t="shared" si="1"/>
        <v>14</v>
      </c>
      <c r="E313" s="199" t="s">
        <v>759</v>
      </c>
    </row>
    <row r="314" ht="14.25" customHeight="1">
      <c r="A314" s="199">
        <v>1298.0</v>
      </c>
      <c r="B314" s="199" t="str">
        <f>+_xlfn.MAXIFS([1]Datos!$H:$H,[1]Datos!$B:$B,A314)</f>
        <v>#ERROR!</v>
      </c>
      <c r="C314" s="199" t="s">
        <v>760</v>
      </c>
      <c r="D314" s="199">
        <f t="shared" si="1"/>
        <v>14</v>
      </c>
      <c r="E314" s="199" t="s">
        <v>761</v>
      </c>
    </row>
    <row r="315" ht="14.25" customHeight="1">
      <c r="A315" s="199">
        <v>1299.0</v>
      </c>
      <c r="B315" s="199" t="str">
        <f>+_xlfn.MAXIFS([1]Datos!$H:$H,[1]Datos!$B:$B,A315)</f>
        <v>#ERROR!</v>
      </c>
      <c r="C315" s="199" t="s">
        <v>762</v>
      </c>
      <c r="D315" s="199">
        <f t="shared" si="1"/>
        <v>14</v>
      </c>
      <c r="E315" s="199" t="s">
        <v>763</v>
      </c>
    </row>
    <row r="316" ht="14.25" customHeight="1">
      <c r="A316" s="199">
        <v>1300.0</v>
      </c>
      <c r="B316" s="199" t="str">
        <f>+_xlfn.MAXIFS([1]Datos!$H:$H,[1]Datos!$B:$B,A316)</f>
        <v>#ERROR!</v>
      </c>
      <c r="C316" s="199" t="s">
        <v>764</v>
      </c>
      <c r="D316" s="199">
        <f t="shared" si="1"/>
        <v>14</v>
      </c>
      <c r="E316" s="199" t="s">
        <v>765</v>
      </c>
    </row>
    <row r="317" ht="14.25" customHeight="1">
      <c r="A317" s="199">
        <v>1301.0</v>
      </c>
      <c r="B317" s="199" t="str">
        <f>+_xlfn.MAXIFS([1]Datos!$H:$H,[1]Datos!$B:$B,A317)</f>
        <v>#ERROR!</v>
      </c>
      <c r="C317" s="199" t="s">
        <v>766</v>
      </c>
      <c r="D317" s="199">
        <f t="shared" si="1"/>
        <v>14</v>
      </c>
      <c r="E317" s="199" t="s">
        <v>767</v>
      </c>
    </row>
    <row r="318" ht="14.25" customHeight="1">
      <c r="A318" s="199">
        <v>1302.0</v>
      </c>
      <c r="B318" s="199" t="str">
        <f>+_xlfn.MAXIFS([1]Datos!$H:$H,[1]Datos!$B:$B,A318)</f>
        <v>#ERROR!</v>
      </c>
      <c r="C318" s="199" t="s">
        <v>768</v>
      </c>
      <c r="D318" s="199">
        <f t="shared" si="1"/>
        <v>14</v>
      </c>
      <c r="E318" s="199" t="s">
        <v>769</v>
      </c>
    </row>
    <row r="319" ht="14.25" customHeight="1">
      <c r="A319" s="199">
        <v>1378.0</v>
      </c>
      <c r="B319" s="199" t="str">
        <f>+_xlfn.MAXIFS([1]Datos!$H:$H,[1]Datos!$B:$B,A319)</f>
        <v>#ERROR!</v>
      </c>
      <c r="C319" s="199" t="s">
        <v>770</v>
      </c>
      <c r="D319" s="199">
        <f t="shared" si="1"/>
        <v>14</v>
      </c>
      <c r="E319" s="199" t="s">
        <v>771</v>
      </c>
    </row>
    <row r="320" ht="14.25" customHeight="1">
      <c r="A320" s="199">
        <v>1305.0</v>
      </c>
      <c r="B320" s="199" t="str">
        <f>+_xlfn.MAXIFS([1]Datos!$H:$H,[1]Datos!$B:$B,A320)</f>
        <v>#ERROR!</v>
      </c>
      <c r="C320" s="199" t="s">
        <v>772</v>
      </c>
      <c r="D320" s="199">
        <f t="shared" si="1"/>
        <v>14</v>
      </c>
      <c r="E320" s="199" t="s">
        <v>773</v>
      </c>
    </row>
    <row r="321" ht="14.25" customHeight="1">
      <c r="A321" s="199">
        <v>1306.0</v>
      </c>
      <c r="B321" s="199" t="str">
        <f>+_xlfn.MAXIFS([1]Datos!$H:$H,[1]Datos!$B:$B,A321)</f>
        <v>#ERROR!</v>
      </c>
      <c r="C321" s="199" t="s">
        <v>774</v>
      </c>
      <c r="D321" s="199">
        <f t="shared" si="1"/>
        <v>14</v>
      </c>
      <c r="E321" s="199" t="s">
        <v>775</v>
      </c>
    </row>
    <row r="322" ht="14.25" customHeight="1">
      <c r="A322" s="199">
        <v>1307.0</v>
      </c>
      <c r="B322" s="199" t="str">
        <f>+_xlfn.MAXIFS([1]Datos!$H:$H,[1]Datos!$B:$B,A322)</f>
        <v>#ERROR!</v>
      </c>
      <c r="C322" s="199" t="s">
        <v>776</v>
      </c>
      <c r="D322" s="199">
        <f t="shared" si="1"/>
        <v>14</v>
      </c>
      <c r="E322" s="199" t="s">
        <v>777</v>
      </c>
    </row>
    <row r="323" ht="14.25" customHeight="1">
      <c r="A323" s="199">
        <v>1308.0</v>
      </c>
      <c r="B323" s="199" t="str">
        <f>+_xlfn.MAXIFS([1]Datos!$H:$H,[1]Datos!$B:$B,A323)</f>
        <v>#ERROR!</v>
      </c>
      <c r="C323" s="199" t="s">
        <v>778</v>
      </c>
      <c r="D323" s="199">
        <f t="shared" si="1"/>
        <v>14</v>
      </c>
      <c r="E323" s="199" t="s">
        <v>779</v>
      </c>
    </row>
    <row r="324" ht="14.25" customHeight="1">
      <c r="A324" s="199">
        <v>1309.0</v>
      </c>
      <c r="B324" s="199" t="str">
        <f>+_xlfn.MAXIFS([1]Datos!$H:$H,[1]Datos!$B:$B,A324)</f>
        <v>#ERROR!</v>
      </c>
      <c r="C324" s="199" t="s">
        <v>780</v>
      </c>
      <c r="D324" s="199">
        <f t="shared" si="1"/>
        <v>14</v>
      </c>
      <c r="E324" s="199" t="s">
        <v>781</v>
      </c>
    </row>
    <row r="325" ht="14.25" customHeight="1">
      <c r="A325" s="199">
        <v>1310.0</v>
      </c>
      <c r="B325" s="199" t="str">
        <f>+_xlfn.MAXIFS([1]Datos!$H:$H,[1]Datos!$B:$B,A325)</f>
        <v>#ERROR!</v>
      </c>
      <c r="C325" s="199" t="s">
        <v>782</v>
      </c>
      <c r="D325" s="199">
        <f t="shared" si="1"/>
        <v>14</v>
      </c>
      <c r="E325" s="199" t="s">
        <v>783</v>
      </c>
    </row>
    <row r="326" ht="14.25" customHeight="1">
      <c r="A326" s="199">
        <v>1311.0</v>
      </c>
      <c r="B326" s="199" t="str">
        <f>+_xlfn.MAXIFS([1]Datos!$H:$H,[1]Datos!$B:$B,A326)</f>
        <v>#ERROR!</v>
      </c>
      <c r="C326" s="199" t="s">
        <v>784</v>
      </c>
      <c r="D326" s="199">
        <f t="shared" si="1"/>
        <v>14</v>
      </c>
      <c r="E326" s="199" t="s">
        <v>785</v>
      </c>
    </row>
    <row r="327" ht="14.25" customHeight="1">
      <c r="A327" s="199">
        <v>1312.0</v>
      </c>
      <c r="B327" s="199" t="str">
        <f>+_xlfn.MAXIFS([1]Datos!$H:$H,[1]Datos!$B:$B,A327)</f>
        <v>#ERROR!</v>
      </c>
      <c r="C327" s="199" t="s">
        <v>786</v>
      </c>
      <c r="D327" s="199">
        <f t="shared" si="1"/>
        <v>14</v>
      </c>
      <c r="E327" s="199" t="s">
        <v>787</v>
      </c>
    </row>
    <row r="328" ht="14.25" customHeight="1">
      <c r="A328" s="199">
        <v>1313.0</v>
      </c>
      <c r="B328" s="199" t="str">
        <f>+_xlfn.MAXIFS([1]Datos!$H:$H,[1]Datos!$B:$B,A328)</f>
        <v>#ERROR!</v>
      </c>
      <c r="C328" s="199" t="s">
        <v>788</v>
      </c>
      <c r="D328" s="199">
        <f t="shared" si="1"/>
        <v>14</v>
      </c>
      <c r="E328" s="199" t="s">
        <v>789</v>
      </c>
    </row>
    <row r="329" ht="14.25" customHeight="1">
      <c r="A329" s="199">
        <v>1314.0</v>
      </c>
      <c r="B329" s="199" t="str">
        <f>+_xlfn.MAXIFS([1]Datos!$H:$H,[1]Datos!$B:$B,A329)</f>
        <v>#ERROR!</v>
      </c>
      <c r="C329" s="199" t="s">
        <v>790</v>
      </c>
      <c r="D329" s="199">
        <f t="shared" si="1"/>
        <v>14</v>
      </c>
      <c r="E329" s="199" t="s">
        <v>791</v>
      </c>
    </row>
    <row r="330" ht="14.25" customHeight="1">
      <c r="A330" s="199">
        <v>1315.0</v>
      </c>
      <c r="B330" s="199" t="str">
        <f>+_xlfn.MAXIFS([1]Datos!$H:$H,[1]Datos!$B:$B,A330)</f>
        <v>#ERROR!</v>
      </c>
      <c r="C330" s="199" t="s">
        <v>792</v>
      </c>
      <c r="D330" s="199">
        <f t="shared" si="1"/>
        <v>14</v>
      </c>
      <c r="E330" s="199" t="s">
        <v>793</v>
      </c>
    </row>
    <row r="331" ht="14.25" customHeight="1">
      <c r="A331" s="199">
        <v>1317.0</v>
      </c>
      <c r="B331" s="199" t="str">
        <f>+_xlfn.MAXIFS([1]Datos!$H:$H,[1]Datos!$B:$B,A331)</f>
        <v>#ERROR!</v>
      </c>
      <c r="C331" s="199" t="s">
        <v>794</v>
      </c>
      <c r="D331" s="199">
        <f t="shared" si="1"/>
        <v>14</v>
      </c>
      <c r="E331" s="199" t="s">
        <v>795</v>
      </c>
    </row>
    <row r="332" ht="14.25" customHeight="1">
      <c r="A332" s="199">
        <v>1318.0</v>
      </c>
      <c r="B332" s="199" t="str">
        <f>+_xlfn.MAXIFS([1]Datos!$H:$H,[1]Datos!$B:$B,A332)</f>
        <v>#ERROR!</v>
      </c>
      <c r="C332" s="199" t="s">
        <v>796</v>
      </c>
      <c r="D332" s="199">
        <f t="shared" si="1"/>
        <v>14</v>
      </c>
      <c r="E332" s="199" t="s">
        <v>797</v>
      </c>
    </row>
    <row r="333" ht="14.25" customHeight="1">
      <c r="A333" s="199">
        <v>1319.0</v>
      </c>
      <c r="B333" s="199" t="str">
        <f>+_xlfn.MAXIFS([1]Datos!$H:$H,[1]Datos!$B:$B,A333)</f>
        <v>#ERROR!</v>
      </c>
      <c r="C333" s="199" t="s">
        <v>798</v>
      </c>
      <c r="D333" s="199">
        <f t="shared" si="1"/>
        <v>14</v>
      </c>
      <c r="E333" s="199" t="s">
        <v>799</v>
      </c>
    </row>
    <row r="334" ht="14.25" customHeight="1">
      <c r="A334" s="199">
        <v>1320.0</v>
      </c>
      <c r="B334" s="199" t="str">
        <f>+_xlfn.MAXIFS([1]Datos!$H:$H,[1]Datos!$B:$B,A334)</f>
        <v>#ERROR!</v>
      </c>
      <c r="C334" s="199" t="s">
        <v>800</v>
      </c>
      <c r="D334" s="199">
        <f t="shared" si="1"/>
        <v>14</v>
      </c>
      <c r="E334" s="199" t="s">
        <v>801</v>
      </c>
    </row>
    <row r="335" ht="14.25" customHeight="1">
      <c r="A335" s="199">
        <v>1321.0</v>
      </c>
      <c r="B335" s="199" t="str">
        <f>+_xlfn.MAXIFS([1]Datos!$H:$H,[1]Datos!$B:$B,A335)</f>
        <v>#ERROR!</v>
      </c>
      <c r="C335" s="199" t="s">
        <v>802</v>
      </c>
      <c r="D335" s="199">
        <f t="shared" si="1"/>
        <v>14</v>
      </c>
      <c r="E335" s="199" t="s">
        <v>803</v>
      </c>
    </row>
    <row r="336" ht="14.25" customHeight="1">
      <c r="A336" s="199">
        <v>1322.0</v>
      </c>
      <c r="B336" s="199" t="str">
        <f>+_xlfn.MAXIFS([1]Datos!$H:$H,[1]Datos!$B:$B,A336)</f>
        <v>#ERROR!</v>
      </c>
      <c r="C336" s="199" t="s">
        <v>804</v>
      </c>
      <c r="D336" s="199">
        <f t="shared" si="1"/>
        <v>14</v>
      </c>
      <c r="E336" s="199" t="s">
        <v>805</v>
      </c>
    </row>
    <row r="337" ht="14.25" customHeight="1">
      <c r="A337" s="199">
        <v>1323.0</v>
      </c>
      <c r="B337" s="199" t="str">
        <f>+_xlfn.MAXIFS([1]Datos!$H:$H,[1]Datos!$B:$B,A337)</f>
        <v>#ERROR!</v>
      </c>
      <c r="C337" s="199" t="s">
        <v>806</v>
      </c>
      <c r="D337" s="199">
        <f t="shared" si="1"/>
        <v>14</v>
      </c>
      <c r="E337" s="199" t="s">
        <v>807</v>
      </c>
    </row>
    <row r="338" ht="14.25" customHeight="1">
      <c r="A338" s="199">
        <v>1324.0</v>
      </c>
      <c r="B338" s="199" t="str">
        <f>+_xlfn.MAXIFS([1]Datos!$H:$H,[1]Datos!$B:$B,A338)</f>
        <v>#ERROR!</v>
      </c>
      <c r="C338" s="199" t="s">
        <v>808</v>
      </c>
      <c r="D338" s="199">
        <f t="shared" si="1"/>
        <v>14</v>
      </c>
      <c r="E338" s="199" t="s">
        <v>809</v>
      </c>
    </row>
    <row r="339" ht="14.25" customHeight="1">
      <c r="A339" s="199">
        <v>1325.0</v>
      </c>
      <c r="B339" s="199" t="str">
        <f>+_xlfn.MAXIFS([1]Datos!$H:$H,[1]Datos!$B:$B,A339)</f>
        <v>#ERROR!</v>
      </c>
      <c r="C339" s="199" t="s">
        <v>810</v>
      </c>
      <c r="D339" s="199">
        <f t="shared" si="1"/>
        <v>14</v>
      </c>
      <c r="E339" s="199" t="s">
        <v>811</v>
      </c>
    </row>
    <row r="340" ht="14.25" customHeight="1">
      <c r="A340" s="199">
        <v>1326.0</v>
      </c>
      <c r="B340" s="199" t="str">
        <f>+_xlfn.MAXIFS([1]Datos!$H:$H,[1]Datos!$B:$B,A340)</f>
        <v>#ERROR!</v>
      </c>
      <c r="C340" s="199" t="s">
        <v>812</v>
      </c>
      <c r="D340" s="199">
        <f t="shared" si="1"/>
        <v>14</v>
      </c>
      <c r="E340" s="199" t="s">
        <v>813</v>
      </c>
    </row>
    <row r="341" ht="14.25" customHeight="1">
      <c r="A341" s="199">
        <v>1327.0</v>
      </c>
      <c r="B341" s="199" t="str">
        <f>+_xlfn.MAXIFS([1]Datos!$H:$H,[1]Datos!$B:$B,A341)</f>
        <v>#ERROR!</v>
      </c>
      <c r="C341" s="199" t="s">
        <v>814</v>
      </c>
      <c r="D341" s="199">
        <f t="shared" si="1"/>
        <v>14</v>
      </c>
      <c r="E341" s="199" t="s">
        <v>815</v>
      </c>
    </row>
    <row r="342" ht="14.25" customHeight="1">
      <c r="A342" s="199">
        <v>1328.0</v>
      </c>
      <c r="B342" s="199" t="str">
        <f>+_xlfn.MAXIFS([1]Datos!$H:$H,[1]Datos!$B:$B,A342)</f>
        <v>#ERROR!</v>
      </c>
      <c r="C342" s="199" t="s">
        <v>816</v>
      </c>
      <c r="D342" s="199">
        <f t="shared" si="1"/>
        <v>14</v>
      </c>
      <c r="E342" s="199" t="s">
        <v>817</v>
      </c>
    </row>
    <row r="343" ht="14.25" customHeight="1">
      <c r="A343" s="199">
        <v>1329.0</v>
      </c>
      <c r="B343" s="199" t="str">
        <f>+_xlfn.MAXIFS([1]Datos!$H:$H,[1]Datos!$B:$B,A343)</f>
        <v>#ERROR!</v>
      </c>
      <c r="C343" s="199" t="s">
        <v>818</v>
      </c>
      <c r="D343" s="199">
        <f t="shared" si="1"/>
        <v>14</v>
      </c>
      <c r="E343" s="199" t="s">
        <v>819</v>
      </c>
    </row>
    <row r="344" ht="14.25" customHeight="1">
      <c r="A344" s="199">
        <v>1330.0</v>
      </c>
      <c r="B344" s="199" t="str">
        <f>+_xlfn.MAXIFS([1]Datos!$H:$H,[1]Datos!$B:$B,A344)</f>
        <v>#ERROR!</v>
      </c>
      <c r="C344" s="199" t="s">
        <v>820</v>
      </c>
      <c r="D344" s="199">
        <f t="shared" si="1"/>
        <v>14</v>
      </c>
      <c r="E344" s="199" t="s">
        <v>821</v>
      </c>
    </row>
    <row r="345" ht="14.25" customHeight="1">
      <c r="A345" s="199">
        <v>1088.0</v>
      </c>
      <c r="B345" s="199" t="str">
        <f>+_xlfn.MAXIFS([1]Datos!$H:$H,[1]Datos!$B:$B,A345)</f>
        <v>#ERROR!</v>
      </c>
      <c r="C345" s="199" t="s">
        <v>822</v>
      </c>
      <c r="D345" s="199">
        <f t="shared" si="1"/>
        <v>14</v>
      </c>
      <c r="E345" s="199" t="s">
        <v>823</v>
      </c>
    </row>
    <row r="346" ht="14.25" customHeight="1">
      <c r="A346" s="199">
        <v>1332.0</v>
      </c>
      <c r="B346" s="199" t="str">
        <f>+_xlfn.MAXIFS([1]Datos!$H:$H,[1]Datos!$B:$B,A346)</f>
        <v>#ERROR!</v>
      </c>
      <c r="C346" s="199" t="s">
        <v>824</v>
      </c>
      <c r="D346" s="199">
        <f t="shared" si="1"/>
        <v>14</v>
      </c>
      <c r="E346" s="199" t="s">
        <v>825</v>
      </c>
    </row>
    <row r="347" ht="14.25" customHeight="1">
      <c r="A347" s="199">
        <v>1333.0</v>
      </c>
      <c r="B347" s="199" t="str">
        <f>+_xlfn.MAXIFS([1]Datos!$H:$H,[1]Datos!$B:$B,A347)</f>
        <v>#ERROR!</v>
      </c>
      <c r="C347" s="199" t="s">
        <v>826</v>
      </c>
      <c r="D347" s="199">
        <f t="shared" si="1"/>
        <v>14</v>
      </c>
      <c r="E347" s="199" t="s">
        <v>827</v>
      </c>
    </row>
    <row r="348" ht="14.25" customHeight="1">
      <c r="A348" s="199">
        <v>1334.0</v>
      </c>
      <c r="B348" s="199" t="str">
        <f>+_xlfn.MAXIFS([1]Datos!$H:$H,[1]Datos!$B:$B,A348)</f>
        <v>#ERROR!</v>
      </c>
      <c r="C348" s="199" t="s">
        <v>828</v>
      </c>
      <c r="D348" s="199">
        <f t="shared" si="1"/>
        <v>14</v>
      </c>
      <c r="E348" s="199" t="s">
        <v>829</v>
      </c>
    </row>
    <row r="349" ht="14.25" customHeight="1">
      <c r="A349" s="199">
        <v>1335.0</v>
      </c>
      <c r="B349" s="199" t="str">
        <f>+_xlfn.MAXIFS([1]Datos!$H:$H,[1]Datos!$B:$B,A349)</f>
        <v>#ERROR!</v>
      </c>
      <c r="C349" s="199" t="s">
        <v>830</v>
      </c>
      <c r="D349" s="199">
        <f t="shared" si="1"/>
        <v>14</v>
      </c>
      <c r="E349" s="199" t="s">
        <v>831</v>
      </c>
    </row>
    <row r="350" ht="14.25" customHeight="1">
      <c r="A350" s="199">
        <v>1336.0</v>
      </c>
      <c r="B350" s="199" t="str">
        <f>+_xlfn.MAXIFS([1]Datos!$H:$H,[1]Datos!$B:$B,A350)</f>
        <v>#ERROR!</v>
      </c>
      <c r="C350" s="199" t="s">
        <v>832</v>
      </c>
      <c r="D350" s="199">
        <f t="shared" si="1"/>
        <v>14</v>
      </c>
      <c r="E350" s="199" t="s">
        <v>833</v>
      </c>
    </row>
    <row r="351" ht="14.25" customHeight="1">
      <c r="A351" s="199">
        <v>1337.0</v>
      </c>
      <c r="B351" s="199" t="str">
        <f>+_xlfn.MAXIFS([1]Datos!$H:$H,[1]Datos!$B:$B,A351)</f>
        <v>#ERROR!</v>
      </c>
      <c r="C351" s="199" t="s">
        <v>834</v>
      </c>
      <c r="D351" s="199">
        <f t="shared" si="1"/>
        <v>14</v>
      </c>
      <c r="E351" s="199" t="s">
        <v>835</v>
      </c>
    </row>
    <row r="352" ht="14.25" customHeight="1">
      <c r="A352" s="199">
        <v>1338.0</v>
      </c>
      <c r="B352" s="199" t="str">
        <f>+_xlfn.MAXIFS([1]Datos!$H:$H,[1]Datos!$B:$B,A352)</f>
        <v>#ERROR!</v>
      </c>
      <c r="C352" s="199" t="s">
        <v>836</v>
      </c>
      <c r="D352" s="199">
        <f t="shared" si="1"/>
        <v>14</v>
      </c>
      <c r="E352" s="199" t="s">
        <v>837</v>
      </c>
    </row>
    <row r="353" ht="14.25" customHeight="1">
      <c r="A353" s="199">
        <v>1339.0</v>
      </c>
      <c r="B353" s="199" t="str">
        <f>+_xlfn.MAXIFS([1]Datos!$H:$H,[1]Datos!$B:$B,A353)</f>
        <v>#ERROR!</v>
      </c>
      <c r="C353" s="199" t="s">
        <v>838</v>
      </c>
      <c r="D353" s="199">
        <f t="shared" si="1"/>
        <v>14</v>
      </c>
      <c r="E353" s="199" t="s">
        <v>839</v>
      </c>
    </row>
    <row r="354" ht="14.25" customHeight="1">
      <c r="A354" s="199">
        <v>1340.0</v>
      </c>
      <c r="B354" s="199" t="str">
        <f>+_xlfn.MAXIFS([1]Datos!$H:$H,[1]Datos!$B:$B,A354)</f>
        <v>#ERROR!</v>
      </c>
      <c r="C354" s="199" t="s">
        <v>840</v>
      </c>
      <c r="D354" s="199">
        <f t="shared" si="1"/>
        <v>14</v>
      </c>
      <c r="E354" s="199" t="s">
        <v>841</v>
      </c>
    </row>
    <row r="355" ht="14.25" customHeight="1">
      <c r="A355" s="199">
        <v>1341.0</v>
      </c>
      <c r="B355" s="199" t="str">
        <f>+_xlfn.MAXIFS([1]Datos!$H:$H,[1]Datos!$B:$B,A355)</f>
        <v>#ERROR!</v>
      </c>
      <c r="C355" s="199" t="s">
        <v>842</v>
      </c>
      <c r="D355" s="199">
        <f t="shared" si="1"/>
        <v>14</v>
      </c>
      <c r="E355" s="199" t="s">
        <v>843</v>
      </c>
    </row>
    <row r="356" ht="14.25" customHeight="1">
      <c r="A356" s="199">
        <v>1342.0</v>
      </c>
      <c r="B356" s="199" t="str">
        <f>+_xlfn.MAXIFS([1]Datos!$H:$H,[1]Datos!$B:$B,A356)</f>
        <v>#ERROR!</v>
      </c>
      <c r="C356" s="199" t="s">
        <v>844</v>
      </c>
      <c r="D356" s="199">
        <f t="shared" si="1"/>
        <v>14</v>
      </c>
      <c r="E356" s="199" t="s">
        <v>845</v>
      </c>
    </row>
    <row r="357" ht="14.25" customHeight="1">
      <c r="A357" s="199">
        <v>1343.0</v>
      </c>
      <c r="B357" s="199" t="str">
        <f>+_xlfn.MAXIFS([1]Datos!$H:$H,[1]Datos!$B:$B,A357)</f>
        <v>#ERROR!</v>
      </c>
      <c r="C357" s="199" t="s">
        <v>846</v>
      </c>
      <c r="D357" s="199">
        <f t="shared" si="1"/>
        <v>14</v>
      </c>
      <c r="E357" s="199" t="s">
        <v>847</v>
      </c>
    </row>
    <row r="358" ht="14.25" customHeight="1">
      <c r="A358" s="199">
        <v>1344.0</v>
      </c>
      <c r="B358" s="199" t="str">
        <f>+_xlfn.MAXIFS([1]Datos!$H:$H,[1]Datos!$B:$B,A358)</f>
        <v>#ERROR!</v>
      </c>
      <c r="C358" s="199" t="s">
        <v>848</v>
      </c>
      <c r="D358" s="199">
        <f t="shared" si="1"/>
        <v>14</v>
      </c>
      <c r="E358" s="199" t="s">
        <v>849</v>
      </c>
    </row>
    <row r="359" ht="14.25" customHeight="1">
      <c r="A359" s="199">
        <v>1345.0</v>
      </c>
      <c r="B359" s="199" t="str">
        <f>+_xlfn.MAXIFS([1]Datos!$H:$H,[1]Datos!$B:$B,A359)</f>
        <v>#ERROR!</v>
      </c>
      <c r="C359" s="199" t="s">
        <v>850</v>
      </c>
      <c r="D359" s="199">
        <f t="shared" si="1"/>
        <v>14</v>
      </c>
      <c r="E359" s="199" t="s">
        <v>851</v>
      </c>
    </row>
    <row r="360" ht="14.25" customHeight="1">
      <c r="A360" s="199">
        <v>1346.0</v>
      </c>
      <c r="B360" s="199" t="str">
        <f>+_xlfn.MAXIFS([1]Datos!$H:$H,[1]Datos!$B:$B,A360)</f>
        <v>#ERROR!</v>
      </c>
      <c r="C360" s="199" t="s">
        <v>852</v>
      </c>
      <c r="D360" s="199">
        <f t="shared" si="1"/>
        <v>14</v>
      </c>
      <c r="E360" s="199" t="s">
        <v>853</v>
      </c>
    </row>
    <row r="361" ht="14.25" customHeight="1">
      <c r="A361" s="199">
        <v>1347.0</v>
      </c>
      <c r="B361" s="199" t="str">
        <f>+_xlfn.MAXIFS([1]Datos!$H:$H,[1]Datos!$B:$B,A361)</f>
        <v>#ERROR!</v>
      </c>
      <c r="C361" s="199" t="s">
        <v>854</v>
      </c>
      <c r="D361" s="199">
        <f t="shared" si="1"/>
        <v>14</v>
      </c>
      <c r="E361" s="199" t="s">
        <v>855</v>
      </c>
    </row>
    <row r="362" ht="14.25" customHeight="1">
      <c r="A362" s="199">
        <v>1348.0</v>
      </c>
      <c r="B362" s="199" t="str">
        <f>+_xlfn.MAXIFS([1]Datos!$H:$H,[1]Datos!$B:$B,A362)</f>
        <v>#ERROR!</v>
      </c>
      <c r="C362" s="199" t="s">
        <v>856</v>
      </c>
      <c r="D362" s="199">
        <f t="shared" si="1"/>
        <v>14</v>
      </c>
      <c r="E362" s="199" t="s">
        <v>857</v>
      </c>
    </row>
    <row r="363" ht="14.25" customHeight="1">
      <c r="A363" s="199">
        <v>1349.0</v>
      </c>
      <c r="B363" s="199" t="str">
        <f>+_xlfn.MAXIFS([1]Datos!$H:$H,[1]Datos!$B:$B,A363)</f>
        <v>#ERROR!</v>
      </c>
      <c r="C363" s="199" t="s">
        <v>858</v>
      </c>
      <c r="D363" s="199">
        <f t="shared" si="1"/>
        <v>14</v>
      </c>
      <c r="E363" s="199" t="s">
        <v>859</v>
      </c>
    </row>
    <row r="364" ht="14.25" customHeight="1">
      <c r="A364" s="199">
        <v>1350.0</v>
      </c>
      <c r="B364" s="199" t="str">
        <f>+_xlfn.MAXIFS([1]Datos!$H:$H,[1]Datos!$B:$B,A364)</f>
        <v>#ERROR!</v>
      </c>
      <c r="C364" s="199" t="s">
        <v>860</v>
      </c>
      <c r="D364" s="199">
        <f t="shared" si="1"/>
        <v>14</v>
      </c>
      <c r="E364" s="199" t="s">
        <v>861</v>
      </c>
    </row>
    <row r="365" ht="14.25" customHeight="1">
      <c r="A365" s="199">
        <v>1351.0</v>
      </c>
      <c r="B365" s="199" t="str">
        <f>+_xlfn.MAXIFS([1]Datos!$H:$H,[1]Datos!$B:$B,A365)</f>
        <v>#ERROR!</v>
      </c>
      <c r="C365" s="199" t="s">
        <v>862</v>
      </c>
      <c r="D365" s="199">
        <f t="shared" si="1"/>
        <v>14</v>
      </c>
      <c r="E365" s="199" t="s">
        <v>863</v>
      </c>
    </row>
    <row r="366" ht="14.25" customHeight="1">
      <c r="A366" s="199">
        <v>1352.0</v>
      </c>
      <c r="B366" s="199" t="str">
        <f>+_xlfn.MAXIFS([1]Datos!$H:$H,[1]Datos!$B:$B,A366)</f>
        <v>#ERROR!</v>
      </c>
      <c r="C366" s="199" t="s">
        <v>864</v>
      </c>
      <c r="D366" s="199">
        <f t="shared" si="1"/>
        <v>14</v>
      </c>
      <c r="E366" s="199" t="s">
        <v>865</v>
      </c>
    </row>
    <row r="367" ht="14.25" customHeight="1">
      <c r="A367" s="199">
        <v>1353.0</v>
      </c>
      <c r="B367" s="199" t="str">
        <f>+_xlfn.MAXIFS([1]Datos!$H:$H,[1]Datos!$B:$B,A367)</f>
        <v>#ERROR!</v>
      </c>
      <c r="C367" s="199" t="s">
        <v>866</v>
      </c>
      <c r="D367" s="199">
        <f t="shared" si="1"/>
        <v>14</v>
      </c>
      <c r="E367" s="199" t="s">
        <v>867</v>
      </c>
    </row>
    <row r="368" ht="14.25" customHeight="1">
      <c r="A368" s="199">
        <v>1354.0</v>
      </c>
      <c r="B368" s="199" t="str">
        <f>+_xlfn.MAXIFS([1]Datos!$H:$H,[1]Datos!$B:$B,A368)</f>
        <v>#ERROR!</v>
      </c>
      <c r="C368" s="199" t="s">
        <v>868</v>
      </c>
      <c r="D368" s="199">
        <f t="shared" si="1"/>
        <v>14</v>
      </c>
      <c r="E368" s="199" t="s">
        <v>869</v>
      </c>
    </row>
    <row r="369" ht="14.25" customHeight="1">
      <c r="A369" s="199">
        <v>1355.0</v>
      </c>
      <c r="B369" s="199" t="str">
        <f>+_xlfn.MAXIFS([1]Datos!$H:$H,[1]Datos!$B:$B,A369)</f>
        <v>#ERROR!</v>
      </c>
      <c r="C369" s="199" t="s">
        <v>870</v>
      </c>
      <c r="D369" s="199">
        <f t="shared" si="1"/>
        <v>14</v>
      </c>
      <c r="E369" s="199" t="s">
        <v>871</v>
      </c>
    </row>
    <row r="370" ht="14.25" customHeight="1">
      <c r="A370" s="199">
        <v>1356.0</v>
      </c>
      <c r="B370" s="199" t="str">
        <f>+_xlfn.MAXIFS([1]Datos!$H:$H,[1]Datos!$B:$B,A370)</f>
        <v>#ERROR!</v>
      </c>
      <c r="C370" s="199" t="s">
        <v>872</v>
      </c>
      <c r="D370" s="199">
        <f t="shared" si="1"/>
        <v>14</v>
      </c>
      <c r="E370" s="199" t="s">
        <v>873</v>
      </c>
    </row>
    <row r="371" ht="14.25" customHeight="1">
      <c r="A371" s="199">
        <v>1357.0</v>
      </c>
      <c r="B371" s="199" t="str">
        <f>+_xlfn.MAXIFS([1]Datos!$H:$H,[1]Datos!$B:$B,A371)</f>
        <v>#ERROR!</v>
      </c>
      <c r="C371" s="199" t="s">
        <v>874</v>
      </c>
      <c r="D371" s="199">
        <f t="shared" si="1"/>
        <v>14</v>
      </c>
      <c r="E371" s="199" t="s">
        <v>875</v>
      </c>
    </row>
    <row r="372" ht="14.25" customHeight="1">
      <c r="A372" s="199">
        <v>1358.0</v>
      </c>
      <c r="B372" s="199" t="str">
        <f>+_xlfn.MAXIFS([1]Datos!$H:$H,[1]Datos!$B:$B,A372)</f>
        <v>#ERROR!</v>
      </c>
      <c r="C372" s="199" t="s">
        <v>876</v>
      </c>
      <c r="D372" s="199">
        <f t="shared" si="1"/>
        <v>14</v>
      </c>
      <c r="E372" s="199" t="s">
        <v>877</v>
      </c>
    </row>
    <row r="373" ht="14.25" customHeight="1">
      <c r="A373" s="199">
        <v>1359.0</v>
      </c>
      <c r="B373" s="199" t="str">
        <f>+_xlfn.MAXIFS([1]Datos!$H:$H,[1]Datos!$B:$B,A373)</f>
        <v>#ERROR!</v>
      </c>
      <c r="C373" s="199" t="s">
        <v>878</v>
      </c>
      <c r="D373" s="199">
        <f t="shared" si="1"/>
        <v>14</v>
      </c>
      <c r="E373" s="199" t="s">
        <v>879</v>
      </c>
    </row>
    <row r="374" ht="14.25" customHeight="1">
      <c r="A374" s="199">
        <v>1360.0</v>
      </c>
      <c r="B374" s="199" t="str">
        <f>+_xlfn.MAXIFS([1]Datos!$H:$H,[1]Datos!$B:$B,A374)</f>
        <v>#ERROR!</v>
      </c>
      <c r="C374" s="199" t="s">
        <v>880</v>
      </c>
      <c r="D374" s="199">
        <f t="shared" si="1"/>
        <v>14</v>
      </c>
      <c r="E374" s="199" t="s">
        <v>881</v>
      </c>
    </row>
    <row r="375" ht="14.25" customHeight="1">
      <c r="A375" s="199">
        <v>1361.0</v>
      </c>
      <c r="B375" s="199" t="str">
        <f>+_xlfn.MAXIFS([1]Datos!$H:$H,[1]Datos!$B:$B,A375)</f>
        <v>#ERROR!</v>
      </c>
      <c r="C375" s="200" t="s">
        <v>882</v>
      </c>
      <c r="D375" s="199">
        <f t="shared" si="1"/>
        <v>14</v>
      </c>
      <c r="E375" s="199" t="s">
        <v>883</v>
      </c>
    </row>
    <row r="376" ht="14.25" customHeight="1">
      <c r="A376" s="199">
        <v>1362.0</v>
      </c>
      <c r="B376" s="199" t="str">
        <f>+_xlfn.MAXIFS([1]Datos!$H:$H,[1]Datos!$B:$B,A376)</f>
        <v>#ERROR!</v>
      </c>
      <c r="C376" s="199" t="s">
        <v>884</v>
      </c>
      <c r="D376" s="199">
        <f t="shared" si="1"/>
        <v>14</v>
      </c>
      <c r="E376" s="199" t="s">
        <v>885</v>
      </c>
    </row>
    <row r="377" ht="14.25" customHeight="1">
      <c r="A377" s="199">
        <v>1363.0</v>
      </c>
      <c r="B377" s="199" t="str">
        <f>+_xlfn.MAXIFS([1]Datos!$H:$H,[1]Datos!$B:$B,A377)</f>
        <v>#ERROR!</v>
      </c>
      <c r="C377" s="199" t="s">
        <v>886</v>
      </c>
      <c r="D377" s="199">
        <f t="shared" si="1"/>
        <v>14</v>
      </c>
      <c r="E377" s="199" t="s">
        <v>887</v>
      </c>
    </row>
    <row r="378" ht="14.25" customHeight="1">
      <c r="A378" s="199">
        <v>1364.0</v>
      </c>
      <c r="B378" s="199" t="str">
        <f>+_xlfn.MAXIFS([1]Datos!$H:$H,[1]Datos!$B:$B,A378)</f>
        <v>#ERROR!</v>
      </c>
      <c r="C378" s="199" t="s">
        <v>888</v>
      </c>
      <c r="D378" s="199">
        <f t="shared" si="1"/>
        <v>14</v>
      </c>
      <c r="E378" s="199" t="s">
        <v>889</v>
      </c>
    </row>
    <row r="379" ht="14.25" customHeight="1">
      <c r="A379" s="199">
        <v>1365.0</v>
      </c>
      <c r="B379" s="199" t="str">
        <f>+_xlfn.MAXIFS([1]Datos!$H:$H,[1]Datos!$B:$B,A379)</f>
        <v>#ERROR!</v>
      </c>
      <c r="C379" s="199" t="s">
        <v>890</v>
      </c>
      <c r="D379" s="199">
        <f t="shared" si="1"/>
        <v>14</v>
      </c>
      <c r="E379" s="199" t="s">
        <v>891</v>
      </c>
    </row>
    <row r="380" ht="14.25" customHeight="1">
      <c r="A380" s="199">
        <v>1366.0</v>
      </c>
      <c r="B380" s="199" t="str">
        <f>+_xlfn.MAXIFS([1]Datos!$H:$H,[1]Datos!$B:$B,A380)</f>
        <v>#ERROR!</v>
      </c>
      <c r="C380" s="199" t="s">
        <v>892</v>
      </c>
      <c r="D380" s="199">
        <f t="shared" si="1"/>
        <v>14</v>
      </c>
      <c r="E380" s="199" t="s">
        <v>893</v>
      </c>
    </row>
    <row r="381" ht="14.25" customHeight="1">
      <c r="A381" s="199">
        <v>1367.0</v>
      </c>
      <c r="B381" s="199" t="str">
        <f>+_xlfn.MAXIFS([1]Datos!$H:$H,[1]Datos!$B:$B,A381)</f>
        <v>#ERROR!</v>
      </c>
      <c r="C381" s="199" t="s">
        <v>894</v>
      </c>
      <c r="D381" s="199">
        <f t="shared" si="1"/>
        <v>14</v>
      </c>
      <c r="E381" s="199" t="s">
        <v>895</v>
      </c>
    </row>
    <row r="382" ht="14.25" customHeight="1">
      <c r="A382" s="199">
        <v>1377.0</v>
      </c>
      <c r="B382" s="199" t="str">
        <f>+_xlfn.MAXIFS([1]Datos!$H:$H,[1]Datos!$B:$B,A382)</f>
        <v>#ERROR!</v>
      </c>
      <c r="C382" s="199" t="s">
        <v>896</v>
      </c>
      <c r="D382" s="199">
        <f t="shared" si="1"/>
        <v>14</v>
      </c>
      <c r="E382" s="199" t="s">
        <v>897</v>
      </c>
    </row>
    <row r="383" ht="14.25" customHeight="1">
      <c r="A383" s="199">
        <v>241.0</v>
      </c>
      <c r="B383" s="199" t="str">
        <f>+_xlfn.MAXIFS([1]Datos!$H:$H,[1]Datos!$B:$B,A383)</f>
        <v>#ERROR!</v>
      </c>
      <c r="C383" s="199" t="s">
        <v>898</v>
      </c>
      <c r="D383" s="199">
        <f t="shared" si="1"/>
        <v>14</v>
      </c>
      <c r="E383" s="199" t="s">
        <v>899</v>
      </c>
    </row>
    <row r="384" ht="14.25" customHeight="1">
      <c r="A384" s="199">
        <v>27.0</v>
      </c>
      <c r="B384" s="199" t="str">
        <f>+_xlfn.MAXIFS([1]Datos!$H:$H,[1]Datos!$B:$B,A384)</f>
        <v>#ERROR!</v>
      </c>
      <c r="C384" s="199" t="s">
        <v>900</v>
      </c>
      <c r="D384" s="199">
        <f t="shared" si="1"/>
        <v>14</v>
      </c>
      <c r="E384" s="199" t="s">
        <v>901</v>
      </c>
    </row>
    <row r="385" ht="14.25" customHeight="1">
      <c r="A385" s="199">
        <v>585.0</v>
      </c>
      <c r="B385" s="199" t="str">
        <f>+_xlfn.MAXIFS([1]Datos!$H:$H,[1]Datos!$B:$B,A385)</f>
        <v>#ERROR!</v>
      </c>
      <c r="C385" s="199" t="s">
        <v>292</v>
      </c>
      <c r="D385" s="199">
        <f t="shared" si="1"/>
        <v>14</v>
      </c>
      <c r="E385" s="199" t="s">
        <v>902</v>
      </c>
    </row>
    <row r="386" ht="14.25" customHeight="1">
      <c r="A386" s="199">
        <v>1291.0</v>
      </c>
      <c r="B386" s="199" t="str">
        <f>+_xlfn.MAXIFS([1]Datos!$H:$H,[1]Datos!$B:$B,A386)</f>
        <v>#ERROR!</v>
      </c>
      <c r="C386" s="199" t="s">
        <v>903</v>
      </c>
      <c r="D386" s="199">
        <f t="shared" si="1"/>
        <v>14</v>
      </c>
      <c r="E386" s="199" t="s">
        <v>904</v>
      </c>
    </row>
    <row r="387" ht="14.25" customHeight="1">
      <c r="A387" s="199">
        <v>1289.0</v>
      </c>
      <c r="B387" s="199" t="str">
        <f>+_xlfn.MAXIFS([1]Datos!$H:$H,[1]Datos!$B:$B,A387)</f>
        <v>#ERROR!</v>
      </c>
      <c r="C387" s="199" t="s">
        <v>905</v>
      </c>
      <c r="D387" s="199">
        <f t="shared" si="1"/>
        <v>14</v>
      </c>
      <c r="E387" s="199" t="s">
        <v>906</v>
      </c>
    </row>
    <row r="388" ht="14.25" customHeight="1">
      <c r="A388" s="199">
        <v>924.0</v>
      </c>
      <c r="B388" s="199" t="str">
        <f>+_xlfn.MAXIFS([1]Datos!$H:$H,[1]Datos!$B:$B,A388)</f>
        <v>#ERROR!</v>
      </c>
      <c r="C388" s="199" t="s">
        <v>907</v>
      </c>
      <c r="D388" s="199">
        <f t="shared" si="1"/>
        <v>14</v>
      </c>
      <c r="E388" s="199" t="s">
        <v>908</v>
      </c>
    </row>
    <row r="389" ht="14.25" customHeight="1">
      <c r="A389" s="199">
        <v>1369.0</v>
      </c>
      <c r="B389" s="199" t="str">
        <f>+_xlfn.MAXIFS([1]Datos!$H:$H,[1]Datos!$B:$B,A389)</f>
        <v>#ERROR!</v>
      </c>
      <c r="C389" s="199" t="s">
        <v>909</v>
      </c>
      <c r="D389" s="199">
        <f t="shared" si="1"/>
        <v>14</v>
      </c>
      <c r="E389" s="199" t="s">
        <v>910</v>
      </c>
    </row>
    <row r="390" ht="14.25" customHeight="1">
      <c r="A390" s="199">
        <v>1374.0</v>
      </c>
      <c r="B390" s="199" t="str">
        <f>+_xlfn.MAXIFS([1]Datos!$H:$H,[1]Datos!$B:$B,A390)</f>
        <v>#ERROR!</v>
      </c>
      <c r="C390" s="199" t="s">
        <v>911</v>
      </c>
      <c r="D390" s="199">
        <f t="shared" si="1"/>
        <v>14</v>
      </c>
      <c r="E390" s="199" t="s">
        <v>912</v>
      </c>
    </row>
    <row r="391" ht="14.25" customHeight="1">
      <c r="A391" s="199">
        <v>1370.0</v>
      </c>
      <c r="B391" s="199" t="str">
        <f>+_xlfn.MAXIFS([1]Datos!$H:$H,[1]Datos!$B:$B,A391)</f>
        <v>#ERROR!</v>
      </c>
      <c r="C391" s="199" t="s">
        <v>913</v>
      </c>
      <c r="D391" s="199">
        <f t="shared" si="1"/>
        <v>14</v>
      </c>
      <c r="E391" s="199" t="s">
        <v>914</v>
      </c>
    </row>
    <row r="392" ht="14.25" customHeight="1">
      <c r="A392" s="199">
        <v>1295.0</v>
      </c>
      <c r="B392" s="199" t="str">
        <f>+_xlfn.MAXIFS([1]Datos!$H:$H,[1]Datos!$B:$B,A392)</f>
        <v>#ERROR!</v>
      </c>
      <c r="C392" s="199" t="s">
        <v>915</v>
      </c>
      <c r="D392" s="199">
        <f t="shared" si="1"/>
        <v>14</v>
      </c>
      <c r="E392" s="199" t="s">
        <v>916</v>
      </c>
    </row>
    <row r="393" ht="14.25" customHeight="1">
      <c r="A393" s="199">
        <v>1368.0</v>
      </c>
      <c r="B393" s="199" t="str">
        <f>+_xlfn.MAXIFS([1]Datos!$H:$H,[1]Datos!$B:$B,A393)</f>
        <v>#ERROR!</v>
      </c>
      <c r="C393" s="199" t="s">
        <v>917</v>
      </c>
      <c r="D393" s="199">
        <f t="shared" si="1"/>
        <v>14</v>
      </c>
      <c r="E393" s="199" t="s">
        <v>918</v>
      </c>
    </row>
    <row r="394" ht="14.25" customHeight="1">
      <c r="A394" s="199">
        <v>1376.0</v>
      </c>
      <c r="B394" s="199" t="str">
        <f>+_xlfn.MAXIFS([1]Datos!$H:$H,[1]Datos!$B:$B,A394)</f>
        <v>#ERROR!</v>
      </c>
      <c r="C394" s="199" t="s">
        <v>919</v>
      </c>
      <c r="D394" s="199">
        <f t="shared" si="1"/>
        <v>14</v>
      </c>
      <c r="E394" s="199" t="s">
        <v>920</v>
      </c>
    </row>
    <row r="395" ht="14.25" customHeight="1">
      <c r="A395" s="199">
        <v>1304.0</v>
      </c>
      <c r="B395" s="199" t="str">
        <f>+_xlfn.MAXIFS([1]Datos!$H:$H,[1]Datos!$B:$B,A395)</f>
        <v>#ERROR!</v>
      </c>
      <c r="C395" s="199" t="s">
        <v>921</v>
      </c>
      <c r="D395" s="199">
        <f t="shared" si="1"/>
        <v>14</v>
      </c>
      <c r="E395" s="199" t="s">
        <v>922</v>
      </c>
    </row>
    <row r="396" ht="14.25" customHeight="1">
      <c r="A396" s="199">
        <v>1380.0</v>
      </c>
      <c r="B396" s="199" t="str">
        <f>+_xlfn.MAXIFS([1]Datos!$H:$H,[1]Datos!$B:$B,A396)</f>
        <v>#ERROR!</v>
      </c>
      <c r="C396" s="199" t="s">
        <v>923</v>
      </c>
      <c r="D396" s="199">
        <f t="shared" si="1"/>
        <v>14</v>
      </c>
      <c r="E396" s="199" t="s">
        <v>924</v>
      </c>
    </row>
    <row r="397" ht="14.25" customHeight="1">
      <c r="A397" s="199">
        <v>1381.0</v>
      </c>
      <c r="B397" s="199" t="str">
        <f>+_xlfn.MAXIFS([1]Datos!$H:$H,[1]Datos!$B:$B,A397)</f>
        <v>#ERROR!</v>
      </c>
      <c r="C397" s="199" t="s">
        <v>925</v>
      </c>
      <c r="D397" s="199">
        <f t="shared" si="1"/>
        <v>14</v>
      </c>
      <c r="E397" s="199" t="s">
        <v>926</v>
      </c>
    </row>
    <row r="398" ht="14.25" customHeight="1">
      <c r="A398" s="199">
        <v>1384.0</v>
      </c>
      <c r="B398" s="199" t="str">
        <f>+_xlfn.MAXIFS([1]Datos!$H:$H,[1]Datos!$B:$B,A398)</f>
        <v>#ERROR!</v>
      </c>
      <c r="C398" s="199" t="s">
        <v>927</v>
      </c>
      <c r="D398" s="199">
        <f t="shared" si="1"/>
        <v>14</v>
      </c>
      <c r="E398" s="199" t="s">
        <v>928</v>
      </c>
    </row>
    <row r="399" ht="14.25" customHeight="1">
      <c r="A399" s="199">
        <v>1385.0</v>
      </c>
      <c r="B399" s="199" t="str">
        <f>+_xlfn.MAXIFS([1]Datos!$H:$H,[1]Datos!$B:$B,A399)</f>
        <v>#ERROR!</v>
      </c>
      <c r="C399" s="199" t="s">
        <v>929</v>
      </c>
      <c r="D399" s="199">
        <f t="shared" si="1"/>
        <v>14</v>
      </c>
      <c r="E399" s="199" t="s">
        <v>930</v>
      </c>
    </row>
    <row r="400" ht="14.25" customHeight="1">
      <c r="A400" s="199">
        <v>1379.0</v>
      </c>
      <c r="B400" s="199" t="str">
        <f>+_xlfn.MAXIFS([1]Datos!$H:$H,[1]Datos!$B:$B,A400)</f>
        <v>#ERROR!</v>
      </c>
      <c r="C400" s="199" t="s">
        <v>931</v>
      </c>
      <c r="D400" s="199">
        <f t="shared" si="1"/>
        <v>14</v>
      </c>
      <c r="E400" s="199" t="s">
        <v>932</v>
      </c>
    </row>
    <row r="401" ht="14.25" customHeight="1">
      <c r="A401" s="199">
        <v>1120.0</v>
      </c>
      <c r="B401" s="199" t="str">
        <f>+_xlfn.MAXIFS([1]Datos!$H:$H,[1]Datos!$B:$B,A401)</f>
        <v>#ERROR!</v>
      </c>
      <c r="C401" s="199" t="s">
        <v>933</v>
      </c>
      <c r="D401" s="199">
        <f t="shared" si="1"/>
        <v>14</v>
      </c>
      <c r="E401" s="199" t="s">
        <v>934</v>
      </c>
    </row>
    <row r="402" ht="14.25" customHeight="1">
      <c r="A402" s="199">
        <v>1273.0</v>
      </c>
      <c r="B402" s="199" t="str">
        <f>+_xlfn.MAXIFS([1]Datos!$H:$H,[1]Datos!$B:$B,A402)</f>
        <v>#ERROR!</v>
      </c>
      <c r="C402" s="199" t="s">
        <v>935</v>
      </c>
      <c r="D402" s="199">
        <f t="shared" si="1"/>
        <v>14</v>
      </c>
      <c r="E402" s="199" t="s">
        <v>936</v>
      </c>
    </row>
    <row r="403" ht="14.25" customHeight="1">
      <c r="A403" s="199">
        <v>1371.0</v>
      </c>
      <c r="B403" s="199" t="str">
        <f>+_xlfn.MAXIFS([1]Datos!$H:$H,[1]Datos!$B:$B,A403)</f>
        <v>#ERROR!</v>
      </c>
      <c r="C403" s="199" t="s">
        <v>937</v>
      </c>
      <c r="D403" s="199">
        <f t="shared" si="1"/>
        <v>14</v>
      </c>
      <c r="E403" s="199" t="s">
        <v>938</v>
      </c>
    </row>
    <row r="404" ht="14.25" customHeight="1">
      <c r="A404" s="199">
        <v>923.0</v>
      </c>
      <c r="B404" s="199" t="str">
        <f>+_xlfn.MAXIFS([1]Datos!$H:$H,[1]Datos!$B:$B,A404)</f>
        <v>#ERROR!</v>
      </c>
      <c r="C404" s="199" t="s">
        <v>939</v>
      </c>
      <c r="D404" s="199">
        <f t="shared" si="1"/>
        <v>14</v>
      </c>
      <c r="E404" s="199" t="s">
        <v>940</v>
      </c>
    </row>
    <row r="405" ht="14.25" customHeight="1">
      <c r="A405" s="199">
        <v>1292.0</v>
      </c>
      <c r="B405" s="199" t="str">
        <f>+_xlfn.MAXIFS([1]Datos!$H:$H,[1]Datos!$B:$B,A405)</f>
        <v>#ERROR!</v>
      </c>
      <c r="C405" s="199" t="s">
        <v>941</v>
      </c>
      <c r="D405" s="199">
        <f t="shared" si="1"/>
        <v>14</v>
      </c>
      <c r="E405" s="199" t="s">
        <v>942</v>
      </c>
    </row>
    <row r="406" ht="14.25" customHeight="1">
      <c r="A406" s="199">
        <v>1225.0</v>
      </c>
      <c r="B406" s="199" t="str">
        <f>+_xlfn.MAXIFS([1]Datos!$H:$H,[1]Datos!$B:$B,A406)</f>
        <v>#ERROR!</v>
      </c>
      <c r="C406" s="199" t="s">
        <v>943</v>
      </c>
      <c r="D406" s="199">
        <f t="shared" si="1"/>
        <v>14</v>
      </c>
      <c r="E406" s="199" t="s">
        <v>944</v>
      </c>
    </row>
    <row r="407" ht="14.25" customHeight="1">
      <c r="A407" s="199">
        <v>1373.0</v>
      </c>
      <c r="B407" s="199" t="str">
        <f>+_xlfn.MAXIFS([1]Datos!$H:$H,[1]Datos!$B:$B,A407)</f>
        <v>#ERROR!</v>
      </c>
      <c r="C407" s="199" t="s">
        <v>945</v>
      </c>
      <c r="D407" s="199">
        <f t="shared" si="1"/>
        <v>14</v>
      </c>
      <c r="E407" s="199" t="s">
        <v>946</v>
      </c>
    </row>
    <row r="408" ht="14.25" customHeight="1">
      <c r="A408" s="199">
        <v>1303.0</v>
      </c>
      <c r="B408" s="199" t="str">
        <f>+_xlfn.MAXIFS([1]Datos!$H:$H,[1]Datos!$B:$B,A408)</f>
        <v>#ERROR!</v>
      </c>
      <c r="C408" s="199" t="s">
        <v>947</v>
      </c>
      <c r="D408" s="199">
        <f t="shared" si="1"/>
        <v>14</v>
      </c>
      <c r="E408" s="199" t="s">
        <v>948</v>
      </c>
    </row>
    <row r="409" ht="14.25" customHeight="1">
      <c r="A409" s="199">
        <v>1255.0</v>
      </c>
      <c r="B409" s="199" t="str">
        <f>+_xlfn.MAXIFS([1]Datos!$H:$H,[1]Datos!$B:$B,A409)</f>
        <v>#ERROR!</v>
      </c>
      <c r="C409" s="199" t="s">
        <v>949</v>
      </c>
      <c r="D409" s="199">
        <f t="shared" si="1"/>
        <v>14</v>
      </c>
      <c r="E409" s="199" t="s">
        <v>950</v>
      </c>
    </row>
    <row r="410" ht="14.25" customHeight="1">
      <c r="A410" s="199">
        <v>824.0</v>
      </c>
      <c r="B410" s="199" t="str">
        <f>+_xlfn.MAXIFS([1]Datos!$H:$H,[1]Datos!$B:$B,A410)</f>
        <v>#ERROR!</v>
      </c>
      <c r="C410" s="199" t="s">
        <v>949</v>
      </c>
      <c r="D410" s="199">
        <f t="shared" si="1"/>
        <v>14</v>
      </c>
      <c r="E410" s="199" t="s">
        <v>951</v>
      </c>
    </row>
    <row r="411" ht="14.25" customHeight="1">
      <c r="A411" s="199">
        <v>152.0</v>
      </c>
      <c r="B411" s="199" t="str">
        <f>+_xlfn.MAXIFS([1]Datos!$H:$H,[1]Datos!$B:$B,A411)</f>
        <v>#ERROR!</v>
      </c>
      <c r="C411" s="199" t="s">
        <v>952</v>
      </c>
      <c r="D411" s="199">
        <f t="shared" si="1"/>
        <v>14</v>
      </c>
      <c r="E411" s="199" t="s">
        <v>953</v>
      </c>
    </row>
    <row r="412" ht="14.25" customHeight="1">
      <c r="A412" s="199">
        <v>215.0</v>
      </c>
      <c r="B412" s="199" t="str">
        <f>+_xlfn.MAXIFS([1]Datos!$H:$H,[1]Datos!$B:$B,A412)</f>
        <v>#ERROR!</v>
      </c>
      <c r="C412" s="199" t="s">
        <v>954</v>
      </c>
      <c r="D412" s="199">
        <f t="shared" si="1"/>
        <v>14</v>
      </c>
      <c r="E412" s="199" t="s">
        <v>955</v>
      </c>
    </row>
    <row r="413" ht="14.25" customHeight="1">
      <c r="A413" s="199">
        <v>1382.0</v>
      </c>
      <c r="B413" s="199" t="str">
        <f>+_xlfn.MAXIFS([1]Datos!$H:$H,[1]Datos!$B:$B,A413)</f>
        <v>#ERROR!</v>
      </c>
      <c r="C413" s="199" t="s">
        <v>956</v>
      </c>
      <c r="D413" s="199">
        <f t="shared" si="1"/>
        <v>14</v>
      </c>
      <c r="E413" s="199" t="s">
        <v>957</v>
      </c>
    </row>
    <row r="414" ht="14.25" customHeight="1">
      <c r="A414" s="199">
        <v>1383.0</v>
      </c>
      <c r="B414" s="199" t="str">
        <f>+_xlfn.MAXIFS([1]Datos!$H:$H,[1]Datos!$B:$B,A414)</f>
        <v>#ERROR!</v>
      </c>
      <c r="C414" s="199" t="s">
        <v>958</v>
      </c>
      <c r="D414" s="199">
        <f t="shared" si="1"/>
        <v>14</v>
      </c>
      <c r="E414" s="199" t="s">
        <v>959</v>
      </c>
    </row>
    <row r="415" ht="14.25" customHeight="1">
      <c r="A415" s="199">
        <v>1386.0</v>
      </c>
      <c r="B415" s="199" t="str">
        <f>+_xlfn.MAXIFS([1]Datos!$H:$H,[1]Datos!$B:$B,A415)</f>
        <v>#ERROR!</v>
      </c>
      <c r="C415" s="199" t="s">
        <v>960</v>
      </c>
      <c r="D415" s="199">
        <f t="shared" si="1"/>
        <v>14</v>
      </c>
      <c r="E415" s="199" t="s">
        <v>961</v>
      </c>
    </row>
    <row r="416" ht="14.25" customHeight="1">
      <c r="A416" s="199">
        <v>1387.0</v>
      </c>
      <c r="B416" s="199" t="str">
        <f>+_xlfn.MAXIFS([1]Datos!$H:$H,[1]Datos!$B:$B,A416)</f>
        <v>#ERROR!</v>
      </c>
      <c r="C416" s="199" t="s">
        <v>962</v>
      </c>
      <c r="D416" s="199">
        <f t="shared" si="1"/>
        <v>14</v>
      </c>
      <c r="E416" s="199" t="s">
        <v>963</v>
      </c>
    </row>
    <row r="417" ht="14.25" customHeight="1">
      <c r="A417" s="199">
        <v>1388.0</v>
      </c>
      <c r="B417" s="199" t="str">
        <f>+_xlfn.MAXIFS([1]Datos!$H:$H,[1]Datos!$B:$B,A417)</f>
        <v>#ERROR!</v>
      </c>
      <c r="C417" s="199" t="s">
        <v>964</v>
      </c>
      <c r="D417" s="199">
        <f t="shared" si="1"/>
        <v>14</v>
      </c>
      <c r="E417" s="199" t="s">
        <v>965</v>
      </c>
    </row>
    <row r="418" ht="14.25" customHeight="1">
      <c r="A418" s="199">
        <v>1389.0</v>
      </c>
      <c r="B418" s="199" t="str">
        <f>+_xlfn.MAXIFS([1]Datos!$H:$H,[1]Datos!$B:$B,A418)</f>
        <v>#ERROR!</v>
      </c>
      <c r="C418" s="199" t="s">
        <v>966</v>
      </c>
      <c r="D418" s="199">
        <f t="shared" si="1"/>
        <v>14</v>
      </c>
      <c r="E418" s="199" t="s">
        <v>967</v>
      </c>
    </row>
    <row r="419" ht="14.25" customHeight="1">
      <c r="A419" s="199">
        <v>1390.0</v>
      </c>
      <c r="B419" s="199" t="str">
        <f>+_xlfn.MAXIFS([1]Datos!$H:$H,[1]Datos!$B:$B,A419)</f>
        <v>#ERROR!</v>
      </c>
      <c r="C419" s="199" t="s">
        <v>968</v>
      </c>
      <c r="D419" s="199">
        <f t="shared" si="1"/>
        <v>14</v>
      </c>
      <c r="E419" s="199" t="s">
        <v>969</v>
      </c>
    </row>
    <row r="420" ht="14.25" customHeight="1">
      <c r="A420" s="199">
        <v>1391.0</v>
      </c>
      <c r="B420" s="199">
        <v>9081.0</v>
      </c>
      <c r="C420" s="199" t="s">
        <v>970</v>
      </c>
      <c r="D420" s="199">
        <f t="shared" si="1"/>
        <v>14</v>
      </c>
      <c r="E420" s="199" t="s">
        <v>971</v>
      </c>
    </row>
    <row r="421" ht="14.25" customHeight="1">
      <c r="A421" s="199">
        <v>1392.0</v>
      </c>
      <c r="B421" s="199">
        <v>9082.0</v>
      </c>
      <c r="C421" s="199" t="s">
        <v>972</v>
      </c>
      <c r="D421" s="199">
        <f t="shared" si="1"/>
        <v>14</v>
      </c>
      <c r="E421" s="199" t="s">
        <v>973</v>
      </c>
    </row>
    <row r="422" ht="14.25" customHeight="1">
      <c r="A422" s="199">
        <v>1393.0</v>
      </c>
      <c r="B422" s="199">
        <v>9086.0</v>
      </c>
      <c r="C422" s="199" t="s">
        <v>974</v>
      </c>
      <c r="D422" s="199">
        <f t="shared" si="1"/>
        <v>14</v>
      </c>
      <c r="E422" s="199" t="s">
        <v>975</v>
      </c>
    </row>
    <row r="423" ht="14.25" customHeight="1">
      <c r="A423" s="199">
        <v>1394.0</v>
      </c>
      <c r="B423" s="199">
        <v>9085.0</v>
      </c>
      <c r="C423" s="199" t="s">
        <v>976</v>
      </c>
      <c r="D423" s="199">
        <f t="shared" si="1"/>
        <v>14</v>
      </c>
      <c r="E423" s="199" t="s">
        <v>977</v>
      </c>
    </row>
    <row r="424" ht="14.25" customHeight="1">
      <c r="A424" s="199">
        <v>1395.0</v>
      </c>
      <c r="B424" s="199">
        <v>9084.0</v>
      </c>
      <c r="C424" s="199" t="s">
        <v>978</v>
      </c>
      <c r="D424" s="199">
        <f t="shared" si="1"/>
        <v>14</v>
      </c>
      <c r="E424" s="199" t="s">
        <v>979</v>
      </c>
    </row>
    <row r="425" ht="14.25" customHeight="1">
      <c r="A425" s="199">
        <v>1396.0</v>
      </c>
      <c r="B425" s="199">
        <v>9087.0</v>
      </c>
      <c r="C425" s="199" t="s">
        <v>980</v>
      </c>
      <c r="D425" s="199">
        <f t="shared" si="1"/>
        <v>14</v>
      </c>
      <c r="E425" s="199" t="s">
        <v>981</v>
      </c>
    </row>
    <row r="426" ht="14.25" customHeight="1">
      <c r="A426" s="199">
        <v>1397.0</v>
      </c>
      <c r="B426" s="199">
        <v>9088.0</v>
      </c>
      <c r="C426" s="199" t="s">
        <v>982</v>
      </c>
      <c r="D426" s="199">
        <f t="shared" si="1"/>
        <v>14</v>
      </c>
      <c r="E426" s="199" t="s">
        <v>983</v>
      </c>
    </row>
    <row r="427" ht="14.25" customHeight="1">
      <c r="A427" s="199">
        <v>1398.0</v>
      </c>
      <c r="B427" s="199">
        <v>9091.0</v>
      </c>
      <c r="C427" s="199" t="s">
        <v>984</v>
      </c>
      <c r="D427" s="199">
        <f t="shared" si="1"/>
        <v>14</v>
      </c>
      <c r="E427" s="199" t="s">
        <v>985</v>
      </c>
    </row>
    <row r="428" ht="14.25" customHeight="1">
      <c r="A428" s="199">
        <v>1399.0</v>
      </c>
      <c r="B428" s="199">
        <v>9093.0</v>
      </c>
      <c r="C428" s="199" t="s">
        <v>986</v>
      </c>
      <c r="D428" s="199">
        <f t="shared" si="1"/>
        <v>14</v>
      </c>
      <c r="E428" s="199" t="s">
        <v>987</v>
      </c>
    </row>
    <row r="429" ht="14.25" customHeight="1">
      <c r="A429" s="199">
        <v>1400.0</v>
      </c>
      <c r="B429" s="199">
        <v>9099.0</v>
      </c>
      <c r="C429" s="199" t="s">
        <v>988</v>
      </c>
      <c r="D429" s="199">
        <f t="shared" si="1"/>
        <v>14</v>
      </c>
      <c r="E429" s="199" t="s">
        <v>989</v>
      </c>
    </row>
    <row r="430" ht="14.25" customHeight="1">
      <c r="A430" s="199">
        <v>1401.0</v>
      </c>
      <c r="B430" s="199">
        <v>9106.0</v>
      </c>
      <c r="C430" s="199" t="s">
        <v>990</v>
      </c>
      <c r="D430" s="199">
        <f t="shared" si="1"/>
        <v>14</v>
      </c>
      <c r="E430" s="199" t="s">
        <v>991</v>
      </c>
    </row>
    <row r="431" ht="14.25" customHeight="1">
      <c r="A431" s="199">
        <v>1402.0</v>
      </c>
      <c r="B431" s="199">
        <v>9107.0</v>
      </c>
      <c r="C431" s="199" t="s">
        <v>992</v>
      </c>
      <c r="D431" s="199">
        <f t="shared" si="1"/>
        <v>14</v>
      </c>
      <c r="E431" s="199" t="s">
        <v>993</v>
      </c>
    </row>
    <row r="432" ht="14.25" customHeight="1">
      <c r="A432" s="199"/>
      <c r="B432" s="199"/>
      <c r="C432" s="199"/>
      <c r="D432" s="199"/>
      <c r="E432" s="199"/>
    </row>
    <row r="433" ht="14.25" customHeight="1">
      <c r="A433" s="199"/>
      <c r="B433" s="199"/>
      <c r="C433" s="199"/>
      <c r="D433" s="199"/>
      <c r="E433" s="199"/>
    </row>
    <row r="434" ht="14.25" customHeight="1">
      <c r="A434" s="199"/>
      <c r="B434" s="199"/>
      <c r="C434" s="199"/>
      <c r="D434" s="199"/>
      <c r="E434" s="199"/>
    </row>
    <row r="435" ht="14.25" customHeight="1">
      <c r="A435" s="199"/>
      <c r="B435" s="199"/>
      <c r="C435" s="199"/>
      <c r="D435" s="199"/>
      <c r="E435" s="199"/>
    </row>
    <row r="436" ht="14.25" customHeight="1">
      <c r="A436" s="199"/>
      <c r="B436" s="199"/>
      <c r="C436" s="199"/>
      <c r="D436" s="199"/>
      <c r="E436" s="199"/>
    </row>
    <row r="437" ht="14.25" customHeight="1">
      <c r="A437" s="199"/>
      <c r="B437" s="199"/>
      <c r="C437" s="199"/>
      <c r="D437" s="199"/>
      <c r="E437" s="199"/>
    </row>
    <row r="438" ht="14.25" customHeight="1">
      <c r="A438" s="199"/>
      <c r="B438" s="199"/>
      <c r="C438" s="199"/>
      <c r="D438" s="199"/>
      <c r="E438" s="199"/>
    </row>
    <row r="439" ht="14.25" customHeight="1">
      <c r="A439" s="199"/>
      <c r="B439" s="199"/>
      <c r="C439" s="199"/>
      <c r="D439" s="199"/>
      <c r="E439" s="199"/>
    </row>
    <row r="440" ht="14.25" customHeight="1">
      <c r="A440" s="199"/>
      <c r="B440" s="199"/>
      <c r="C440" s="199"/>
      <c r="D440" s="199"/>
      <c r="E440" s="199"/>
    </row>
    <row r="441" ht="14.25" customHeight="1">
      <c r="A441" s="199"/>
      <c r="B441" s="199"/>
      <c r="C441" s="199"/>
      <c r="D441" s="199"/>
      <c r="E441" s="199"/>
    </row>
    <row r="442" ht="14.25" customHeight="1">
      <c r="A442" s="199"/>
      <c r="B442" s="199"/>
      <c r="C442" s="199"/>
      <c r="D442" s="199"/>
      <c r="E442" s="199"/>
    </row>
    <row r="443" ht="14.25" customHeight="1">
      <c r="A443" s="199"/>
      <c r="B443" s="199"/>
      <c r="C443" s="199"/>
      <c r="D443" s="199"/>
      <c r="E443" s="199"/>
    </row>
    <row r="444" ht="14.25" customHeight="1">
      <c r="A444" s="199"/>
      <c r="B444" s="199"/>
      <c r="C444" s="199"/>
      <c r="D444" s="199"/>
      <c r="E444" s="199"/>
    </row>
    <row r="445" ht="14.25" customHeight="1">
      <c r="A445" s="199"/>
      <c r="B445" s="199"/>
      <c r="C445" s="199"/>
      <c r="D445" s="199"/>
      <c r="E445" s="199"/>
    </row>
    <row r="446" ht="14.25" customHeight="1">
      <c r="A446" s="199"/>
      <c r="B446" s="199"/>
      <c r="C446" s="199"/>
      <c r="D446" s="199"/>
      <c r="E446" s="199"/>
    </row>
    <row r="447" ht="14.25" customHeight="1">
      <c r="A447" s="199"/>
      <c r="B447" s="199"/>
      <c r="C447" s="199"/>
      <c r="D447" s="199"/>
      <c r="E447" s="199"/>
    </row>
    <row r="448" ht="14.25" customHeight="1">
      <c r="A448" s="199"/>
      <c r="B448" s="199"/>
      <c r="C448" s="199"/>
      <c r="D448" s="199"/>
      <c r="E448" s="199"/>
    </row>
    <row r="449" ht="14.25" customHeight="1">
      <c r="A449" s="199"/>
      <c r="B449" s="199"/>
      <c r="C449" s="199"/>
      <c r="D449" s="199"/>
      <c r="E449" s="199"/>
    </row>
    <row r="450" ht="14.25" customHeight="1">
      <c r="A450" s="199"/>
      <c r="B450" s="199"/>
      <c r="C450" s="199"/>
      <c r="D450" s="199"/>
      <c r="E450" s="199"/>
    </row>
    <row r="451" ht="14.25" customHeight="1">
      <c r="A451" s="199"/>
      <c r="B451" s="199"/>
      <c r="C451" s="199"/>
      <c r="D451" s="199"/>
      <c r="E451" s="199"/>
    </row>
    <row r="452" ht="14.25" customHeight="1">
      <c r="A452" s="199"/>
      <c r="B452" s="199"/>
      <c r="C452" s="199"/>
      <c r="D452" s="199"/>
      <c r="E452" s="199"/>
    </row>
    <row r="453" ht="14.25" customHeight="1">
      <c r="A453" s="199"/>
      <c r="B453" s="199"/>
      <c r="C453" s="199"/>
      <c r="D453" s="199"/>
      <c r="E453" s="199"/>
    </row>
    <row r="454" ht="14.25" customHeight="1">
      <c r="A454" s="199"/>
      <c r="B454" s="199"/>
      <c r="C454" s="199"/>
      <c r="D454" s="199"/>
      <c r="E454" s="199"/>
    </row>
    <row r="455" ht="14.25" customHeight="1">
      <c r="A455" s="199"/>
      <c r="B455" s="199"/>
      <c r="C455" s="199"/>
      <c r="D455" s="199"/>
      <c r="E455" s="199"/>
    </row>
    <row r="456" ht="14.25" customHeight="1">
      <c r="A456" s="199"/>
      <c r="B456" s="199"/>
      <c r="C456" s="199"/>
      <c r="D456" s="199"/>
      <c r="E456" s="199"/>
    </row>
    <row r="457" ht="14.25" customHeight="1">
      <c r="A457" s="199"/>
      <c r="B457" s="199"/>
      <c r="C457" s="199"/>
      <c r="D457" s="199"/>
      <c r="E457" s="199"/>
    </row>
    <row r="458" ht="14.25" customHeight="1">
      <c r="A458" s="199"/>
      <c r="B458" s="199"/>
      <c r="C458" s="199"/>
      <c r="D458" s="199"/>
      <c r="E458" s="199"/>
    </row>
    <row r="459" ht="14.25" customHeight="1">
      <c r="A459" s="199"/>
      <c r="B459" s="199"/>
      <c r="C459" s="199"/>
      <c r="D459" s="199"/>
      <c r="E459" s="199"/>
    </row>
    <row r="460" ht="14.25" customHeight="1">
      <c r="A460" s="199"/>
      <c r="B460" s="199"/>
      <c r="C460" s="199"/>
      <c r="D460" s="199"/>
      <c r="E460" s="199"/>
    </row>
    <row r="461" ht="14.25" customHeight="1">
      <c r="A461" s="199"/>
      <c r="B461" s="199"/>
      <c r="C461" s="199"/>
      <c r="D461" s="199"/>
      <c r="E461" s="199"/>
    </row>
    <row r="462" ht="14.25" customHeight="1">
      <c r="A462" s="199"/>
      <c r="B462" s="199"/>
      <c r="C462" s="199"/>
      <c r="D462" s="199"/>
      <c r="E462" s="199"/>
    </row>
    <row r="463" ht="14.25" customHeight="1">
      <c r="A463" s="199"/>
      <c r="B463" s="199"/>
      <c r="C463" s="199"/>
      <c r="D463" s="199"/>
      <c r="E463" s="199"/>
    </row>
    <row r="464" ht="14.25" customHeight="1">
      <c r="A464" s="199"/>
      <c r="B464" s="199"/>
      <c r="C464" s="199"/>
      <c r="D464" s="199"/>
      <c r="E464" s="199"/>
    </row>
    <row r="465" ht="14.25" customHeight="1">
      <c r="A465" s="199"/>
      <c r="B465" s="199"/>
      <c r="C465" s="199"/>
      <c r="D465" s="199"/>
      <c r="E465" s="199"/>
    </row>
    <row r="466" ht="14.25" customHeight="1">
      <c r="A466" s="199"/>
      <c r="B466" s="199"/>
      <c r="C466" s="199"/>
      <c r="D466" s="199"/>
      <c r="E466" s="199"/>
    </row>
    <row r="467" ht="14.25" customHeight="1">
      <c r="A467" s="199"/>
      <c r="B467" s="199"/>
      <c r="C467" s="199"/>
      <c r="D467" s="199"/>
      <c r="E467" s="199"/>
    </row>
    <row r="468" ht="14.25" customHeight="1">
      <c r="A468" s="199"/>
      <c r="B468" s="199"/>
      <c r="C468" s="199"/>
      <c r="D468" s="199"/>
      <c r="E468" s="199"/>
    </row>
    <row r="469" ht="14.25" customHeight="1">
      <c r="A469" s="199"/>
      <c r="B469" s="199"/>
      <c r="C469" s="199"/>
      <c r="D469" s="199"/>
      <c r="E469" s="199"/>
    </row>
    <row r="470" ht="14.25" customHeight="1">
      <c r="A470" s="199"/>
      <c r="B470" s="199"/>
      <c r="C470" s="199"/>
      <c r="D470" s="199"/>
      <c r="E470" s="199"/>
    </row>
    <row r="471" ht="14.25" customHeight="1">
      <c r="A471" s="199"/>
      <c r="B471" s="199"/>
      <c r="C471" s="199"/>
      <c r="D471" s="199"/>
      <c r="E471" s="199"/>
    </row>
    <row r="472" ht="14.25" customHeight="1">
      <c r="A472" s="199"/>
      <c r="B472" s="199"/>
      <c r="C472" s="199"/>
      <c r="D472" s="199"/>
      <c r="E472" s="199"/>
    </row>
    <row r="473" ht="14.25" customHeight="1">
      <c r="A473" s="199"/>
      <c r="B473" s="199"/>
      <c r="C473" s="199"/>
      <c r="D473" s="199"/>
      <c r="E473" s="199"/>
    </row>
    <row r="474" ht="14.25" customHeight="1">
      <c r="A474" s="199"/>
      <c r="B474" s="199"/>
      <c r="C474" s="199"/>
      <c r="D474" s="199"/>
      <c r="E474" s="199"/>
    </row>
    <row r="475" ht="14.25" customHeight="1">
      <c r="A475" s="199"/>
      <c r="B475" s="199"/>
      <c r="C475" s="199"/>
      <c r="D475" s="199"/>
      <c r="E475" s="199"/>
    </row>
    <row r="476" ht="14.25" customHeight="1">
      <c r="A476" s="199"/>
      <c r="B476" s="199"/>
      <c r="C476" s="199"/>
      <c r="D476" s="199"/>
      <c r="E476" s="199"/>
    </row>
    <row r="477" ht="14.25" customHeight="1">
      <c r="A477" s="199"/>
      <c r="B477" s="199"/>
      <c r="C477" s="199"/>
      <c r="D477" s="199"/>
      <c r="E477" s="199"/>
    </row>
    <row r="478" ht="14.25" customHeight="1">
      <c r="A478" s="199"/>
      <c r="B478" s="199"/>
      <c r="C478" s="199"/>
      <c r="D478" s="199"/>
      <c r="E478" s="199"/>
    </row>
    <row r="479" ht="14.25" customHeight="1">
      <c r="A479" s="199"/>
      <c r="B479" s="199"/>
      <c r="C479" s="199"/>
      <c r="D479" s="199"/>
      <c r="E479" s="199"/>
    </row>
    <row r="480" ht="14.25" customHeight="1">
      <c r="A480" s="199"/>
      <c r="B480" s="199"/>
      <c r="C480" s="199"/>
      <c r="D480" s="199"/>
      <c r="E480" s="199"/>
    </row>
    <row r="481" ht="14.25" customHeight="1">
      <c r="A481" s="199"/>
      <c r="B481" s="199"/>
      <c r="C481" s="199"/>
      <c r="D481" s="199"/>
      <c r="E481" s="199"/>
    </row>
    <row r="482" ht="14.25" customHeight="1">
      <c r="A482" s="199"/>
      <c r="B482" s="199"/>
      <c r="C482" s="199"/>
      <c r="D482" s="199"/>
      <c r="E482" s="199"/>
    </row>
    <row r="483" ht="14.25" customHeight="1">
      <c r="A483" s="199"/>
      <c r="B483" s="199"/>
      <c r="C483" s="199"/>
      <c r="D483" s="199"/>
      <c r="E483" s="199"/>
    </row>
    <row r="484" ht="14.25" customHeight="1">
      <c r="A484" s="199"/>
      <c r="B484" s="199"/>
      <c r="C484" s="199"/>
      <c r="D484" s="199"/>
      <c r="E484" s="199"/>
    </row>
    <row r="485" ht="14.25" customHeight="1">
      <c r="A485" s="199"/>
      <c r="B485" s="199"/>
      <c r="C485" s="199"/>
      <c r="D485" s="199"/>
      <c r="E485" s="199"/>
    </row>
    <row r="486" ht="14.25" customHeight="1">
      <c r="A486" s="199"/>
      <c r="B486" s="199"/>
      <c r="C486" s="199"/>
      <c r="D486" s="199"/>
      <c r="E486" s="199"/>
    </row>
    <row r="487" ht="14.25" customHeight="1">
      <c r="A487" s="199"/>
      <c r="B487" s="199"/>
      <c r="C487" s="199"/>
      <c r="D487" s="199"/>
      <c r="E487" s="199"/>
    </row>
    <row r="488" ht="14.25" customHeight="1">
      <c r="A488" s="199"/>
      <c r="B488" s="199"/>
      <c r="C488" s="199"/>
      <c r="D488" s="199"/>
      <c r="E488" s="199"/>
    </row>
    <row r="489" ht="14.25" customHeight="1">
      <c r="A489" s="199"/>
      <c r="B489" s="199"/>
      <c r="C489" s="199"/>
      <c r="D489" s="199"/>
      <c r="E489" s="199"/>
    </row>
    <row r="490" ht="14.25" customHeight="1">
      <c r="A490" s="199"/>
      <c r="B490" s="199"/>
      <c r="C490" s="199"/>
      <c r="D490" s="199"/>
      <c r="E490" s="199"/>
    </row>
    <row r="491" ht="14.25" customHeight="1">
      <c r="A491" s="199"/>
      <c r="B491" s="199"/>
      <c r="C491" s="199"/>
      <c r="D491" s="199"/>
      <c r="E491" s="199"/>
    </row>
    <row r="492" ht="14.25" customHeight="1">
      <c r="A492" s="199"/>
      <c r="B492" s="199"/>
      <c r="C492" s="199"/>
      <c r="D492" s="199"/>
      <c r="E492" s="199"/>
    </row>
    <row r="493" ht="14.25" customHeight="1">
      <c r="A493" s="199"/>
      <c r="B493" s="199"/>
      <c r="C493" s="199"/>
      <c r="D493" s="199"/>
      <c r="E493" s="199"/>
    </row>
    <row r="494" ht="14.25" customHeight="1">
      <c r="A494" s="199"/>
      <c r="B494" s="199"/>
      <c r="C494" s="199"/>
      <c r="D494" s="199"/>
      <c r="E494" s="199"/>
    </row>
    <row r="495" ht="14.25" customHeight="1">
      <c r="A495" s="199"/>
      <c r="B495" s="199"/>
      <c r="C495" s="199"/>
      <c r="D495" s="199"/>
      <c r="E495" s="199"/>
    </row>
    <row r="496" ht="14.25" customHeight="1">
      <c r="A496" s="199"/>
      <c r="B496" s="199"/>
      <c r="C496" s="199"/>
      <c r="D496" s="199"/>
      <c r="E496" s="199"/>
    </row>
    <row r="497" ht="14.25" customHeight="1">
      <c r="A497" s="199"/>
      <c r="B497" s="199"/>
      <c r="C497" s="199"/>
      <c r="D497" s="199"/>
      <c r="E497" s="199"/>
    </row>
    <row r="498" ht="14.25" customHeight="1">
      <c r="A498" s="199"/>
      <c r="B498" s="199"/>
      <c r="C498" s="199"/>
      <c r="D498" s="199"/>
      <c r="E498" s="199"/>
    </row>
    <row r="499" ht="14.25" customHeight="1">
      <c r="A499" s="199"/>
      <c r="B499" s="199"/>
      <c r="C499" s="199"/>
      <c r="D499" s="199"/>
      <c r="E499" s="199"/>
    </row>
    <row r="500" ht="14.25" customHeight="1">
      <c r="A500" s="199"/>
      <c r="B500" s="199"/>
      <c r="C500" s="199"/>
      <c r="D500" s="199"/>
      <c r="E500" s="199"/>
    </row>
    <row r="501" ht="14.25" customHeight="1">
      <c r="A501" s="199"/>
      <c r="B501" s="199"/>
      <c r="C501" s="199"/>
      <c r="D501" s="199"/>
      <c r="E501" s="199"/>
    </row>
    <row r="502" ht="14.25" customHeight="1">
      <c r="A502" s="199"/>
      <c r="B502" s="199"/>
      <c r="C502" s="199"/>
      <c r="D502" s="199"/>
      <c r="E502" s="199"/>
    </row>
    <row r="503" ht="14.25" customHeight="1">
      <c r="A503" s="199"/>
      <c r="B503" s="199"/>
      <c r="C503" s="199"/>
      <c r="D503" s="199"/>
      <c r="E503" s="199"/>
    </row>
    <row r="504" ht="14.25" customHeight="1">
      <c r="A504" s="199"/>
      <c r="B504" s="199"/>
      <c r="C504" s="199"/>
      <c r="D504" s="199"/>
      <c r="E504" s="199"/>
    </row>
    <row r="505" ht="14.25" customHeight="1">
      <c r="A505" s="199"/>
      <c r="B505" s="199"/>
      <c r="C505" s="199"/>
      <c r="D505" s="199"/>
      <c r="E505" s="199"/>
    </row>
    <row r="506" ht="14.25" customHeight="1">
      <c r="A506" s="199"/>
      <c r="B506" s="199"/>
      <c r="C506" s="199"/>
      <c r="D506" s="199"/>
      <c r="E506" s="199"/>
    </row>
    <row r="507" ht="14.25" customHeight="1">
      <c r="A507" s="199"/>
      <c r="B507" s="199"/>
      <c r="C507" s="199"/>
      <c r="D507" s="199"/>
      <c r="E507" s="199"/>
    </row>
    <row r="508" ht="14.25" customHeight="1">
      <c r="A508" s="199"/>
      <c r="B508" s="199"/>
      <c r="C508" s="199"/>
      <c r="D508" s="199"/>
      <c r="E508" s="199"/>
    </row>
    <row r="509" ht="14.25" customHeight="1">
      <c r="A509" s="199"/>
      <c r="B509" s="199"/>
      <c r="C509" s="199"/>
      <c r="D509" s="199"/>
      <c r="E509" s="199"/>
    </row>
    <row r="510" ht="14.25" customHeight="1">
      <c r="A510" s="199"/>
      <c r="B510" s="199"/>
      <c r="C510" s="199"/>
      <c r="D510" s="199"/>
      <c r="E510" s="199"/>
    </row>
    <row r="511" ht="14.25" customHeight="1">
      <c r="A511" s="199"/>
      <c r="B511" s="199"/>
      <c r="C511" s="199"/>
      <c r="D511" s="199"/>
      <c r="E511" s="199"/>
    </row>
    <row r="512" ht="14.25" customHeight="1">
      <c r="A512" s="199"/>
      <c r="B512" s="199"/>
      <c r="C512" s="199"/>
      <c r="D512" s="199"/>
      <c r="E512" s="199"/>
    </row>
    <row r="513" ht="14.25" customHeight="1">
      <c r="A513" s="199"/>
      <c r="B513" s="199"/>
      <c r="C513" s="199"/>
      <c r="D513" s="199"/>
      <c r="E513" s="199"/>
    </row>
    <row r="514" ht="14.25" customHeight="1">
      <c r="A514" s="199"/>
      <c r="B514" s="199"/>
      <c r="C514" s="199"/>
      <c r="D514" s="199"/>
      <c r="E514" s="199"/>
    </row>
    <row r="515" ht="14.25" customHeight="1">
      <c r="A515" s="199"/>
      <c r="B515" s="199"/>
      <c r="C515" s="199"/>
      <c r="D515" s="199"/>
      <c r="E515" s="199"/>
    </row>
    <row r="516" ht="14.25" customHeight="1">
      <c r="A516" s="199"/>
      <c r="B516" s="199"/>
      <c r="C516" s="199"/>
      <c r="D516" s="199"/>
      <c r="E516" s="199"/>
    </row>
    <row r="517" ht="14.25" customHeight="1">
      <c r="A517" s="199"/>
      <c r="B517" s="199"/>
      <c r="C517" s="199"/>
      <c r="D517" s="199"/>
      <c r="E517" s="199"/>
    </row>
    <row r="518" ht="14.25" customHeight="1">
      <c r="A518" s="199"/>
      <c r="B518" s="199"/>
      <c r="C518" s="199"/>
      <c r="D518" s="199"/>
      <c r="E518" s="199"/>
    </row>
    <row r="519" ht="14.25" customHeight="1">
      <c r="A519" s="199"/>
      <c r="B519" s="199"/>
      <c r="C519" s="199"/>
      <c r="D519" s="199"/>
      <c r="E519" s="199"/>
    </row>
    <row r="520" ht="14.25" customHeight="1">
      <c r="A520" s="199"/>
      <c r="B520" s="199"/>
      <c r="C520" s="199"/>
      <c r="D520" s="199"/>
      <c r="E520" s="199"/>
    </row>
    <row r="521" ht="14.25" customHeight="1">
      <c r="A521" s="199"/>
      <c r="B521" s="199"/>
      <c r="C521" s="199"/>
      <c r="D521" s="199"/>
      <c r="E521" s="199"/>
    </row>
    <row r="522" ht="14.25" customHeight="1">
      <c r="A522" s="199"/>
      <c r="B522" s="199"/>
      <c r="C522" s="199"/>
      <c r="D522" s="199"/>
      <c r="E522" s="199"/>
    </row>
    <row r="523" ht="14.25" customHeight="1">
      <c r="A523" s="199"/>
      <c r="B523" s="199"/>
      <c r="C523" s="199"/>
      <c r="D523" s="199"/>
      <c r="E523" s="199"/>
    </row>
    <row r="524" ht="14.25" customHeight="1">
      <c r="A524" s="199"/>
      <c r="B524" s="199"/>
      <c r="C524" s="199"/>
      <c r="D524" s="199"/>
      <c r="E524" s="199"/>
    </row>
    <row r="525" ht="14.25" customHeight="1">
      <c r="A525" s="199"/>
      <c r="B525" s="199"/>
      <c r="C525" s="199"/>
      <c r="D525" s="199"/>
      <c r="E525" s="199"/>
    </row>
    <row r="526" ht="14.25" customHeight="1">
      <c r="A526" s="199"/>
      <c r="B526" s="199"/>
      <c r="C526" s="199"/>
      <c r="D526" s="199"/>
      <c r="E526" s="199"/>
    </row>
    <row r="527" ht="14.25" customHeight="1">
      <c r="A527" s="199"/>
      <c r="B527" s="199"/>
      <c r="C527" s="199"/>
      <c r="D527" s="199"/>
      <c r="E527" s="199"/>
    </row>
    <row r="528" ht="14.25" customHeight="1">
      <c r="A528" s="199"/>
      <c r="B528" s="199"/>
      <c r="C528" s="199"/>
      <c r="D528" s="199"/>
      <c r="E528" s="199"/>
    </row>
    <row r="529" ht="14.25" customHeight="1">
      <c r="A529" s="199"/>
      <c r="B529" s="199"/>
      <c r="C529" s="199"/>
      <c r="D529" s="199"/>
      <c r="E529" s="199"/>
    </row>
    <row r="530" ht="14.25" customHeight="1">
      <c r="A530" s="199"/>
      <c r="B530" s="199"/>
      <c r="C530" s="199"/>
      <c r="D530" s="199"/>
      <c r="E530" s="199"/>
    </row>
    <row r="531" ht="14.25" customHeight="1">
      <c r="A531" s="199"/>
      <c r="B531" s="199"/>
      <c r="C531" s="199"/>
      <c r="D531" s="199"/>
      <c r="E531" s="199"/>
    </row>
    <row r="532" ht="14.25" customHeight="1">
      <c r="A532" s="199"/>
      <c r="B532" s="199"/>
      <c r="C532" s="199"/>
      <c r="D532" s="199"/>
      <c r="E532" s="199"/>
    </row>
    <row r="533" ht="14.25" customHeight="1">
      <c r="A533" s="199"/>
      <c r="B533" s="199"/>
      <c r="C533" s="199"/>
      <c r="D533" s="199"/>
      <c r="E533" s="199"/>
    </row>
    <row r="534" ht="14.25" customHeight="1">
      <c r="A534" s="199"/>
      <c r="B534" s="199"/>
      <c r="C534" s="199"/>
      <c r="D534" s="199"/>
      <c r="E534" s="199"/>
    </row>
    <row r="535" ht="14.25" customHeight="1">
      <c r="A535" s="199"/>
      <c r="B535" s="199"/>
      <c r="C535" s="199"/>
      <c r="D535" s="199"/>
      <c r="E535" s="199"/>
    </row>
    <row r="536" ht="14.25" customHeight="1">
      <c r="A536" s="199"/>
      <c r="B536" s="199"/>
      <c r="C536" s="199"/>
      <c r="D536" s="199"/>
      <c r="E536" s="199"/>
    </row>
    <row r="537" ht="14.25" customHeight="1">
      <c r="A537" s="199"/>
      <c r="B537" s="199"/>
      <c r="C537" s="199"/>
      <c r="D537" s="199"/>
      <c r="E537" s="199"/>
    </row>
    <row r="538" ht="14.25" customHeight="1">
      <c r="A538" s="199"/>
      <c r="B538" s="199"/>
      <c r="C538" s="199"/>
      <c r="D538" s="199"/>
      <c r="E538" s="199"/>
    </row>
    <row r="539" ht="14.25" customHeight="1">
      <c r="A539" s="199"/>
      <c r="B539" s="199"/>
      <c r="C539" s="199"/>
      <c r="D539" s="199"/>
      <c r="E539" s="199"/>
    </row>
    <row r="540" ht="14.25" customHeight="1">
      <c r="A540" s="199"/>
      <c r="B540" s="199"/>
      <c r="C540" s="199"/>
      <c r="D540" s="199"/>
      <c r="E540" s="199"/>
    </row>
    <row r="541" ht="14.25" customHeight="1">
      <c r="A541" s="199"/>
      <c r="B541" s="199"/>
      <c r="C541" s="199"/>
      <c r="D541" s="199"/>
      <c r="E541" s="199"/>
    </row>
    <row r="542" ht="14.25" customHeight="1">
      <c r="A542" s="199"/>
      <c r="B542" s="199"/>
      <c r="C542" s="199"/>
      <c r="D542" s="199"/>
      <c r="E542" s="199"/>
    </row>
    <row r="543" ht="14.25" customHeight="1">
      <c r="A543" s="199"/>
      <c r="B543" s="199"/>
      <c r="C543" s="199"/>
      <c r="D543" s="199"/>
      <c r="E543" s="199"/>
    </row>
    <row r="544" ht="14.25" customHeight="1">
      <c r="A544" s="199"/>
      <c r="B544" s="199"/>
      <c r="C544" s="199"/>
      <c r="D544" s="199"/>
      <c r="E544" s="199"/>
    </row>
    <row r="545" ht="14.25" customHeight="1">
      <c r="A545" s="199"/>
      <c r="B545" s="199"/>
      <c r="C545" s="199"/>
      <c r="D545" s="199"/>
      <c r="E545" s="199"/>
    </row>
    <row r="546" ht="14.25" customHeight="1">
      <c r="A546" s="199"/>
      <c r="B546" s="199"/>
      <c r="C546" s="199"/>
      <c r="D546" s="199"/>
      <c r="E546" s="199"/>
    </row>
    <row r="547" ht="14.25" customHeight="1">
      <c r="A547" s="199"/>
      <c r="B547" s="199"/>
      <c r="C547" s="199"/>
      <c r="D547" s="199"/>
      <c r="E547" s="199"/>
    </row>
    <row r="548" ht="14.25" customHeight="1">
      <c r="A548" s="199"/>
      <c r="B548" s="199"/>
      <c r="C548" s="199"/>
      <c r="D548" s="199"/>
      <c r="E548" s="199"/>
    </row>
    <row r="549" ht="14.25" customHeight="1">
      <c r="A549" s="199"/>
      <c r="B549" s="199"/>
      <c r="C549" s="199"/>
      <c r="D549" s="199"/>
      <c r="E549" s="199"/>
    </row>
    <row r="550" ht="14.25" customHeight="1">
      <c r="A550" s="199"/>
      <c r="B550" s="199"/>
      <c r="C550" s="199"/>
      <c r="D550" s="199"/>
      <c r="E550" s="199"/>
    </row>
    <row r="551" ht="14.25" customHeight="1">
      <c r="A551" s="199"/>
      <c r="B551" s="199"/>
      <c r="C551" s="199"/>
      <c r="D551" s="199"/>
      <c r="E551" s="199"/>
    </row>
    <row r="552" ht="14.25" customHeight="1">
      <c r="A552" s="199"/>
      <c r="B552" s="199"/>
      <c r="C552" s="199"/>
      <c r="D552" s="199"/>
      <c r="E552" s="199"/>
    </row>
    <row r="553" ht="14.25" customHeight="1">
      <c r="A553" s="199"/>
      <c r="B553" s="199"/>
      <c r="C553" s="199"/>
      <c r="D553" s="199"/>
      <c r="E553" s="199"/>
    </row>
    <row r="554" ht="14.25" customHeight="1">
      <c r="A554" s="199"/>
      <c r="B554" s="199"/>
      <c r="C554" s="199"/>
      <c r="D554" s="199"/>
      <c r="E554" s="199"/>
    </row>
    <row r="555" ht="14.25" customHeight="1">
      <c r="A555" s="199"/>
      <c r="B555" s="199"/>
      <c r="C555" s="199"/>
      <c r="D555" s="199"/>
      <c r="E555" s="199"/>
    </row>
    <row r="556" ht="14.25" customHeight="1">
      <c r="A556" s="199"/>
      <c r="B556" s="199"/>
      <c r="C556" s="199"/>
      <c r="D556" s="199"/>
      <c r="E556" s="199"/>
    </row>
    <row r="557" ht="14.25" customHeight="1">
      <c r="A557" s="199"/>
      <c r="B557" s="199"/>
      <c r="C557" s="199"/>
      <c r="D557" s="199"/>
      <c r="E557" s="199"/>
    </row>
    <row r="558" ht="14.25" customHeight="1">
      <c r="A558" s="199"/>
      <c r="B558" s="199"/>
      <c r="C558" s="199"/>
      <c r="D558" s="199"/>
      <c r="E558" s="199"/>
    </row>
    <row r="559" ht="14.25" customHeight="1">
      <c r="A559" s="199"/>
      <c r="B559" s="199"/>
      <c r="C559" s="199"/>
      <c r="D559" s="199"/>
      <c r="E559" s="199"/>
    </row>
    <row r="560" ht="14.25" customHeight="1">
      <c r="A560" s="199"/>
      <c r="B560" s="199"/>
      <c r="C560" s="199"/>
      <c r="D560" s="199"/>
      <c r="E560" s="199"/>
    </row>
    <row r="561" ht="14.25" customHeight="1">
      <c r="A561" s="199"/>
      <c r="B561" s="199"/>
      <c r="C561" s="199"/>
      <c r="D561" s="199"/>
      <c r="E561" s="199"/>
    </row>
    <row r="562" ht="14.25" customHeight="1">
      <c r="A562" s="199"/>
      <c r="B562" s="199"/>
      <c r="C562" s="199"/>
      <c r="D562" s="199"/>
      <c r="E562" s="199"/>
    </row>
    <row r="563" ht="14.25" customHeight="1">
      <c r="A563" s="199"/>
      <c r="B563" s="199"/>
      <c r="C563" s="199"/>
      <c r="D563" s="199"/>
      <c r="E563" s="199"/>
    </row>
    <row r="564" ht="14.25" customHeight="1">
      <c r="A564" s="199"/>
      <c r="B564" s="199"/>
      <c r="C564" s="199"/>
      <c r="D564" s="199"/>
      <c r="E564" s="199"/>
    </row>
    <row r="565" ht="14.25" customHeight="1">
      <c r="A565" s="199"/>
      <c r="B565" s="199"/>
      <c r="C565" s="199"/>
      <c r="D565" s="199"/>
      <c r="E565" s="199"/>
    </row>
    <row r="566" ht="14.25" customHeight="1">
      <c r="A566" s="199"/>
      <c r="B566" s="199"/>
      <c r="C566" s="199"/>
      <c r="D566" s="199"/>
      <c r="E566" s="199"/>
    </row>
    <row r="567" ht="14.25" customHeight="1">
      <c r="A567" s="199"/>
      <c r="B567" s="199"/>
      <c r="C567" s="199"/>
      <c r="D567" s="199"/>
      <c r="E567" s="199"/>
    </row>
    <row r="568" ht="14.25" customHeight="1">
      <c r="A568" s="199"/>
      <c r="B568" s="199"/>
      <c r="C568" s="199"/>
      <c r="D568" s="199"/>
      <c r="E568" s="199"/>
    </row>
    <row r="569" ht="14.25" customHeight="1">
      <c r="A569" s="199"/>
      <c r="B569" s="199"/>
      <c r="C569" s="199"/>
      <c r="D569" s="199"/>
      <c r="E569" s="199"/>
    </row>
    <row r="570" ht="14.25" customHeight="1">
      <c r="A570" s="199"/>
      <c r="B570" s="199"/>
      <c r="C570" s="199"/>
      <c r="D570" s="199"/>
      <c r="E570" s="199"/>
    </row>
    <row r="571" ht="14.25" customHeight="1">
      <c r="A571" s="199"/>
      <c r="B571" s="199"/>
      <c r="C571" s="199"/>
      <c r="D571" s="199"/>
      <c r="E571" s="199"/>
    </row>
    <row r="572" ht="14.25" customHeight="1">
      <c r="A572" s="199"/>
      <c r="B572" s="199"/>
      <c r="C572" s="199"/>
      <c r="D572" s="199"/>
      <c r="E572" s="199"/>
    </row>
    <row r="573" ht="14.25" customHeight="1">
      <c r="A573" s="199"/>
      <c r="B573" s="199"/>
      <c r="C573" s="199"/>
      <c r="D573" s="199"/>
      <c r="E573" s="199"/>
    </row>
    <row r="574" ht="14.25" customHeight="1">
      <c r="A574" s="199"/>
      <c r="B574" s="199"/>
      <c r="C574" s="199"/>
      <c r="D574" s="199"/>
      <c r="E574" s="199"/>
    </row>
    <row r="575" ht="14.25" customHeight="1">
      <c r="A575" s="199"/>
      <c r="B575" s="199"/>
      <c r="C575" s="199"/>
      <c r="D575" s="199"/>
      <c r="E575" s="199"/>
    </row>
    <row r="576" ht="14.25" customHeight="1">
      <c r="A576" s="199"/>
      <c r="B576" s="199"/>
      <c r="C576" s="199"/>
      <c r="D576" s="199"/>
      <c r="E576" s="199"/>
    </row>
    <row r="577" ht="14.25" customHeight="1">
      <c r="A577" s="199"/>
      <c r="B577" s="199"/>
      <c r="C577" s="199"/>
      <c r="D577" s="199"/>
      <c r="E577" s="199"/>
    </row>
    <row r="578" ht="14.25" customHeight="1">
      <c r="A578" s="199"/>
      <c r="B578" s="199"/>
      <c r="C578" s="199"/>
      <c r="D578" s="199"/>
      <c r="E578" s="199"/>
    </row>
    <row r="579" ht="14.25" customHeight="1">
      <c r="A579" s="199"/>
      <c r="B579" s="199"/>
      <c r="C579" s="199"/>
      <c r="D579" s="199"/>
      <c r="E579" s="199"/>
    </row>
    <row r="580" ht="14.25" customHeight="1">
      <c r="A580" s="199"/>
      <c r="B580" s="199"/>
      <c r="C580" s="199"/>
      <c r="D580" s="199"/>
      <c r="E580" s="199"/>
    </row>
    <row r="581" ht="14.25" customHeight="1">
      <c r="A581" s="199"/>
      <c r="B581" s="199"/>
      <c r="C581" s="199"/>
      <c r="D581" s="199"/>
      <c r="E581" s="199"/>
    </row>
    <row r="582" ht="14.25" customHeight="1">
      <c r="A582" s="199"/>
      <c r="B582" s="199"/>
      <c r="C582" s="199"/>
      <c r="D582" s="199"/>
      <c r="E582" s="199"/>
    </row>
    <row r="583" ht="14.25" customHeight="1">
      <c r="A583" s="199"/>
      <c r="B583" s="199"/>
      <c r="C583" s="199"/>
      <c r="D583" s="199"/>
      <c r="E583" s="199"/>
    </row>
    <row r="584" ht="14.25" customHeight="1">
      <c r="A584" s="199"/>
      <c r="B584" s="199"/>
      <c r="C584" s="199"/>
      <c r="D584" s="199"/>
      <c r="E584" s="199"/>
    </row>
    <row r="585" ht="14.25" customHeight="1">
      <c r="A585" s="199"/>
      <c r="B585" s="199"/>
      <c r="C585" s="199"/>
      <c r="D585" s="199"/>
      <c r="E585" s="199"/>
    </row>
    <row r="586" ht="14.25" customHeight="1">
      <c r="A586" s="199"/>
      <c r="B586" s="199"/>
      <c r="C586" s="199"/>
      <c r="D586" s="199"/>
      <c r="E586" s="199"/>
    </row>
    <row r="587" ht="14.25" customHeight="1">
      <c r="A587" s="199"/>
      <c r="B587" s="199"/>
      <c r="C587" s="199"/>
      <c r="D587" s="199"/>
      <c r="E587" s="199"/>
    </row>
    <row r="588" ht="14.25" customHeight="1">
      <c r="A588" s="199"/>
      <c r="B588" s="199"/>
      <c r="C588" s="199"/>
      <c r="D588" s="199"/>
      <c r="E588" s="199"/>
    </row>
    <row r="589" ht="14.25" customHeight="1">
      <c r="A589" s="199"/>
      <c r="B589" s="199"/>
      <c r="C589" s="199"/>
      <c r="D589" s="199"/>
      <c r="E589" s="199"/>
    </row>
    <row r="590" ht="14.25" customHeight="1">
      <c r="A590" s="199"/>
      <c r="B590" s="199"/>
      <c r="C590" s="199"/>
      <c r="D590" s="199"/>
      <c r="E590" s="199"/>
    </row>
    <row r="591" ht="14.25" customHeight="1">
      <c r="A591" s="199"/>
      <c r="B591" s="199"/>
      <c r="C591" s="199"/>
      <c r="D591" s="199"/>
      <c r="E591" s="199"/>
    </row>
    <row r="592" ht="14.25" customHeight="1">
      <c r="A592" s="199"/>
      <c r="B592" s="199"/>
      <c r="C592" s="199"/>
      <c r="D592" s="199"/>
      <c r="E592" s="199"/>
    </row>
    <row r="593" ht="14.25" customHeight="1">
      <c r="A593" s="199"/>
      <c r="B593" s="199"/>
      <c r="C593" s="199"/>
      <c r="D593" s="199"/>
      <c r="E593" s="199"/>
    </row>
    <row r="594" ht="14.25" customHeight="1">
      <c r="A594" s="199"/>
      <c r="B594" s="199"/>
      <c r="C594" s="199"/>
      <c r="D594" s="199"/>
      <c r="E594" s="199"/>
    </row>
    <row r="595" ht="14.25" customHeight="1">
      <c r="A595" s="199"/>
      <c r="B595" s="199"/>
      <c r="C595" s="199"/>
      <c r="D595" s="199"/>
      <c r="E595" s="199"/>
    </row>
    <row r="596" ht="14.25" customHeight="1">
      <c r="A596" s="199"/>
      <c r="B596" s="199"/>
      <c r="C596" s="199"/>
      <c r="D596" s="199"/>
      <c r="E596" s="199"/>
    </row>
    <row r="597" ht="14.25" customHeight="1">
      <c r="A597" s="199"/>
      <c r="B597" s="199"/>
      <c r="C597" s="199"/>
      <c r="D597" s="199"/>
      <c r="E597" s="199"/>
    </row>
    <row r="598" ht="14.25" customHeight="1">
      <c r="A598" s="199"/>
      <c r="B598" s="199"/>
      <c r="C598" s="199"/>
      <c r="D598" s="199"/>
      <c r="E598" s="199"/>
    </row>
    <row r="599" ht="14.25" customHeight="1">
      <c r="A599" s="199"/>
      <c r="B599" s="199"/>
      <c r="C599" s="199"/>
      <c r="D599" s="199"/>
      <c r="E599" s="199"/>
    </row>
    <row r="600" ht="14.25" customHeight="1">
      <c r="A600" s="199"/>
      <c r="B600" s="199"/>
      <c r="C600" s="199"/>
      <c r="D600" s="199"/>
      <c r="E600" s="199"/>
    </row>
    <row r="601" ht="14.25" customHeight="1">
      <c r="A601" s="199"/>
      <c r="B601" s="199"/>
      <c r="C601" s="199"/>
      <c r="D601" s="199"/>
      <c r="E601" s="199"/>
    </row>
    <row r="602" ht="14.25" customHeight="1">
      <c r="A602" s="199"/>
      <c r="B602" s="199"/>
      <c r="C602" s="199"/>
      <c r="D602" s="199"/>
      <c r="E602" s="199"/>
    </row>
    <row r="603" ht="14.25" customHeight="1">
      <c r="A603" s="199"/>
      <c r="B603" s="199"/>
      <c r="C603" s="199"/>
      <c r="D603" s="199"/>
      <c r="E603" s="199"/>
    </row>
    <row r="604" ht="14.25" customHeight="1">
      <c r="A604" s="199"/>
      <c r="B604" s="199"/>
      <c r="C604" s="199"/>
      <c r="D604" s="199"/>
      <c r="E604" s="199"/>
    </row>
    <row r="605" ht="14.25" customHeight="1">
      <c r="A605" s="199"/>
      <c r="B605" s="199"/>
      <c r="C605" s="199"/>
      <c r="D605" s="199"/>
      <c r="E605" s="199"/>
    </row>
    <row r="606" ht="14.25" customHeight="1">
      <c r="A606" s="199"/>
      <c r="B606" s="199"/>
      <c r="C606" s="199"/>
      <c r="D606" s="199"/>
      <c r="E606" s="199"/>
    </row>
    <row r="607" ht="14.25" customHeight="1">
      <c r="A607" s="199"/>
      <c r="B607" s="199"/>
      <c r="C607" s="199"/>
      <c r="D607" s="199"/>
      <c r="E607" s="199"/>
    </row>
    <row r="608" ht="14.25" customHeight="1">
      <c r="A608" s="199"/>
      <c r="B608" s="199"/>
      <c r="C608" s="199"/>
      <c r="D608" s="199"/>
      <c r="E608" s="199"/>
    </row>
    <row r="609" ht="14.25" customHeight="1">
      <c r="A609" s="199"/>
      <c r="B609" s="199"/>
      <c r="C609" s="199"/>
      <c r="D609" s="199"/>
      <c r="E609" s="199"/>
    </row>
    <row r="610" ht="14.25" customHeight="1">
      <c r="A610" s="199"/>
      <c r="B610" s="199"/>
      <c r="C610" s="199"/>
      <c r="D610" s="199"/>
      <c r="E610" s="199"/>
    </row>
    <row r="611" ht="14.25" customHeight="1">
      <c r="A611" s="199"/>
      <c r="B611" s="199"/>
      <c r="C611" s="199"/>
      <c r="D611" s="199"/>
      <c r="E611" s="199"/>
    </row>
    <row r="612" ht="14.25" customHeight="1">
      <c r="A612" s="199"/>
      <c r="B612" s="199"/>
      <c r="C612" s="199"/>
      <c r="D612" s="199"/>
      <c r="E612" s="199"/>
    </row>
    <row r="613" ht="14.25" customHeight="1">
      <c r="A613" s="199"/>
      <c r="B613" s="199"/>
      <c r="C613" s="199"/>
      <c r="D613" s="199"/>
      <c r="E613" s="199"/>
    </row>
    <row r="614" ht="14.25" customHeight="1">
      <c r="A614" s="199"/>
      <c r="B614" s="199"/>
      <c r="C614" s="199"/>
      <c r="D614" s="199"/>
      <c r="E614" s="199"/>
    </row>
    <row r="615" ht="14.25" customHeight="1">
      <c r="A615" s="199"/>
      <c r="B615" s="199"/>
      <c r="C615" s="199"/>
      <c r="D615" s="199"/>
      <c r="E615" s="199"/>
    </row>
    <row r="616" ht="14.25" customHeight="1">
      <c r="A616" s="199"/>
      <c r="B616" s="199"/>
      <c r="C616" s="199"/>
      <c r="D616" s="199"/>
      <c r="E616" s="199"/>
    </row>
    <row r="617" ht="14.25" customHeight="1">
      <c r="A617" s="199"/>
      <c r="B617" s="199"/>
      <c r="C617" s="199"/>
      <c r="D617" s="199"/>
      <c r="E617" s="199"/>
    </row>
    <row r="618" ht="14.25" customHeight="1">
      <c r="A618" s="199"/>
      <c r="B618" s="199"/>
      <c r="C618" s="199"/>
      <c r="D618" s="199"/>
      <c r="E618" s="199"/>
    </row>
    <row r="619" ht="14.25" customHeight="1">
      <c r="A619" s="199"/>
      <c r="B619" s="199"/>
      <c r="C619" s="199"/>
      <c r="D619" s="199"/>
      <c r="E619" s="199"/>
    </row>
    <row r="620" ht="14.25" customHeight="1">
      <c r="A620" s="199"/>
      <c r="B620" s="199"/>
      <c r="C620" s="199"/>
      <c r="D620" s="199"/>
      <c r="E620" s="199"/>
    </row>
    <row r="621" ht="14.25" customHeight="1">
      <c r="A621" s="199"/>
      <c r="B621" s="199"/>
      <c r="C621" s="199"/>
      <c r="D621" s="199"/>
      <c r="E621" s="199"/>
    </row>
    <row r="622" ht="14.25" customHeight="1">
      <c r="A622" s="199"/>
      <c r="B622" s="199"/>
      <c r="C622" s="199"/>
      <c r="D622" s="199"/>
      <c r="E622" s="199"/>
    </row>
    <row r="623" ht="14.25" customHeight="1">
      <c r="A623" s="199"/>
      <c r="B623" s="199"/>
      <c r="C623" s="199"/>
      <c r="D623" s="199"/>
      <c r="E623" s="199"/>
    </row>
    <row r="624" ht="14.25" customHeight="1">
      <c r="A624" s="199"/>
      <c r="B624" s="199"/>
      <c r="C624" s="199"/>
      <c r="D624" s="199"/>
      <c r="E624" s="199"/>
    </row>
    <row r="625" ht="14.25" customHeight="1">
      <c r="A625" s="199"/>
      <c r="B625" s="199"/>
      <c r="C625" s="199"/>
      <c r="D625" s="199"/>
      <c r="E625" s="199"/>
    </row>
    <row r="626" ht="14.25" customHeight="1">
      <c r="A626" s="199"/>
      <c r="B626" s="199"/>
      <c r="C626" s="199"/>
      <c r="D626" s="199"/>
      <c r="E626" s="199"/>
    </row>
    <row r="627" ht="14.25" customHeight="1">
      <c r="A627" s="199"/>
      <c r="B627" s="199"/>
      <c r="C627" s="199"/>
      <c r="D627" s="199"/>
      <c r="E627" s="199"/>
    </row>
    <row r="628" ht="14.25" customHeight="1">
      <c r="A628" s="199"/>
      <c r="B628" s="199"/>
      <c r="C628" s="199"/>
      <c r="D628" s="199"/>
      <c r="E628" s="199"/>
    </row>
    <row r="629" ht="14.25" customHeight="1">
      <c r="A629" s="199"/>
      <c r="B629" s="199"/>
      <c r="C629" s="199"/>
      <c r="D629" s="199"/>
      <c r="E629" s="199"/>
    </row>
    <row r="630" ht="14.25" customHeight="1">
      <c r="A630" s="199"/>
      <c r="B630" s="199"/>
      <c r="C630" s="199"/>
      <c r="D630" s="199"/>
      <c r="E630" s="199"/>
    </row>
    <row r="631" ht="14.25" customHeight="1">
      <c r="A631" s="199"/>
      <c r="B631" s="199"/>
      <c r="C631" s="199"/>
      <c r="D631" s="199"/>
      <c r="E631" s="199"/>
    </row>
    <row r="632" ht="14.25" customHeight="1">
      <c r="A632" s="199"/>
      <c r="B632" s="199"/>
      <c r="C632" s="199"/>
      <c r="D632" s="199"/>
      <c r="E632" s="199"/>
    </row>
    <row r="633" ht="14.25" customHeight="1">
      <c r="A633" s="199"/>
      <c r="B633" s="199"/>
      <c r="C633" s="199"/>
      <c r="D633" s="199"/>
      <c r="E633" s="199"/>
    </row>
    <row r="634" ht="14.25" customHeight="1">
      <c r="A634" s="199"/>
      <c r="B634" s="199"/>
      <c r="C634" s="199"/>
      <c r="D634" s="199"/>
      <c r="E634" s="199"/>
    </row>
    <row r="635" ht="14.25" customHeight="1">
      <c r="A635" s="199"/>
      <c r="B635" s="199"/>
      <c r="C635" s="199"/>
      <c r="D635" s="199"/>
      <c r="E635" s="199"/>
    </row>
    <row r="636" ht="14.25" customHeight="1">
      <c r="A636" s="199"/>
      <c r="B636" s="199"/>
      <c r="C636" s="199"/>
      <c r="D636" s="199"/>
      <c r="E636" s="199"/>
    </row>
    <row r="637" ht="14.25" customHeight="1">
      <c r="A637" s="199"/>
      <c r="B637" s="199"/>
      <c r="C637" s="199"/>
      <c r="D637" s="199"/>
      <c r="E637" s="199"/>
    </row>
    <row r="638" ht="14.25" customHeight="1">
      <c r="A638" s="199"/>
      <c r="B638" s="199"/>
      <c r="C638" s="199"/>
      <c r="D638" s="199"/>
      <c r="E638" s="199"/>
    </row>
    <row r="639" ht="14.25" customHeight="1">
      <c r="A639" s="199"/>
      <c r="B639" s="199"/>
      <c r="C639" s="199"/>
      <c r="D639" s="199"/>
      <c r="E639" s="199"/>
    </row>
    <row r="640" ht="14.25" customHeight="1">
      <c r="A640" s="199"/>
      <c r="B640" s="199"/>
      <c r="C640" s="199"/>
      <c r="D640" s="199"/>
      <c r="E640" s="199"/>
    </row>
    <row r="641" ht="14.25" customHeight="1">
      <c r="A641" s="199"/>
      <c r="B641" s="199"/>
      <c r="C641" s="199"/>
      <c r="D641" s="199"/>
      <c r="E641" s="199"/>
    </row>
    <row r="642" ht="14.25" customHeight="1">
      <c r="A642" s="199"/>
      <c r="B642" s="199"/>
      <c r="C642" s="199"/>
      <c r="D642" s="199"/>
      <c r="E642" s="199"/>
    </row>
    <row r="643" ht="14.25" customHeight="1">
      <c r="A643" s="199"/>
      <c r="B643" s="199"/>
      <c r="C643" s="199"/>
      <c r="D643" s="199"/>
      <c r="E643" s="199"/>
    </row>
    <row r="644" ht="14.25" customHeight="1">
      <c r="A644" s="199"/>
      <c r="B644" s="199"/>
      <c r="C644" s="199"/>
      <c r="D644" s="199"/>
      <c r="E644" s="199"/>
    </row>
    <row r="645" ht="14.25" customHeight="1">
      <c r="A645" s="199"/>
      <c r="B645" s="199"/>
      <c r="C645" s="199"/>
      <c r="D645" s="199"/>
      <c r="E645" s="199"/>
    </row>
    <row r="646" ht="14.25" customHeight="1">
      <c r="A646" s="199"/>
      <c r="B646" s="199"/>
      <c r="C646" s="199"/>
      <c r="D646" s="199"/>
      <c r="E646" s="199"/>
    </row>
    <row r="647" ht="14.25" customHeight="1">
      <c r="A647" s="199"/>
      <c r="B647" s="199"/>
      <c r="C647" s="199"/>
      <c r="D647" s="199"/>
      <c r="E647" s="199"/>
    </row>
    <row r="648" ht="14.25" customHeight="1">
      <c r="A648" s="199"/>
      <c r="B648" s="199"/>
      <c r="C648" s="199"/>
      <c r="D648" s="199"/>
      <c r="E648" s="199"/>
    </row>
    <row r="649" ht="14.25" customHeight="1">
      <c r="A649" s="199"/>
      <c r="B649" s="199"/>
      <c r="C649" s="199"/>
      <c r="D649" s="199"/>
      <c r="E649" s="199"/>
    </row>
    <row r="650" ht="14.25" customHeight="1">
      <c r="A650" s="199"/>
      <c r="B650" s="199"/>
      <c r="C650" s="199"/>
      <c r="D650" s="199"/>
      <c r="E650" s="199"/>
    </row>
    <row r="651" ht="14.25" customHeight="1">
      <c r="A651" s="199"/>
      <c r="B651" s="199"/>
      <c r="C651" s="199"/>
      <c r="D651" s="199"/>
      <c r="E651" s="199"/>
    </row>
    <row r="652" ht="14.25" customHeight="1">
      <c r="A652" s="199"/>
      <c r="B652" s="199"/>
      <c r="C652" s="199"/>
      <c r="D652" s="199"/>
      <c r="E652" s="199"/>
    </row>
    <row r="653" ht="14.25" customHeight="1">
      <c r="A653" s="199"/>
      <c r="B653" s="199"/>
      <c r="C653" s="199"/>
      <c r="D653" s="199"/>
      <c r="E653" s="199"/>
    </row>
    <row r="654" ht="14.25" customHeight="1">
      <c r="A654" s="199"/>
      <c r="B654" s="199"/>
      <c r="C654" s="199"/>
      <c r="D654" s="199"/>
      <c r="E654" s="199"/>
    </row>
    <row r="655" ht="14.25" customHeight="1">
      <c r="A655" s="199"/>
      <c r="B655" s="199"/>
      <c r="C655" s="199"/>
      <c r="D655" s="199"/>
      <c r="E655" s="199"/>
    </row>
    <row r="656" ht="14.25" customHeight="1">
      <c r="A656" s="199"/>
      <c r="B656" s="199"/>
      <c r="C656" s="199"/>
      <c r="D656" s="199"/>
      <c r="E656" s="199"/>
    </row>
    <row r="657" ht="14.25" customHeight="1">
      <c r="A657" s="199"/>
      <c r="B657" s="199"/>
      <c r="C657" s="199"/>
      <c r="D657" s="199"/>
      <c r="E657" s="199"/>
    </row>
    <row r="658" ht="14.25" customHeight="1">
      <c r="A658" s="199"/>
      <c r="B658" s="199"/>
      <c r="C658" s="199"/>
      <c r="D658" s="199"/>
      <c r="E658" s="199"/>
    </row>
    <row r="659" ht="14.25" customHeight="1">
      <c r="A659" s="199"/>
      <c r="B659" s="199"/>
      <c r="C659" s="199"/>
      <c r="D659" s="199"/>
      <c r="E659" s="199"/>
    </row>
    <row r="660" ht="14.25" customHeight="1">
      <c r="A660" s="199"/>
      <c r="B660" s="199"/>
      <c r="C660" s="199"/>
      <c r="D660" s="199"/>
      <c r="E660" s="199"/>
    </row>
    <row r="661" ht="14.25" customHeight="1">
      <c r="A661" s="199"/>
      <c r="B661" s="199"/>
      <c r="C661" s="199"/>
      <c r="D661" s="199"/>
      <c r="E661" s="199"/>
    </row>
    <row r="662" ht="14.25" customHeight="1">
      <c r="A662" s="199"/>
      <c r="B662" s="199"/>
      <c r="C662" s="199"/>
      <c r="D662" s="199"/>
      <c r="E662" s="199"/>
    </row>
    <row r="663" ht="14.25" customHeight="1">
      <c r="A663" s="199"/>
      <c r="B663" s="199"/>
      <c r="C663" s="199"/>
      <c r="D663" s="199"/>
      <c r="E663" s="199"/>
    </row>
    <row r="664" ht="14.25" customHeight="1">
      <c r="A664" s="199"/>
      <c r="B664" s="199"/>
      <c r="C664" s="199"/>
      <c r="D664" s="199"/>
      <c r="E664" s="199"/>
    </row>
    <row r="665" ht="14.25" customHeight="1">
      <c r="A665" s="199"/>
      <c r="B665" s="199"/>
      <c r="C665" s="199"/>
      <c r="D665" s="199"/>
      <c r="E665" s="199"/>
    </row>
    <row r="666" ht="14.25" customHeight="1">
      <c r="A666" s="199"/>
      <c r="B666" s="199"/>
      <c r="C666" s="199"/>
      <c r="D666" s="199"/>
      <c r="E666" s="199"/>
    </row>
    <row r="667" ht="14.25" customHeight="1">
      <c r="A667" s="199"/>
      <c r="B667" s="199"/>
      <c r="C667" s="199"/>
      <c r="D667" s="199"/>
      <c r="E667" s="199"/>
    </row>
    <row r="668" ht="14.25" customHeight="1">
      <c r="A668" s="199"/>
      <c r="B668" s="199"/>
      <c r="C668" s="199"/>
      <c r="D668" s="199"/>
      <c r="E668" s="199"/>
    </row>
    <row r="669" ht="14.25" customHeight="1">
      <c r="A669" s="199"/>
      <c r="B669" s="199"/>
      <c r="C669" s="199"/>
      <c r="D669" s="199"/>
      <c r="E669" s="199"/>
    </row>
    <row r="670" ht="14.25" customHeight="1">
      <c r="A670" s="199"/>
      <c r="B670" s="199"/>
      <c r="C670" s="199"/>
      <c r="D670" s="199"/>
      <c r="E670" s="199"/>
    </row>
    <row r="671" ht="14.25" customHeight="1">
      <c r="A671" s="199"/>
      <c r="B671" s="199"/>
      <c r="C671" s="199"/>
      <c r="D671" s="199"/>
      <c r="E671" s="199"/>
    </row>
    <row r="672" ht="14.25" customHeight="1">
      <c r="A672" s="199"/>
      <c r="B672" s="199"/>
      <c r="C672" s="199"/>
      <c r="D672" s="199"/>
      <c r="E672" s="199"/>
    </row>
    <row r="673" ht="14.25" customHeight="1">
      <c r="A673" s="199"/>
      <c r="B673" s="199"/>
      <c r="C673" s="199"/>
      <c r="D673" s="199"/>
      <c r="E673" s="199"/>
    </row>
    <row r="674" ht="14.25" customHeight="1">
      <c r="A674" s="199"/>
      <c r="B674" s="199"/>
      <c r="C674" s="199"/>
      <c r="D674" s="199"/>
      <c r="E674" s="199"/>
    </row>
    <row r="675" ht="14.25" customHeight="1">
      <c r="A675" s="199"/>
      <c r="B675" s="199"/>
      <c r="C675" s="199"/>
      <c r="D675" s="199"/>
      <c r="E675" s="199"/>
    </row>
    <row r="676" ht="14.25" customHeight="1">
      <c r="A676" s="199"/>
      <c r="B676" s="199"/>
      <c r="C676" s="199"/>
      <c r="D676" s="199"/>
      <c r="E676" s="199"/>
    </row>
    <row r="677" ht="14.25" customHeight="1">
      <c r="A677" s="199"/>
      <c r="B677" s="199"/>
      <c r="C677" s="199"/>
      <c r="D677" s="199"/>
      <c r="E677" s="199"/>
    </row>
    <row r="678" ht="14.25" customHeight="1">
      <c r="A678" s="199"/>
      <c r="B678" s="199"/>
      <c r="C678" s="199"/>
      <c r="D678" s="199"/>
      <c r="E678" s="199"/>
    </row>
    <row r="679" ht="14.25" customHeight="1">
      <c r="A679" s="199"/>
      <c r="B679" s="199"/>
      <c r="C679" s="199"/>
      <c r="D679" s="199"/>
      <c r="E679" s="199"/>
    </row>
    <row r="680" ht="14.25" customHeight="1">
      <c r="A680" s="199"/>
      <c r="B680" s="199"/>
      <c r="C680" s="199"/>
      <c r="D680" s="199"/>
      <c r="E680" s="199"/>
    </row>
    <row r="681" ht="14.25" customHeight="1">
      <c r="A681" s="199"/>
      <c r="B681" s="199"/>
      <c r="C681" s="199"/>
      <c r="D681" s="199"/>
      <c r="E681" s="199"/>
    </row>
    <row r="682" ht="14.25" customHeight="1">
      <c r="A682" s="199"/>
      <c r="B682" s="199"/>
      <c r="C682" s="199"/>
      <c r="D682" s="199"/>
      <c r="E682" s="199"/>
    </row>
    <row r="683" ht="14.25" customHeight="1">
      <c r="A683" s="199"/>
      <c r="B683" s="199"/>
      <c r="C683" s="199"/>
      <c r="D683" s="199"/>
      <c r="E683" s="199"/>
    </row>
    <row r="684" ht="14.25" customHeight="1">
      <c r="A684" s="199"/>
      <c r="B684" s="199"/>
      <c r="C684" s="199"/>
      <c r="D684" s="199"/>
      <c r="E684" s="199"/>
    </row>
    <row r="685" ht="14.25" customHeight="1">
      <c r="A685" s="199"/>
      <c r="B685" s="199"/>
      <c r="C685" s="199"/>
      <c r="D685" s="199"/>
      <c r="E685" s="199"/>
    </row>
    <row r="686" ht="14.25" customHeight="1">
      <c r="A686" s="199"/>
      <c r="B686" s="199"/>
      <c r="C686" s="199"/>
      <c r="D686" s="199"/>
      <c r="E686" s="199"/>
    </row>
    <row r="687" ht="14.25" customHeight="1">
      <c r="A687" s="199"/>
      <c r="B687" s="199"/>
      <c r="C687" s="199"/>
      <c r="D687" s="199"/>
      <c r="E687" s="199"/>
    </row>
    <row r="688" ht="14.25" customHeight="1">
      <c r="A688" s="199"/>
      <c r="B688" s="199"/>
      <c r="C688" s="199"/>
      <c r="D688" s="199"/>
      <c r="E688" s="199"/>
    </row>
    <row r="689" ht="14.25" customHeight="1">
      <c r="A689" s="199"/>
      <c r="B689" s="199"/>
      <c r="C689" s="199"/>
      <c r="D689" s="199"/>
      <c r="E689" s="199"/>
    </row>
    <row r="690" ht="14.25" customHeight="1">
      <c r="A690" s="199"/>
      <c r="B690" s="199"/>
      <c r="C690" s="199"/>
      <c r="D690" s="199"/>
      <c r="E690" s="199"/>
    </row>
    <row r="691" ht="14.25" customHeight="1">
      <c r="A691" s="199"/>
      <c r="B691" s="199"/>
      <c r="C691" s="199"/>
      <c r="D691" s="199"/>
      <c r="E691" s="199"/>
    </row>
    <row r="692" ht="14.25" customHeight="1">
      <c r="A692" s="199"/>
      <c r="B692" s="199"/>
      <c r="C692" s="199"/>
      <c r="D692" s="199"/>
      <c r="E692" s="199"/>
    </row>
    <row r="693" ht="14.25" customHeight="1">
      <c r="A693" s="199"/>
      <c r="B693" s="199"/>
      <c r="C693" s="199"/>
      <c r="D693" s="199"/>
      <c r="E693" s="199"/>
    </row>
    <row r="694" ht="14.25" customHeight="1">
      <c r="A694" s="199"/>
      <c r="B694" s="199"/>
      <c r="C694" s="199"/>
      <c r="D694" s="199"/>
      <c r="E694" s="199"/>
    </row>
    <row r="695" ht="14.25" customHeight="1">
      <c r="A695" s="199"/>
      <c r="B695" s="199"/>
      <c r="C695" s="199"/>
      <c r="D695" s="199"/>
      <c r="E695" s="199"/>
    </row>
    <row r="696" ht="14.25" customHeight="1">
      <c r="A696" s="199"/>
      <c r="B696" s="199"/>
      <c r="C696" s="199"/>
      <c r="D696" s="199"/>
      <c r="E696" s="199"/>
    </row>
    <row r="697" ht="14.25" customHeight="1">
      <c r="A697" s="199"/>
      <c r="B697" s="199"/>
      <c r="C697" s="199"/>
      <c r="D697" s="199"/>
      <c r="E697" s="199"/>
    </row>
    <row r="698" ht="14.25" customHeight="1">
      <c r="A698" s="199"/>
      <c r="B698" s="199"/>
      <c r="C698" s="199"/>
      <c r="D698" s="199"/>
      <c r="E698" s="199"/>
    </row>
    <row r="699" ht="14.25" customHeight="1">
      <c r="A699" s="199"/>
      <c r="B699" s="199"/>
      <c r="C699" s="199"/>
      <c r="D699" s="199"/>
      <c r="E699" s="199"/>
    </row>
    <row r="700" ht="14.25" customHeight="1">
      <c r="A700" s="199"/>
      <c r="B700" s="199"/>
      <c r="C700" s="199"/>
      <c r="D700" s="199"/>
      <c r="E700" s="199"/>
    </row>
    <row r="701" ht="14.25" customHeight="1">
      <c r="A701" s="199"/>
      <c r="B701" s="199"/>
      <c r="C701" s="199"/>
      <c r="D701" s="199"/>
      <c r="E701" s="199"/>
    </row>
    <row r="702" ht="14.25" customHeight="1">
      <c r="A702" s="199"/>
      <c r="B702" s="199"/>
      <c r="C702" s="199"/>
      <c r="D702" s="199"/>
      <c r="E702" s="199"/>
    </row>
    <row r="703" ht="14.25" customHeight="1">
      <c r="A703" s="199"/>
      <c r="B703" s="199"/>
      <c r="C703" s="199"/>
      <c r="D703" s="199"/>
      <c r="E703" s="199"/>
    </row>
    <row r="704" ht="14.25" customHeight="1">
      <c r="A704" s="199"/>
      <c r="B704" s="199"/>
      <c r="C704" s="199"/>
      <c r="D704" s="199"/>
      <c r="E704" s="199"/>
    </row>
    <row r="705" ht="14.25" customHeight="1">
      <c r="A705" s="199"/>
      <c r="B705" s="199"/>
      <c r="C705" s="199"/>
      <c r="D705" s="199"/>
      <c r="E705" s="199"/>
    </row>
    <row r="706" ht="14.25" customHeight="1">
      <c r="A706" s="199"/>
      <c r="B706" s="199"/>
      <c r="C706" s="199"/>
      <c r="D706" s="199"/>
      <c r="E706" s="199"/>
    </row>
    <row r="707" ht="14.25" customHeight="1">
      <c r="A707" s="199"/>
      <c r="B707" s="199"/>
      <c r="C707" s="199"/>
      <c r="D707" s="199"/>
      <c r="E707" s="199"/>
    </row>
    <row r="708" ht="14.25" customHeight="1">
      <c r="A708" s="199"/>
      <c r="B708" s="199"/>
      <c r="C708" s="199"/>
      <c r="D708" s="199"/>
      <c r="E708" s="199"/>
    </row>
    <row r="709" ht="14.25" customHeight="1">
      <c r="A709" s="199"/>
      <c r="B709" s="199"/>
      <c r="C709" s="199"/>
      <c r="D709" s="199"/>
      <c r="E709" s="199"/>
    </row>
    <row r="710" ht="14.25" customHeight="1">
      <c r="A710" s="199"/>
      <c r="B710" s="199"/>
      <c r="C710" s="199"/>
      <c r="D710" s="199"/>
      <c r="E710" s="199"/>
    </row>
    <row r="711" ht="14.25" customHeight="1">
      <c r="A711" s="199"/>
      <c r="B711" s="199"/>
      <c r="C711" s="199"/>
      <c r="D711" s="199"/>
      <c r="E711" s="199"/>
    </row>
    <row r="712" ht="14.25" customHeight="1">
      <c r="A712" s="199"/>
      <c r="B712" s="199"/>
      <c r="C712" s="199"/>
      <c r="D712" s="199"/>
      <c r="E712" s="199"/>
    </row>
    <row r="713" ht="14.25" customHeight="1">
      <c r="A713" s="199"/>
      <c r="B713" s="199"/>
      <c r="C713" s="199"/>
      <c r="D713" s="199"/>
      <c r="E713" s="199"/>
    </row>
    <row r="714" ht="14.25" customHeight="1">
      <c r="A714" s="199"/>
      <c r="B714" s="199"/>
      <c r="C714" s="199"/>
      <c r="D714" s="199"/>
      <c r="E714" s="199"/>
    </row>
    <row r="715" ht="14.25" customHeight="1">
      <c r="A715" s="199"/>
      <c r="B715" s="199"/>
      <c r="C715" s="199"/>
      <c r="D715" s="199"/>
      <c r="E715" s="199"/>
    </row>
    <row r="716" ht="14.25" customHeight="1">
      <c r="A716" s="199"/>
      <c r="B716" s="199"/>
      <c r="C716" s="199"/>
      <c r="D716" s="199"/>
      <c r="E716" s="199"/>
    </row>
    <row r="717" ht="14.25" customHeight="1">
      <c r="A717" s="199"/>
      <c r="B717" s="199"/>
      <c r="C717" s="199"/>
      <c r="D717" s="199"/>
      <c r="E717" s="199"/>
    </row>
    <row r="718" ht="14.25" customHeight="1">
      <c r="A718" s="199"/>
      <c r="B718" s="199"/>
      <c r="C718" s="199"/>
      <c r="D718" s="199"/>
      <c r="E718" s="199"/>
    </row>
    <row r="719" ht="14.25" customHeight="1">
      <c r="A719" s="199"/>
      <c r="B719" s="199"/>
      <c r="C719" s="199"/>
      <c r="D719" s="199"/>
      <c r="E719" s="199"/>
    </row>
    <row r="720" ht="14.25" customHeight="1">
      <c r="A720" s="199"/>
      <c r="B720" s="199"/>
      <c r="C720" s="199"/>
      <c r="D720" s="199"/>
      <c r="E720" s="199"/>
    </row>
    <row r="721" ht="14.25" customHeight="1">
      <c r="A721" s="199"/>
      <c r="B721" s="199"/>
      <c r="C721" s="199"/>
      <c r="D721" s="199"/>
      <c r="E721" s="199"/>
    </row>
    <row r="722" ht="14.25" customHeight="1">
      <c r="A722" s="199"/>
      <c r="B722" s="199"/>
      <c r="C722" s="199"/>
      <c r="D722" s="199"/>
      <c r="E722" s="199"/>
    </row>
    <row r="723" ht="14.25" customHeight="1">
      <c r="A723" s="199"/>
      <c r="B723" s="199"/>
      <c r="C723" s="199"/>
      <c r="D723" s="199"/>
      <c r="E723" s="199"/>
    </row>
    <row r="724" ht="14.25" customHeight="1">
      <c r="A724" s="199"/>
      <c r="B724" s="199"/>
      <c r="C724" s="199"/>
      <c r="D724" s="199"/>
      <c r="E724" s="199"/>
    </row>
    <row r="725" ht="14.25" customHeight="1">
      <c r="A725" s="199"/>
      <c r="B725" s="199"/>
      <c r="C725" s="199"/>
      <c r="D725" s="199"/>
      <c r="E725" s="199"/>
    </row>
    <row r="726" ht="14.25" customHeight="1">
      <c r="A726" s="199"/>
      <c r="B726" s="199"/>
      <c r="C726" s="199"/>
      <c r="D726" s="199"/>
      <c r="E726" s="199"/>
    </row>
    <row r="727" ht="14.25" customHeight="1">
      <c r="A727" s="199"/>
      <c r="B727" s="199"/>
      <c r="C727" s="199"/>
      <c r="D727" s="199"/>
      <c r="E727" s="199"/>
    </row>
    <row r="728" ht="14.25" customHeight="1">
      <c r="A728" s="199"/>
      <c r="B728" s="199"/>
      <c r="C728" s="199"/>
      <c r="D728" s="199"/>
      <c r="E728" s="199"/>
    </row>
    <row r="729" ht="14.25" customHeight="1">
      <c r="A729" s="199"/>
      <c r="B729" s="199"/>
      <c r="C729" s="199"/>
      <c r="D729" s="199"/>
      <c r="E729" s="199"/>
    </row>
    <row r="730" ht="14.25" customHeight="1">
      <c r="A730" s="199"/>
      <c r="B730" s="199"/>
      <c r="C730" s="199"/>
      <c r="D730" s="199"/>
      <c r="E730" s="199"/>
    </row>
    <row r="731" ht="14.25" customHeight="1">
      <c r="A731" s="199"/>
      <c r="B731" s="199"/>
      <c r="C731" s="199"/>
      <c r="D731" s="199"/>
      <c r="E731" s="199"/>
    </row>
    <row r="732" ht="14.25" customHeight="1">
      <c r="A732" s="199"/>
      <c r="B732" s="199"/>
      <c r="C732" s="199"/>
      <c r="D732" s="199"/>
      <c r="E732" s="199"/>
    </row>
    <row r="733" ht="14.25" customHeight="1">
      <c r="A733" s="199"/>
      <c r="B733" s="199"/>
      <c r="C733" s="199"/>
      <c r="D733" s="199"/>
      <c r="E733" s="199"/>
    </row>
    <row r="734" ht="14.25" customHeight="1">
      <c r="A734" s="199"/>
      <c r="B734" s="199"/>
      <c r="C734" s="199"/>
      <c r="D734" s="199"/>
      <c r="E734" s="199"/>
    </row>
    <row r="735" ht="14.25" customHeight="1">
      <c r="A735" s="199"/>
      <c r="B735" s="199"/>
      <c r="C735" s="199"/>
      <c r="D735" s="199"/>
      <c r="E735" s="199"/>
    </row>
    <row r="736" ht="14.25" customHeight="1">
      <c r="A736" s="199"/>
      <c r="B736" s="199"/>
      <c r="C736" s="199"/>
      <c r="D736" s="199"/>
      <c r="E736" s="199"/>
    </row>
    <row r="737" ht="14.25" customHeight="1">
      <c r="A737" s="199"/>
      <c r="B737" s="199"/>
      <c r="C737" s="199"/>
      <c r="D737" s="199"/>
      <c r="E737" s="199"/>
    </row>
    <row r="738" ht="14.25" customHeight="1">
      <c r="A738" s="199"/>
      <c r="B738" s="199"/>
      <c r="C738" s="199"/>
      <c r="D738" s="199"/>
      <c r="E738" s="199"/>
    </row>
    <row r="739" ht="14.25" customHeight="1">
      <c r="A739" s="199"/>
      <c r="B739" s="199"/>
      <c r="C739" s="199"/>
      <c r="D739" s="199"/>
      <c r="E739" s="199"/>
    </row>
    <row r="740" ht="14.25" customHeight="1">
      <c r="A740" s="199"/>
      <c r="B740" s="199"/>
      <c r="C740" s="199"/>
      <c r="D740" s="199"/>
      <c r="E740" s="199"/>
    </row>
    <row r="741" ht="14.25" customHeight="1">
      <c r="A741" s="199"/>
      <c r="B741" s="199"/>
      <c r="C741" s="199"/>
      <c r="D741" s="199"/>
      <c r="E741" s="199"/>
    </row>
    <row r="742" ht="14.25" customHeight="1">
      <c r="A742" s="199"/>
      <c r="B742" s="199"/>
      <c r="C742" s="199"/>
      <c r="D742" s="199"/>
      <c r="E742" s="199"/>
    </row>
    <row r="743" ht="14.25" customHeight="1">
      <c r="A743" s="199"/>
      <c r="B743" s="199"/>
      <c r="C743" s="199"/>
      <c r="D743" s="199"/>
      <c r="E743" s="199"/>
    </row>
    <row r="744" ht="14.25" customHeight="1">
      <c r="A744" s="199"/>
      <c r="B744" s="199"/>
      <c r="C744" s="199"/>
      <c r="D744" s="199"/>
      <c r="E744" s="199"/>
    </row>
    <row r="745" ht="14.25" customHeight="1">
      <c r="A745" s="199"/>
      <c r="B745" s="199"/>
      <c r="C745" s="199"/>
      <c r="D745" s="199"/>
      <c r="E745" s="199"/>
    </row>
    <row r="746" ht="14.25" customHeight="1">
      <c r="A746" s="199"/>
      <c r="B746" s="199"/>
      <c r="C746" s="199"/>
      <c r="D746" s="199"/>
      <c r="E746" s="199"/>
    </row>
    <row r="747" ht="14.25" customHeight="1">
      <c r="A747" s="199"/>
      <c r="B747" s="199"/>
      <c r="C747" s="199"/>
      <c r="D747" s="199"/>
      <c r="E747" s="199"/>
    </row>
    <row r="748" ht="14.25" customHeight="1">
      <c r="A748" s="199"/>
      <c r="B748" s="199"/>
      <c r="C748" s="199"/>
      <c r="D748" s="199"/>
      <c r="E748" s="199"/>
    </row>
    <row r="749" ht="14.25" customHeight="1">
      <c r="A749" s="199"/>
      <c r="B749" s="199"/>
      <c r="C749" s="199"/>
      <c r="D749" s="199"/>
      <c r="E749" s="199"/>
    </row>
    <row r="750" ht="14.25" customHeight="1">
      <c r="A750" s="199"/>
      <c r="B750" s="199"/>
      <c r="C750" s="199"/>
      <c r="D750" s="199"/>
      <c r="E750" s="199"/>
    </row>
    <row r="751" ht="14.25" customHeight="1">
      <c r="A751" s="199"/>
      <c r="B751" s="199"/>
      <c r="C751" s="199"/>
      <c r="D751" s="199"/>
      <c r="E751" s="199"/>
    </row>
    <row r="752" ht="14.25" customHeight="1">
      <c r="A752" s="199"/>
      <c r="B752" s="199"/>
      <c r="C752" s="199"/>
      <c r="D752" s="199"/>
      <c r="E752" s="199"/>
    </row>
    <row r="753" ht="14.25" customHeight="1">
      <c r="A753" s="199"/>
      <c r="B753" s="199"/>
      <c r="C753" s="199"/>
      <c r="D753" s="199"/>
      <c r="E753" s="199"/>
    </row>
    <row r="754" ht="14.25" customHeight="1">
      <c r="A754" s="199"/>
      <c r="B754" s="199"/>
      <c r="C754" s="199"/>
      <c r="D754" s="199"/>
      <c r="E754" s="199"/>
    </row>
    <row r="755" ht="14.25" customHeight="1">
      <c r="A755" s="199"/>
      <c r="B755" s="199"/>
      <c r="C755" s="199"/>
      <c r="D755" s="199"/>
      <c r="E755" s="199"/>
    </row>
    <row r="756" ht="14.25" customHeight="1">
      <c r="A756" s="199"/>
      <c r="B756" s="199"/>
      <c r="C756" s="199"/>
      <c r="D756" s="199"/>
      <c r="E756" s="199"/>
    </row>
    <row r="757" ht="14.25" customHeight="1">
      <c r="A757" s="199"/>
      <c r="B757" s="199"/>
      <c r="C757" s="199"/>
      <c r="D757" s="199"/>
      <c r="E757" s="199"/>
    </row>
    <row r="758" ht="14.25" customHeight="1">
      <c r="A758" s="199"/>
      <c r="B758" s="199"/>
      <c r="C758" s="199"/>
      <c r="D758" s="199"/>
      <c r="E758" s="199"/>
    </row>
    <row r="759" ht="14.25" customHeight="1">
      <c r="A759" s="199"/>
      <c r="B759" s="199"/>
      <c r="C759" s="199"/>
      <c r="D759" s="199"/>
      <c r="E759" s="199"/>
    </row>
    <row r="760" ht="14.25" customHeight="1">
      <c r="A760" s="199"/>
      <c r="B760" s="199"/>
      <c r="C760" s="199"/>
      <c r="D760" s="199"/>
      <c r="E760" s="199"/>
    </row>
    <row r="761" ht="14.25" customHeight="1">
      <c r="A761" s="199"/>
      <c r="B761" s="199"/>
      <c r="C761" s="199"/>
      <c r="D761" s="199"/>
      <c r="E761" s="199"/>
    </row>
    <row r="762" ht="14.25" customHeight="1">
      <c r="A762" s="199"/>
      <c r="B762" s="199"/>
      <c r="C762" s="199"/>
      <c r="D762" s="199"/>
      <c r="E762" s="199"/>
    </row>
    <row r="763" ht="14.25" customHeight="1">
      <c r="A763" s="199"/>
      <c r="B763" s="199"/>
      <c r="C763" s="199"/>
      <c r="D763" s="199"/>
      <c r="E763" s="199"/>
    </row>
    <row r="764" ht="14.25" customHeight="1">
      <c r="A764" s="199"/>
      <c r="B764" s="199"/>
      <c r="C764" s="199"/>
      <c r="D764" s="199"/>
      <c r="E764" s="199"/>
    </row>
    <row r="765" ht="14.25" customHeight="1">
      <c r="A765" s="199"/>
      <c r="B765" s="199"/>
      <c r="C765" s="199"/>
      <c r="D765" s="199"/>
      <c r="E765" s="199"/>
    </row>
    <row r="766" ht="14.25" customHeight="1">
      <c r="A766" s="199"/>
      <c r="B766" s="199"/>
      <c r="C766" s="199"/>
      <c r="D766" s="199"/>
      <c r="E766" s="199"/>
    </row>
    <row r="767" ht="14.25" customHeight="1">
      <c r="A767" s="199"/>
      <c r="B767" s="199"/>
      <c r="C767" s="199"/>
      <c r="D767" s="199"/>
      <c r="E767" s="199"/>
    </row>
    <row r="768" ht="14.25" customHeight="1">
      <c r="A768" s="199"/>
      <c r="B768" s="199"/>
      <c r="C768" s="199"/>
      <c r="D768" s="199"/>
      <c r="E768" s="199"/>
    </row>
    <row r="769" ht="14.25" customHeight="1">
      <c r="A769" s="199"/>
      <c r="B769" s="199"/>
      <c r="C769" s="199"/>
      <c r="D769" s="199"/>
      <c r="E769" s="199"/>
    </row>
    <row r="770" ht="14.25" customHeight="1">
      <c r="A770" s="199"/>
      <c r="B770" s="199"/>
      <c r="C770" s="199"/>
      <c r="D770" s="199"/>
      <c r="E770" s="199"/>
    </row>
    <row r="771" ht="14.25" customHeight="1">
      <c r="A771" s="199"/>
      <c r="B771" s="199"/>
      <c r="C771" s="199"/>
      <c r="D771" s="199"/>
      <c r="E771" s="199"/>
    </row>
    <row r="772" ht="14.25" customHeight="1">
      <c r="A772" s="199"/>
      <c r="B772" s="199"/>
      <c r="C772" s="199"/>
      <c r="D772" s="199"/>
      <c r="E772" s="199"/>
    </row>
    <row r="773" ht="14.25" customHeight="1">
      <c r="A773" s="199"/>
      <c r="B773" s="199"/>
      <c r="C773" s="199"/>
      <c r="D773" s="199"/>
      <c r="E773" s="199"/>
    </row>
    <row r="774" ht="14.25" customHeight="1">
      <c r="A774" s="199"/>
      <c r="B774" s="199"/>
      <c r="C774" s="199"/>
      <c r="D774" s="199"/>
      <c r="E774" s="199"/>
    </row>
    <row r="775" ht="14.25" customHeight="1">
      <c r="A775" s="199"/>
      <c r="B775" s="199"/>
      <c r="C775" s="199"/>
      <c r="D775" s="199"/>
      <c r="E775" s="199"/>
    </row>
    <row r="776" ht="14.25" customHeight="1">
      <c r="A776" s="199"/>
      <c r="B776" s="199"/>
      <c r="C776" s="199"/>
      <c r="D776" s="199"/>
      <c r="E776" s="199"/>
    </row>
    <row r="777" ht="14.25" customHeight="1">
      <c r="A777" s="199"/>
      <c r="B777" s="199"/>
      <c r="C777" s="199"/>
      <c r="D777" s="199"/>
      <c r="E777" s="199"/>
    </row>
    <row r="778" ht="14.25" customHeight="1">
      <c r="A778" s="199"/>
      <c r="B778" s="199"/>
      <c r="C778" s="199"/>
      <c r="D778" s="199"/>
      <c r="E778" s="199"/>
    </row>
    <row r="779" ht="14.25" customHeight="1">
      <c r="A779" s="199"/>
      <c r="B779" s="199"/>
      <c r="C779" s="199"/>
      <c r="D779" s="199"/>
      <c r="E779" s="199"/>
    </row>
    <row r="780" ht="14.25" customHeight="1">
      <c r="A780" s="199"/>
      <c r="B780" s="199"/>
      <c r="C780" s="199"/>
      <c r="D780" s="199"/>
      <c r="E780" s="199"/>
    </row>
    <row r="781" ht="14.25" customHeight="1">
      <c r="A781" s="199"/>
      <c r="B781" s="199"/>
      <c r="C781" s="199"/>
      <c r="D781" s="199"/>
      <c r="E781" s="199"/>
    </row>
    <row r="782" ht="14.25" customHeight="1">
      <c r="A782" s="199"/>
      <c r="B782" s="199"/>
      <c r="C782" s="199"/>
      <c r="D782" s="199"/>
      <c r="E782" s="199"/>
    </row>
    <row r="783" ht="14.25" customHeight="1">
      <c r="A783" s="199"/>
      <c r="B783" s="199"/>
      <c r="C783" s="199"/>
      <c r="D783" s="199"/>
      <c r="E783" s="199"/>
    </row>
    <row r="784" ht="14.25" customHeight="1">
      <c r="A784" s="199"/>
      <c r="B784" s="199"/>
      <c r="C784" s="199"/>
      <c r="D784" s="199"/>
      <c r="E784" s="199"/>
    </row>
    <row r="785" ht="14.25" customHeight="1">
      <c r="A785" s="199"/>
      <c r="B785" s="199"/>
      <c r="C785" s="199"/>
      <c r="D785" s="199"/>
      <c r="E785" s="199"/>
    </row>
    <row r="786" ht="14.25" customHeight="1">
      <c r="A786" s="199"/>
      <c r="B786" s="199"/>
      <c r="C786" s="199"/>
      <c r="D786" s="199"/>
      <c r="E786" s="199"/>
    </row>
    <row r="787" ht="14.25" customHeight="1">
      <c r="A787" s="199"/>
      <c r="B787" s="199"/>
      <c r="C787" s="199"/>
      <c r="D787" s="199"/>
      <c r="E787" s="199"/>
    </row>
    <row r="788" ht="14.25" customHeight="1">
      <c r="A788" s="199"/>
      <c r="B788" s="199"/>
      <c r="C788" s="199"/>
      <c r="D788" s="199"/>
      <c r="E788" s="199"/>
    </row>
    <row r="789" ht="14.25" customHeight="1">
      <c r="A789" s="199"/>
      <c r="B789" s="199"/>
      <c r="C789" s="199"/>
      <c r="D789" s="199"/>
      <c r="E789" s="199"/>
    </row>
    <row r="790" ht="14.25" customHeight="1">
      <c r="A790" s="199"/>
      <c r="B790" s="199"/>
      <c r="C790" s="199"/>
      <c r="D790" s="199"/>
      <c r="E790" s="199"/>
    </row>
    <row r="791" ht="14.25" customHeight="1">
      <c r="A791" s="199"/>
      <c r="B791" s="199"/>
      <c r="C791" s="199"/>
      <c r="D791" s="199"/>
      <c r="E791" s="199"/>
    </row>
    <row r="792" ht="14.25" customHeight="1">
      <c r="A792" s="199"/>
      <c r="B792" s="199"/>
      <c r="C792" s="199"/>
      <c r="D792" s="199"/>
      <c r="E792" s="199"/>
    </row>
    <row r="793" ht="14.25" customHeight="1">
      <c r="A793" s="199"/>
      <c r="B793" s="199"/>
      <c r="C793" s="199"/>
      <c r="D793" s="199"/>
      <c r="E793" s="199"/>
    </row>
    <row r="794" ht="14.25" customHeight="1">
      <c r="A794" s="199"/>
      <c r="B794" s="199"/>
      <c r="C794" s="199"/>
      <c r="D794" s="199"/>
      <c r="E794" s="199"/>
    </row>
    <row r="795" ht="14.25" customHeight="1">
      <c r="A795" s="199"/>
      <c r="B795" s="199"/>
      <c r="C795" s="199"/>
      <c r="D795" s="199"/>
      <c r="E795" s="199"/>
    </row>
    <row r="796" ht="14.25" customHeight="1">
      <c r="A796" s="199"/>
      <c r="B796" s="199"/>
      <c r="C796" s="199"/>
      <c r="D796" s="199"/>
      <c r="E796" s="199"/>
    </row>
    <row r="797" ht="14.25" customHeight="1">
      <c r="A797" s="199"/>
      <c r="B797" s="199"/>
      <c r="C797" s="199"/>
      <c r="D797" s="199"/>
      <c r="E797" s="199"/>
    </row>
    <row r="798" ht="14.25" customHeight="1">
      <c r="A798" s="199"/>
      <c r="B798" s="199"/>
      <c r="C798" s="199"/>
      <c r="D798" s="199"/>
      <c r="E798" s="199"/>
    </row>
    <row r="799" ht="14.25" customHeight="1">
      <c r="A799" s="199"/>
      <c r="B799" s="199"/>
      <c r="C799" s="199"/>
      <c r="D799" s="199"/>
      <c r="E799" s="199"/>
    </row>
    <row r="800" ht="14.25" customHeight="1">
      <c r="A800" s="199"/>
      <c r="B800" s="199"/>
      <c r="C800" s="199"/>
      <c r="D800" s="199"/>
      <c r="E800" s="199"/>
    </row>
    <row r="801" ht="14.25" customHeight="1">
      <c r="A801" s="199"/>
      <c r="B801" s="199"/>
      <c r="C801" s="199"/>
      <c r="D801" s="199"/>
      <c r="E801" s="199"/>
    </row>
    <row r="802" ht="14.25" customHeight="1">
      <c r="A802" s="199"/>
      <c r="B802" s="199"/>
      <c r="C802" s="199"/>
      <c r="D802" s="199"/>
      <c r="E802" s="199"/>
    </row>
    <row r="803" ht="14.25" customHeight="1">
      <c r="A803" s="199"/>
      <c r="B803" s="199"/>
      <c r="C803" s="199"/>
      <c r="D803" s="199"/>
      <c r="E803" s="199"/>
    </row>
    <row r="804" ht="14.25" customHeight="1">
      <c r="A804" s="199"/>
      <c r="B804" s="199"/>
      <c r="C804" s="199"/>
      <c r="D804" s="199"/>
      <c r="E804" s="199"/>
    </row>
    <row r="805" ht="14.25" customHeight="1">
      <c r="A805" s="199"/>
      <c r="B805" s="199"/>
      <c r="C805" s="199"/>
      <c r="D805" s="199"/>
      <c r="E805" s="199"/>
    </row>
    <row r="806" ht="14.25" customHeight="1">
      <c r="A806" s="199"/>
      <c r="B806" s="199"/>
      <c r="C806" s="199"/>
      <c r="D806" s="199"/>
      <c r="E806" s="199"/>
    </row>
    <row r="807" ht="14.25" customHeight="1">
      <c r="A807" s="199"/>
      <c r="B807" s="199"/>
      <c r="C807" s="199"/>
      <c r="D807" s="199"/>
      <c r="E807" s="199"/>
    </row>
    <row r="808" ht="14.25" customHeight="1">
      <c r="A808" s="199"/>
      <c r="B808" s="199"/>
      <c r="C808" s="199"/>
      <c r="D808" s="199"/>
      <c r="E808" s="199"/>
    </row>
    <row r="809" ht="14.25" customHeight="1">
      <c r="A809" s="199"/>
      <c r="B809" s="199"/>
      <c r="C809" s="199"/>
      <c r="D809" s="199"/>
      <c r="E809" s="199"/>
    </row>
    <row r="810" ht="14.25" customHeight="1">
      <c r="A810" s="199"/>
      <c r="B810" s="199"/>
      <c r="C810" s="199"/>
      <c r="D810" s="199"/>
      <c r="E810" s="199"/>
    </row>
    <row r="811" ht="14.25" customHeight="1">
      <c r="A811" s="199"/>
      <c r="B811" s="199"/>
      <c r="C811" s="199"/>
      <c r="D811" s="199"/>
      <c r="E811" s="199"/>
    </row>
    <row r="812" ht="14.25" customHeight="1">
      <c r="A812" s="199"/>
      <c r="B812" s="199"/>
      <c r="C812" s="199"/>
      <c r="D812" s="199"/>
      <c r="E812" s="199"/>
    </row>
    <row r="813" ht="14.25" customHeight="1">
      <c r="A813" s="199"/>
      <c r="B813" s="199"/>
      <c r="C813" s="199"/>
      <c r="D813" s="199"/>
      <c r="E813" s="199"/>
    </row>
    <row r="814" ht="14.25" customHeight="1">
      <c r="A814" s="199"/>
      <c r="B814" s="199"/>
      <c r="C814" s="199"/>
      <c r="D814" s="199"/>
      <c r="E814" s="199"/>
    </row>
    <row r="815" ht="14.25" customHeight="1">
      <c r="A815" s="199"/>
      <c r="B815" s="199"/>
      <c r="C815" s="199"/>
      <c r="D815" s="199"/>
      <c r="E815" s="199"/>
    </row>
    <row r="816" ht="14.25" customHeight="1">
      <c r="A816" s="199"/>
      <c r="B816" s="199"/>
      <c r="C816" s="199"/>
      <c r="D816" s="199"/>
      <c r="E816" s="199"/>
    </row>
    <row r="817" ht="14.25" customHeight="1">
      <c r="A817" s="199"/>
      <c r="B817" s="199"/>
      <c r="C817" s="199"/>
      <c r="D817" s="199"/>
      <c r="E817" s="199"/>
    </row>
    <row r="818" ht="14.25" customHeight="1">
      <c r="A818" s="199"/>
      <c r="B818" s="199"/>
      <c r="C818" s="199"/>
      <c r="D818" s="199"/>
      <c r="E818" s="199"/>
    </row>
    <row r="819" ht="14.25" customHeight="1">
      <c r="A819" s="199"/>
      <c r="B819" s="199"/>
      <c r="C819" s="199"/>
      <c r="D819" s="199"/>
      <c r="E819" s="199"/>
    </row>
    <row r="820" ht="14.25" customHeight="1">
      <c r="A820" s="199"/>
      <c r="B820" s="199"/>
      <c r="C820" s="199"/>
      <c r="D820" s="199"/>
      <c r="E820" s="199"/>
    </row>
    <row r="821" ht="14.25" customHeight="1">
      <c r="A821" s="199"/>
      <c r="B821" s="199"/>
      <c r="C821" s="199"/>
      <c r="D821" s="199"/>
      <c r="E821" s="199"/>
    </row>
    <row r="822" ht="14.25" customHeight="1">
      <c r="A822" s="199"/>
      <c r="B822" s="199"/>
      <c r="C822" s="199"/>
      <c r="D822" s="199"/>
      <c r="E822" s="199"/>
    </row>
    <row r="823" ht="14.25" customHeight="1">
      <c r="A823" s="199"/>
      <c r="B823" s="199"/>
      <c r="C823" s="199"/>
      <c r="D823" s="199"/>
      <c r="E823" s="199"/>
    </row>
    <row r="824" ht="14.25" customHeight="1">
      <c r="A824" s="199"/>
      <c r="B824" s="199"/>
      <c r="C824" s="199"/>
      <c r="D824" s="199"/>
      <c r="E824" s="199"/>
    </row>
    <row r="825" ht="14.25" customHeight="1">
      <c r="A825" s="199"/>
      <c r="B825" s="199"/>
      <c r="C825" s="199"/>
      <c r="D825" s="199"/>
      <c r="E825" s="199"/>
    </row>
    <row r="826" ht="14.25" customHeight="1">
      <c r="A826" s="199"/>
      <c r="B826" s="199"/>
      <c r="C826" s="199"/>
      <c r="D826" s="199"/>
      <c r="E826" s="199"/>
    </row>
    <row r="827" ht="14.25" customHeight="1">
      <c r="A827" s="199"/>
      <c r="B827" s="199"/>
      <c r="C827" s="199"/>
      <c r="D827" s="199"/>
      <c r="E827" s="199"/>
    </row>
    <row r="828" ht="14.25" customHeight="1">
      <c r="A828" s="199"/>
      <c r="B828" s="199"/>
      <c r="C828" s="199"/>
      <c r="D828" s="199"/>
      <c r="E828" s="199"/>
    </row>
    <row r="829" ht="14.25" customHeight="1">
      <c r="A829" s="199"/>
      <c r="B829" s="199"/>
      <c r="C829" s="199"/>
      <c r="D829" s="199"/>
      <c r="E829" s="199"/>
    </row>
    <row r="830" ht="14.25" customHeight="1">
      <c r="A830" s="199"/>
      <c r="B830" s="199"/>
      <c r="C830" s="199"/>
      <c r="D830" s="199"/>
      <c r="E830" s="199"/>
    </row>
    <row r="831" ht="14.25" customHeight="1">
      <c r="A831" s="199"/>
      <c r="B831" s="199"/>
      <c r="C831" s="199"/>
      <c r="D831" s="199"/>
      <c r="E831" s="199"/>
    </row>
    <row r="832" ht="14.25" customHeight="1">
      <c r="A832" s="199"/>
      <c r="B832" s="199"/>
      <c r="C832" s="199"/>
      <c r="D832" s="199"/>
      <c r="E832" s="199"/>
    </row>
    <row r="833" ht="14.25" customHeight="1">
      <c r="A833" s="199"/>
      <c r="B833" s="199"/>
      <c r="C833" s="199"/>
      <c r="D833" s="199"/>
      <c r="E833" s="199"/>
    </row>
    <row r="834" ht="14.25" customHeight="1">
      <c r="A834" s="199"/>
      <c r="B834" s="199"/>
      <c r="C834" s="199"/>
      <c r="D834" s="199"/>
      <c r="E834" s="199"/>
    </row>
    <row r="835" ht="14.25" customHeight="1">
      <c r="A835" s="199"/>
      <c r="B835" s="199"/>
      <c r="C835" s="199"/>
      <c r="D835" s="199"/>
      <c r="E835" s="199"/>
    </row>
    <row r="836" ht="14.25" customHeight="1">
      <c r="A836" s="199"/>
      <c r="B836" s="199"/>
      <c r="C836" s="199"/>
      <c r="D836" s="199"/>
      <c r="E836" s="199"/>
    </row>
    <row r="837" ht="14.25" customHeight="1">
      <c r="A837" s="199"/>
      <c r="B837" s="199"/>
      <c r="C837" s="199"/>
      <c r="D837" s="199"/>
      <c r="E837" s="199"/>
    </row>
    <row r="838" ht="14.25" customHeight="1">
      <c r="A838" s="199"/>
      <c r="B838" s="199"/>
      <c r="C838" s="199"/>
      <c r="D838" s="199"/>
      <c r="E838" s="199"/>
    </row>
    <row r="839" ht="14.25" customHeight="1">
      <c r="A839" s="199"/>
      <c r="B839" s="199"/>
      <c r="C839" s="199"/>
      <c r="D839" s="199"/>
      <c r="E839" s="199"/>
    </row>
    <row r="840" ht="14.25" customHeight="1">
      <c r="A840" s="199"/>
      <c r="B840" s="199"/>
      <c r="C840" s="199"/>
      <c r="D840" s="199"/>
      <c r="E840" s="199"/>
    </row>
    <row r="841" ht="14.25" customHeight="1">
      <c r="A841" s="199"/>
      <c r="B841" s="199"/>
      <c r="C841" s="199"/>
      <c r="D841" s="199"/>
      <c r="E841" s="199"/>
    </row>
    <row r="842" ht="14.25" customHeight="1">
      <c r="A842" s="199"/>
      <c r="B842" s="199"/>
      <c r="C842" s="199"/>
      <c r="D842" s="199"/>
      <c r="E842" s="199"/>
    </row>
    <row r="843" ht="14.25" customHeight="1">
      <c r="A843" s="199"/>
      <c r="B843" s="199"/>
      <c r="C843" s="199"/>
      <c r="D843" s="199"/>
      <c r="E843" s="199"/>
    </row>
    <row r="844" ht="14.25" customHeight="1">
      <c r="A844" s="199"/>
      <c r="B844" s="199"/>
      <c r="C844" s="199"/>
      <c r="D844" s="199"/>
      <c r="E844" s="199"/>
    </row>
    <row r="845" ht="14.25" customHeight="1">
      <c r="A845" s="199"/>
      <c r="B845" s="199"/>
      <c r="C845" s="199"/>
      <c r="D845" s="199"/>
      <c r="E845" s="199"/>
    </row>
    <row r="846" ht="14.25" customHeight="1">
      <c r="A846" s="199"/>
      <c r="B846" s="199"/>
      <c r="C846" s="199"/>
      <c r="D846" s="199"/>
      <c r="E846" s="199"/>
    </row>
    <row r="847" ht="14.25" customHeight="1">
      <c r="A847" s="199"/>
      <c r="B847" s="199"/>
      <c r="C847" s="199"/>
      <c r="D847" s="199"/>
      <c r="E847" s="199"/>
    </row>
    <row r="848" ht="14.25" customHeight="1">
      <c r="A848" s="199"/>
      <c r="B848" s="199"/>
      <c r="C848" s="199"/>
      <c r="D848" s="199"/>
      <c r="E848" s="199"/>
    </row>
    <row r="849" ht="14.25" customHeight="1">
      <c r="A849" s="199"/>
      <c r="B849" s="199"/>
      <c r="C849" s="199"/>
      <c r="D849" s="199"/>
      <c r="E849" s="199"/>
    </row>
    <row r="850" ht="14.25" customHeight="1">
      <c r="A850" s="199"/>
      <c r="B850" s="199"/>
      <c r="C850" s="199"/>
      <c r="D850" s="199"/>
      <c r="E850" s="199"/>
    </row>
    <row r="851" ht="14.25" customHeight="1">
      <c r="A851" s="199"/>
      <c r="B851" s="199"/>
      <c r="C851" s="199"/>
      <c r="D851" s="199"/>
      <c r="E851" s="199"/>
    </row>
    <row r="852" ht="14.25" customHeight="1">
      <c r="A852" s="199"/>
      <c r="B852" s="199"/>
      <c r="C852" s="199"/>
      <c r="D852" s="199"/>
      <c r="E852" s="199"/>
    </row>
    <row r="853" ht="14.25" customHeight="1">
      <c r="A853" s="199"/>
      <c r="B853" s="199"/>
      <c r="C853" s="199"/>
      <c r="D853" s="199"/>
      <c r="E853" s="199"/>
    </row>
    <row r="854" ht="14.25" customHeight="1">
      <c r="A854" s="199"/>
      <c r="B854" s="199"/>
      <c r="C854" s="199"/>
      <c r="D854" s="199"/>
      <c r="E854" s="199"/>
    </row>
    <row r="855" ht="14.25" customHeight="1">
      <c r="A855" s="199"/>
      <c r="B855" s="199"/>
      <c r="C855" s="199"/>
      <c r="D855" s="199"/>
      <c r="E855" s="199"/>
    </row>
    <row r="856" ht="14.25" customHeight="1">
      <c r="A856" s="199"/>
      <c r="B856" s="199"/>
      <c r="C856" s="199"/>
      <c r="D856" s="199"/>
      <c r="E856" s="199"/>
    </row>
    <row r="857" ht="14.25" customHeight="1">
      <c r="A857" s="199"/>
      <c r="B857" s="199"/>
      <c r="C857" s="199"/>
      <c r="D857" s="199"/>
      <c r="E857" s="199"/>
    </row>
    <row r="858" ht="14.25" customHeight="1">
      <c r="A858" s="199"/>
      <c r="B858" s="199"/>
      <c r="C858" s="199"/>
      <c r="D858" s="199"/>
      <c r="E858" s="199"/>
    </row>
    <row r="859" ht="14.25" customHeight="1">
      <c r="A859" s="199"/>
      <c r="B859" s="199"/>
      <c r="C859" s="199"/>
      <c r="D859" s="199"/>
      <c r="E859" s="199"/>
    </row>
    <row r="860" ht="14.25" customHeight="1">
      <c r="A860" s="199"/>
      <c r="B860" s="199"/>
      <c r="C860" s="199"/>
      <c r="D860" s="199"/>
      <c r="E860" s="199"/>
    </row>
    <row r="861" ht="14.25" customHeight="1">
      <c r="A861" s="199"/>
      <c r="B861" s="199"/>
      <c r="C861" s="199"/>
      <c r="D861" s="199"/>
      <c r="E861" s="199"/>
    </row>
    <row r="862" ht="14.25" customHeight="1">
      <c r="A862" s="199"/>
      <c r="B862" s="199"/>
      <c r="C862" s="199"/>
      <c r="D862" s="199"/>
      <c r="E862" s="199"/>
    </row>
    <row r="863" ht="14.25" customHeight="1">
      <c r="A863" s="199"/>
      <c r="B863" s="199"/>
      <c r="C863" s="199"/>
      <c r="D863" s="199"/>
      <c r="E863" s="199"/>
    </row>
    <row r="864" ht="14.25" customHeight="1">
      <c r="A864" s="199"/>
      <c r="B864" s="199"/>
      <c r="C864" s="199"/>
      <c r="D864" s="199"/>
      <c r="E864" s="199"/>
    </row>
    <row r="865" ht="14.25" customHeight="1">
      <c r="A865" s="199"/>
      <c r="B865" s="199"/>
      <c r="C865" s="199"/>
      <c r="D865" s="199"/>
      <c r="E865" s="199"/>
    </row>
    <row r="866" ht="14.25" customHeight="1">
      <c r="A866" s="199"/>
      <c r="B866" s="199"/>
      <c r="C866" s="199"/>
      <c r="D866" s="199"/>
      <c r="E866" s="199"/>
    </row>
    <row r="867" ht="14.25" customHeight="1">
      <c r="A867" s="199"/>
      <c r="B867" s="199"/>
      <c r="C867" s="199"/>
      <c r="D867" s="199"/>
      <c r="E867" s="199"/>
    </row>
    <row r="868" ht="14.25" customHeight="1">
      <c r="A868" s="199"/>
      <c r="B868" s="199"/>
      <c r="C868" s="199"/>
      <c r="D868" s="199"/>
      <c r="E868" s="199"/>
    </row>
    <row r="869" ht="14.25" customHeight="1">
      <c r="A869" s="199"/>
      <c r="B869" s="199"/>
      <c r="C869" s="199"/>
      <c r="D869" s="199"/>
      <c r="E869" s="199"/>
    </row>
    <row r="870" ht="14.25" customHeight="1">
      <c r="A870" s="199"/>
      <c r="B870" s="199"/>
      <c r="C870" s="199"/>
      <c r="D870" s="199"/>
      <c r="E870" s="199"/>
    </row>
    <row r="871" ht="14.25" customHeight="1">
      <c r="A871" s="199"/>
      <c r="B871" s="199"/>
      <c r="C871" s="199"/>
      <c r="D871" s="199"/>
      <c r="E871" s="199"/>
    </row>
    <row r="872" ht="14.25" customHeight="1">
      <c r="A872" s="199"/>
      <c r="B872" s="199"/>
      <c r="C872" s="199"/>
      <c r="D872" s="199"/>
      <c r="E872" s="199"/>
    </row>
    <row r="873" ht="14.25" customHeight="1">
      <c r="A873" s="199"/>
      <c r="B873" s="199"/>
      <c r="C873" s="199"/>
      <c r="D873" s="199"/>
      <c r="E873" s="199"/>
    </row>
    <row r="874" ht="14.25" customHeight="1">
      <c r="A874" s="199"/>
      <c r="B874" s="199"/>
      <c r="C874" s="199"/>
      <c r="D874" s="199"/>
      <c r="E874" s="199"/>
    </row>
    <row r="875" ht="14.25" customHeight="1">
      <c r="A875" s="199"/>
      <c r="B875" s="199"/>
      <c r="C875" s="199"/>
      <c r="D875" s="199"/>
      <c r="E875" s="199"/>
    </row>
    <row r="876" ht="14.25" customHeight="1">
      <c r="A876" s="199"/>
      <c r="B876" s="199"/>
      <c r="C876" s="199"/>
      <c r="D876" s="199"/>
      <c r="E876" s="199"/>
    </row>
    <row r="877" ht="14.25" customHeight="1">
      <c r="A877" s="199"/>
      <c r="B877" s="199"/>
      <c r="C877" s="199"/>
      <c r="D877" s="199"/>
      <c r="E877" s="199"/>
    </row>
    <row r="878" ht="14.25" customHeight="1">
      <c r="A878" s="199"/>
      <c r="B878" s="199"/>
      <c r="C878" s="199"/>
      <c r="D878" s="199"/>
      <c r="E878" s="199"/>
    </row>
    <row r="879" ht="14.25" customHeight="1">
      <c r="A879" s="199"/>
      <c r="B879" s="199"/>
      <c r="C879" s="199"/>
      <c r="D879" s="199"/>
      <c r="E879" s="199"/>
    </row>
    <row r="880" ht="14.25" customHeight="1">
      <c r="A880" s="199"/>
      <c r="B880" s="199"/>
      <c r="C880" s="199"/>
      <c r="D880" s="199"/>
      <c r="E880" s="199"/>
    </row>
    <row r="881" ht="14.25" customHeight="1">
      <c r="A881" s="199"/>
      <c r="B881" s="199"/>
      <c r="C881" s="199"/>
      <c r="D881" s="199"/>
      <c r="E881" s="199"/>
    </row>
    <row r="882" ht="14.25" customHeight="1">
      <c r="A882" s="199"/>
      <c r="B882" s="199"/>
      <c r="C882" s="199"/>
      <c r="D882" s="199"/>
      <c r="E882" s="199"/>
    </row>
    <row r="883" ht="14.25" customHeight="1">
      <c r="A883" s="199"/>
      <c r="B883" s="199"/>
      <c r="C883" s="199"/>
      <c r="D883" s="199"/>
      <c r="E883" s="199"/>
    </row>
    <row r="884" ht="14.25" customHeight="1">
      <c r="A884" s="199"/>
      <c r="B884" s="199"/>
      <c r="C884" s="199"/>
      <c r="D884" s="199"/>
      <c r="E884" s="199"/>
    </row>
    <row r="885" ht="14.25" customHeight="1">
      <c r="A885" s="199"/>
      <c r="B885" s="199"/>
      <c r="C885" s="199"/>
      <c r="D885" s="199"/>
      <c r="E885" s="199"/>
    </row>
    <row r="886" ht="14.25" customHeight="1">
      <c r="A886" s="199"/>
      <c r="B886" s="199"/>
      <c r="C886" s="199"/>
      <c r="D886" s="199"/>
      <c r="E886" s="199"/>
    </row>
    <row r="887" ht="14.25" customHeight="1">
      <c r="A887" s="199"/>
      <c r="B887" s="199"/>
      <c r="C887" s="199"/>
      <c r="D887" s="199"/>
      <c r="E887" s="199"/>
    </row>
    <row r="888" ht="14.25" customHeight="1">
      <c r="A888" s="199"/>
      <c r="B888" s="199"/>
      <c r="C888" s="199"/>
      <c r="D888" s="199"/>
      <c r="E888" s="199"/>
    </row>
    <row r="889" ht="14.25" customHeight="1">
      <c r="A889" s="199"/>
      <c r="B889" s="199"/>
      <c r="C889" s="199"/>
      <c r="D889" s="199"/>
      <c r="E889" s="199"/>
    </row>
    <row r="890" ht="14.25" customHeight="1">
      <c r="A890" s="199"/>
      <c r="B890" s="199"/>
      <c r="C890" s="199"/>
      <c r="D890" s="199"/>
      <c r="E890" s="199"/>
    </row>
    <row r="891" ht="14.25" customHeight="1">
      <c r="A891" s="199"/>
      <c r="B891" s="199"/>
      <c r="C891" s="199"/>
      <c r="D891" s="199"/>
      <c r="E891" s="199"/>
    </row>
    <row r="892" ht="14.25" customHeight="1">
      <c r="A892" s="199"/>
      <c r="B892" s="199"/>
      <c r="C892" s="199"/>
      <c r="D892" s="199"/>
      <c r="E892" s="199"/>
    </row>
    <row r="893" ht="14.25" customHeight="1">
      <c r="A893" s="199"/>
      <c r="B893" s="199"/>
      <c r="C893" s="199"/>
      <c r="D893" s="199"/>
      <c r="E893" s="199"/>
    </row>
    <row r="894" ht="14.25" customHeight="1">
      <c r="A894" s="199"/>
      <c r="B894" s="199"/>
      <c r="C894" s="199"/>
      <c r="D894" s="199"/>
      <c r="E894" s="199"/>
    </row>
    <row r="895" ht="14.25" customHeight="1">
      <c r="A895" s="199"/>
      <c r="B895" s="199"/>
      <c r="C895" s="199"/>
      <c r="D895" s="199"/>
      <c r="E895" s="199"/>
    </row>
    <row r="896" ht="14.25" customHeight="1">
      <c r="A896" s="199"/>
      <c r="B896" s="199"/>
      <c r="C896" s="199"/>
      <c r="D896" s="199"/>
      <c r="E896" s="199"/>
    </row>
    <row r="897" ht="14.25" customHeight="1">
      <c r="A897" s="199"/>
      <c r="B897" s="199"/>
      <c r="C897" s="199"/>
      <c r="D897" s="199"/>
      <c r="E897" s="199"/>
    </row>
    <row r="898" ht="14.25" customHeight="1">
      <c r="A898" s="199"/>
      <c r="B898" s="199"/>
      <c r="C898" s="199"/>
      <c r="D898" s="199"/>
      <c r="E898" s="199"/>
    </row>
    <row r="899" ht="14.25" customHeight="1">
      <c r="A899" s="199"/>
      <c r="B899" s="199"/>
      <c r="C899" s="199"/>
      <c r="D899" s="199"/>
      <c r="E899" s="199"/>
    </row>
    <row r="900" ht="14.25" customHeight="1">
      <c r="A900" s="199"/>
      <c r="B900" s="199"/>
      <c r="C900" s="199"/>
      <c r="D900" s="199"/>
      <c r="E900" s="199"/>
    </row>
    <row r="901" ht="14.25" customHeight="1">
      <c r="A901" s="199"/>
      <c r="B901" s="199"/>
      <c r="C901" s="199"/>
      <c r="D901" s="199"/>
      <c r="E901" s="199"/>
    </row>
    <row r="902" ht="14.25" customHeight="1">
      <c r="A902" s="199"/>
      <c r="B902" s="199"/>
      <c r="C902" s="199"/>
      <c r="D902" s="199"/>
      <c r="E902" s="199"/>
    </row>
    <row r="903" ht="14.25" customHeight="1">
      <c r="A903" s="199"/>
      <c r="B903" s="199"/>
      <c r="C903" s="199"/>
      <c r="D903" s="199"/>
      <c r="E903" s="199"/>
    </row>
    <row r="904" ht="14.25" customHeight="1">
      <c r="A904" s="199"/>
      <c r="B904" s="199"/>
      <c r="C904" s="199"/>
      <c r="D904" s="199"/>
      <c r="E904" s="199"/>
    </row>
    <row r="905" ht="14.25" customHeight="1">
      <c r="A905" s="199"/>
      <c r="B905" s="199"/>
      <c r="C905" s="199"/>
      <c r="D905" s="199"/>
      <c r="E905" s="199"/>
    </row>
    <row r="906" ht="14.25" customHeight="1">
      <c r="A906" s="199"/>
      <c r="B906" s="199"/>
      <c r="C906" s="199"/>
      <c r="D906" s="199"/>
      <c r="E906" s="199"/>
    </row>
    <row r="907" ht="14.25" customHeight="1">
      <c r="A907" s="199"/>
      <c r="B907" s="199"/>
      <c r="C907" s="199"/>
      <c r="D907" s="199"/>
      <c r="E907" s="199"/>
    </row>
    <row r="908" ht="14.25" customHeight="1">
      <c r="A908" s="199"/>
      <c r="B908" s="199"/>
      <c r="C908" s="199"/>
      <c r="D908" s="199"/>
      <c r="E908" s="199"/>
    </row>
    <row r="909" ht="14.25" customHeight="1">
      <c r="A909" s="199"/>
      <c r="B909" s="199"/>
      <c r="C909" s="199"/>
      <c r="D909" s="199"/>
      <c r="E909" s="199"/>
    </row>
    <row r="910" ht="14.25" customHeight="1">
      <c r="A910" s="199"/>
      <c r="B910" s="199"/>
      <c r="C910" s="199"/>
      <c r="D910" s="199"/>
      <c r="E910" s="199"/>
    </row>
    <row r="911" ht="14.25" customHeight="1">
      <c r="A911" s="199"/>
      <c r="B911" s="199"/>
      <c r="C911" s="199"/>
      <c r="D911" s="199"/>
      <c r="E911" s="199"/>
    </row>
    <row r="912" ht="14.25" customHeight="1">
      <c r="A912" s="199"/>
      <c r="B912" s="199"/>
      <c r="C912" s="199"/>
      <c r="D912" s="199"/>
      <c r="E912" s="199"/>
    </row>
    <row r="913" ht="14.25" customHeight="1">
      <c r="A913" s="199"/>
      <c r="B913" s="199"/>
      <c r="C913" s="199"/>
      <c r="D913" s="199"/>
      <c r="E913" s="199"/>
    </row>
    <row r="914" ht="14.25" customHeight="1">
      <c r="A914" s="199"/>
      <c r="B914" s="199"/>
      <c r="C914" s="199"/>
      <c r="D914" s="199"/>
      <c r="E914" s="199"/>
    </row>
    <row r="915" ht="14.25" customHeight="1">
      <c r="A915" s="199"/>
      <c r="B915" s="199"/>
      <c r="C915" s="199"/>
      <c r="D915" s="199"/>
      <c r="E915" s="199"/>
    </row>
    <row r="916" ht="14.25" customHeight="1">
      <c r="A916" s="199"/>
      <c r="B916" s="199"/>
      <c r="C916" s="199"/>
      <c r="D916" s="199"/>
      <c r="E916" s="199"/>
    </row>
    <row r="917" ht="14.25" customHeight="1">
      <c r="A917" s="199"/>
      <c r="B917" s="199"/>
      <c r="C917" s="199"/>
      <c r="D917" s="199"/>
      <c r="E917" s="199"/>
    </row>
    <row r="918" ht="14.25" customHeight="1">
      <c r="A918" s="199"/>
      <c r="B918" s="199"/>
      <c r="C918" s="199"/>
      <c r="D918" s="199"/>
      <c r="E918" s="199"/>
    </row>
    <row r="919" ht="14.25" customHeight="1">
      <c r="A919" s="199"/>
      <c r="B919" s="199"/>
      <c r="C919" s="199"/>
      <c r="D919" s="199"/>
      <c r="E919" s="199"/>
    </row>
    <row r="920" ht="14.25" customHeight="1">
      <c r="A920" s="199"/>
      <c r="B920" s="199"/>
      <c r="C920" s="199"/>
      <c r="D920" s="199"/>
      <c r="E920" s="199"/>
    </row>
    <row r="921" ht="14.25" customHeight="1">
      <c r="A921" s="199"/>
      <c r="B921" s="199"/>
      <c r="C921" s="199"/>
      <c r="D921" s="199"/>
      <c r="E921" s="199"/>
    </row>
    <row r="922" ht="14.25" customHeight="1">
      <c r="A922" s="199"/>
      <c r="B922" s="199"/>
      <c r="C922" s="199"/>
      <c r="D922" s="199"/>
      <c r="E922" s="199"/>
    </row>
    <row r="923" ht="14.25" customHeight="1">
      <c r="A923" s="199"/>
      <c r="B923" s="199"/>
      <c r="C923" s="199"/>
      <c r="D923" s="199"/>
      <c r="E923" s="199"/>
    </row>
    <row r="924" ht="14.25" customHeight="1">
      <c r="A924" s="199"/>
      <c r="B924" s="199"/>
      <c r="C924" s="199"/>
      <c r="D924" s="199"/>
      <c r="E924" s="199"/>
    </row>
    <row r="925" ht="14.25" customHeight="1">
      <c r="A925" s="199"/>
      <c r="B925" s="199"/>
      <c r="C925" s="199"/>
      <c r="D925" s="199"/>
      <c r="E925" s="199"/>
    </row>
    <row r="926" ht="14.25" customHeight="1">
      <c r="A926" s="199"/>
      <c r="B926" s="199"/>
      <c r="C926" s="199"/>
      <c r="D926" s="199"/>
      <c r="E926" s="199"/>
    </row>
    <row r="927" ht="14.25" customHeight="1">
      <c r="A927" s="199"/>
      <c r="B927" s="199"/>
      <c r="C927" s="199"/>
      <c r="D927" s="199"/>
      <c r="E927" s="199"/>
    </row>
    <row r="928" ht="14.25" customHeight="1">
      <c r="A928" s="199"/>
      <c r="B928" s="199"/>
      <c r="C928" s="199"/>
      <c r="D928" s="199"/>
      <c r="E928" s="199"/>
    </row>
    <row r="929" ht="14.25" customHeight="1">
      <c r="A929" s="199"/>
      <c r="B929" s="199"/>
      <c r="C929" s="199"/>
      <c r="D929" s="199"/>
      <c r="E929" s="199"/>
    </row>
    <row r="930" ht="14.25" customHeight="1">
      <c r="A930" s="199"/>
      <c r="B930" s="199"/>
      <c r="C930" s="199"/>
      <c r="D930" s="199"/>
      <c r="E930" s="199"/>
    </row>
    <row r="931" ht="14.25" customHeight="1">
      <c r="A931" s="199"/>
      <c r="B931" s="199"/>
      <c r="C931" s="199"/>
      <c r="D931" s="199"/>
      <c r="E931" s="199"/>
    </row>
    <row r="932" ht="14.25" customHeight="1">
      <c r="A932" s="199"/>
      <c r="B932" s="199"/>
      <c r="C932" s="199"/>
      <c r="D932" s="199"/>
      <c r="E932" s="199"/>
    </row>
    <row r="933" ht="14.25" customHeight="1">
      <c r="A933" s="199"/>
      <c r="B933" s="199"/>
      <c r="C933" s="199"/>
      <c r="D933" s="199"/>
      <c r="E933" s="199"/>
    </row>
    <row r="934" ht="14.25" customHeight="1">
      <c r="A934" s="199"/>
      <c r="B934" s="199"/>
      <c r="C934" s="199"/>
      <c r="D934" s="199"/>
      <c r="E934" s="199"/>
    </row>
    <row r="935" ht="14.25" customHeight="1">
      <c r="A935" s="199"/>
      <c r="B935" s="199"/>
      <c r="C935" s="199"/>
      <c r="D935" s="199"/>
      <c r="E935" s="199"/>
    </row>
    <row r="936" ht="14.25" customHeight="1">
      <c r="A936" s="199"/>
      <c r="B936" s="199"/>
      <c r="C936" s="199"/>
      <c r="D936" s="199"/>
      <c r="E936" s="199"/>
    </row>
    <row r="937" ht="14.25" customHeight="1">
      <c r="A937" s="199"/>
      <c r="B937" s="199"/>
      <c r="C937" s="199"/>
      <c r="D937" s="199"/>
      <c r="E937" s="199"/>
    </row>
    <row r="938" ht="14.25" customHeight="1">
      <c r="A938" s="199"/>
      <c r="B938" s="199"/>
      <c r="C938" s="199"/>
      <c r="D938" s="199"/>
      <c r="E938" s="199"/>
    </row>
    <row r="939" ht="14.25" customHeight="1">
      <c r="A939" s="199"/>
      <c r="B939" s="199"/>
      <c r="C939" s="199"/>
      <c r="D939" s="199"/>
      <c r="E939" s="199"/>
    </row>
    <row r="940" ht="14.25" customHeight="1">
      <c r="A940" s="199"/>
      <c r="B940" s="199"/>
      <c r="C940" s="199"/>
      <c r="D940" s="199"/>
      <c r="E940" s="199"/>
    </row>
    <row r="941" ht="14.25" customHeight="1">
      <c r="A941" s="199"/>
      <c r="B941" s="199"/>
      <c r="C941" s="199"/>
      <c r="D941" s="199"/>
      <c r="E941" s="199"/>
    </row>
    <row r="942" ht="14.25" customHeight="1">
      <c r="A942" s="199"/>
      <c r="B942" s="199"/>
      <c r="C942" s="199"/>
      <c r="D942" s="199"/>
      <c r="E942" s="199"/>
    </row>
    <row r="943" ht="14.25" customHeight="1">
      <c r="A943" s="199"/>
      <c r="B943" s="199"/>
      <c r="C943" s="199"/>
      <c r="D943" s="199"/>
      <c r="E943" s="199"/>
    </row>
    <row r="944" ht="14.25" customHeight="1">
      <c r="A944" s="199"/>
      <c r="B944" s="199"/>
      <c r="C944" s="199"/>
      <c r="D944" s="199"/>
      <c r="E944" s="199"/>
    </row>
    <row r="945" ht="14.25" customHeight="1">
      <c r="A945" s="199"/>
      <c r="B945" s="199"/>
      <c r="C945" s="199"/>
      <c r="D945" s="199"/>
      <c r="E945" s="199"/>
    </row>
    <row r="946" ht="14.25" customHeight="1">
      <c r="A946" s="199"/>
      <c r="B946" s="199"/>
      <c r="C946" s="199"/>
      <c r="D946" s="199"/>
      <c r="E946" s="199"/>
    </row>
    <row r="947" ht="14.25" customHeight="1">
      <c r="A947" s="199"/>
      <c r="B947" s="199"/>
      <c r="C947" s="199"/>
      <c r="D947" s="199"/>
      <c r="E947" s="199"/>
    </row>
    <row r="948" ht="14.25" customHeight="1">
      <c r="A948" s="199"/>
      <c r="B948" s="199"/>
      <c r="C948" s="199"/>
      <c r="D948" s="199"/>
      <c r="E948" s="199"/>
    </row>
    <row r="949" ht="14.25" customHeight="1">
      <c r="A949" s="199"/>
      <c r="B949" s="199"/>
      <c r="C949" s="199"/>
      <c r="D949" s="199"/>
      <c r="E949" s="199"/>
    </row>
    <row r="950" ht="14.25" customHeight="1">
      <c r="A950" s="199"/>
      <c r="B950" s="199"/>
      <c r="C950" s="199"/>
      <c r="D950" s="199"/>
      <c r="E950" s="199"/>
    </row>
    <row r="951" ht="14.25" customHeight="1">
      <c r="A951" s="199"/>
      <c r="B951" s="199"/>
      <c r="C951" s="199"/>
      <c r="D951" s="199"/>
      <c r="E951" s="199"/>
    </row>
    <row r="952" ht="14.25" customHeight="1">
      <c r="A952" s="199"/>
      <c r="B952" s="199"/>
      <c r="C952" s="199"/>
      <c r="D952" s="199"/>
      <c r="E952" s="199"/>
    </row>
    <row r="953" ht="14.25" customHeight="1">
      <c r="A953" s="199"/>
      <c r="B953" s="199"/>
      <c r="C953" s="199"/>
      <c r="D953" s="199"/>
      <c r="E953" s="199"/>
    </row>
    <row r="954" ht="14.25" customHeight="1">
      <c r="A954" s="199"/>
      <c r="B954" s="199"/>
      <c r="C954" s="199"/>
      <c r="D954" s="199"/>
      <c r="E954" s="199"/>
    </row>
    <row r="955" ht="14.25" customHeight="1">
      <c r="A955" s="199"/>
      <c r="B955" s="199"/>
      <c r="C955" s="199"/>
      <c r="D955" s="199"/>
      <c r="E955" s="199"/>
    </row>
    <row r="956" ht="14.25" customHeight="1">
      <c r="A956" s="199"/>
      <c r="B956" s="199"/>
      <c r="C956" s="199"/>
      <c r="D956" s="199"/>
      <c r="E956" s="199"/>
    </row>
    <row r="957" ht="14.25" customHeight="1">
      <c r="A957" s="199"/>
      <c r="B957" s="199"/>
      <c r="C957" s="199"/>
      <c r="D957" s="199"/>
      <c r="E957" s="199"/>
    </row>
    <row r="958" ht="14.25" customHeight="1">
      <c r="A958" s="199"/>
      <c r="B958" s="199"/>
      <c r="C958" s="199"/>
      <c r="D958" s="199"/>
      <c r="E958" s="199"/>
    </row>
    <row r="959" ht="14.25" customHeight="1">
      <c r="A959" s="199"/>
      <c r="B959" s="199"/>
      <c r="C959" s="199"/>
      <c r="D959" s="199"/>
      <c r="E959" s="199"/>
    </row>
    <row r="960" ht="14.25" customHeight="1">
      <c r="A960" s="199"/>
      <c r="B960" s="199"/>
      <c r="C960" s="199"/>
      <c r="D960" s="199"/>
      <c r="E960" s="199"/>
    </row>
    <row r="961" ht="14.25" customHeight="1">
      <c r="A961" s="199"/>
      <c r="B961" s="199"/>
      <c r="C961" s="199"/>
      <c r="D961" s="199"/>
      <c r="E961" s="199"/>
    </row>
    <row r="962" ht="14.25" customHeight="1">
      <c r="A962" s="199"/>
      <c r="B962" s="199"/>
      <c r="C962" s="199"/>
      <c r="D962" s="199"/>
      <c r="E962" s="199"/>
    </row>
    <row r="963" ht="14.25" customHeight="1">
      <c r="A963" s="199"/>
      <c r="B963" s="199"/>
      <c r="C963" s="199"/>
      <c r="D963" s="199"/>
      <c r="E963" s="199"/>
    </row>
    <row r="964" ht="14.25" customHeight="1">
      <c r="A964" s="199"/>
      <c r="B964" s="199"/>
      <c r="C964" s="199"/>
      <c r="D964" s="199"/>
      <c r="E964" s="199"/>
    </row>
    <row r="965" ht="14.25" customHeight="1">
      <c r="A965" s="199"/>
      <c r="B965" s="199"/>
      <c r="C965" s="199"/>
      <c r="D965" s="199"/>
      <c r="E965" s="199"/>
    </row>
    <row r="966" ht="14.25" customHeight="1">
      <c r="A966" s="199"/>
      <c r="B966" s="199"/>
      <c r="C966" s="199"/>
      <c r="D966" s="199"/>
      <c r="E966" s="199"/>
    </row>
    <row r="967" ht="14.25" customHeight="1">
      <c r="A967" s="199"/>
      <c r="B967" s="199"/>
      <c r="C967" s="199"/>
      <c r="D967" s="199"/>
      <c r="E967" s="199"/>
    </row>
    <row r="968" ht="14.25" customHeight="1">
      <c r="A968" s="199"/>
      <c r="B968" s="199"/>
      <c r="C968" s="199"/>
      <c r="D968" s="199"/>
      <c r="E968" s="199"/>
    </row>
    <row r="969" ht="14.25" customHeight="1">
      <c r="A969" s="199"/>
      <c r="B969" s="199"/>
      <c r="C969" s="199"/>
      <c r="D969" s="199"/>
      <c r="E969" s="199"/>
    </row>
    <row r="970" ht="14.25" customHeight="1">
      <c r="A970" s="199"/>
      <c r="B970" s="199"/>
      <c r="C970" s="199"/>
      <c r="D970" s="199"/>
      <c r="E970" s="199"/>
    </row>
    <row r="971" ht="14.25" customHeight="1">
      <c r="A971" s="199"/>
      <c r="B971" s="199"/>
      <c r="C971" s="199"/>
      <c r="D971" s="199"/>
      <c r="E971" s="199"/>
    </row>
    <row r="972" ht="14.25" customHeight="1">
      <c r="A972" s="199"/>
      <c r="B972" s="199"/>
      <c r="C972" s="199"/>
      <c r="D972" s="199"/>
      <c r="E972" s="199"/>
    </row>
    <row r="973" ht="14.25" customHeight="1">
      <c r="A973" s="199"/>
      <c r="B973" s="199"/>
      <c r="C973" s="199"/>
      <c r="D973" s="199"/>
      <c r="E973" s="199"/>
    </row>
    <row r="974" ht="14.25" customHeight="1">
      <c r="A974" s="199"/>
      <c r="B974" s="199"/>
      <c r="C974" s="199"/>
      <c r="D974" s="199"/>
      <c r="E974" s="199"/>
    </row>
    <row r="975" ht="14.25" customHeight="1">
      <c r="A975" s="199"/>
      <c r="B975" s="199"/>
      <c r="C975" s="199"/>
      <c r="D975" s="199"/>
      <c r="E975" s="199"/>
    </row>
    <row r="976" ht="14.25" customHeight="1">
      <c r="A976" s="199"/>
      <c r="B976" s="199"/>
      <c r="C976" s="199"/>
      <c r="D976" s="199"/>
      <c r="E976" s="199"/>
    </row>
    <row r="977" ht="14.25" customHeight="1">
      <c r="A977" s="199"/>
      <c r="B977" s="199"/>
      <c r="C977" s="199"/>
      <c r="D977" s="199"/>
      <c r="E977" s="199"/>
    </row>
    <row r="978" ht="14.25" customHeight="1">
      <c r="A978" s="199"/>
      <c r="B978" s="199"/>
      <c r="C978" s="199"/>
      <c r="D978" s="199"/>
      <c r="E978" s="199"/>
    </row>
    <row r="979" ht="14.25" customHeight="1">
      <c r="A979" s="199"/>
      <c r="B979" s="199"/>
      <c r="C979" s="199"/>
      <c r="D979" s="199"/>
      <c r="E979" s="199"/>
    </row>
    <row r="980" ht="14.25" customHeight="1">
      <c r="A980" s="199"/>
      <c r="B980" s="199"/>
      <c r="C980" s="199"/>
      <c r="D980" s="199"/>
      <c r="E980" s="199"/>
    </row>
    <row r="981" ht="14.25" customHeight="1">
      <c r="A981" s="199"/>
      <c r="B981" s="199"/>
      <c r="C981" s="199"/>
      <c r="D981" s="199"/>
      <c r="E981" s="199"/>
    </row>
    <row r="982" ht="14.25" customHeight="1">
      <c r="A982" s="199"/>
      <c r="B982" s="199"/>
      <c r="C982" s="199"/>
      <c r="D982" s="199"/>
      <c r="E982" s="199"/>
    </row>
    <row r="983" ht="14.25" customHeight="1">
      <c r="A983" s="199"/>
      <c r="B983" s="199"/>
      <c r="C983" s="199"/>
      <c r="D983" s="199"/>
      <c r="E983" s="199"/>
    </row>
    <row r="984" ht="14.25" customHeight="1">
      <c r="A984" s="199"/>
      <c r="B984" s="199"/>
      <c r="C984" s="199"/>
      <c r="D984" s="199"/>
      <c r="E984" s="199"/>
    </row>
    <row r="985" ht="14.25" customHeight="1">
      <c r="A985" s="199"/>
      <c r="B985" s="199"/>
      <c r="C985" s="199"/>
      <c r="D985" s="199"/>
      <c r="E985" s="199"/>
    </row>
    <row r="986" ht="14.25" customHeight="1">
      <c r="A986" s="199"/>
      <c r="B986" s="199"/>
      <c r="C986" s="199"/>
      <c r="D986" s="199"/>
      <c r="E986" s="199"/>
    </row>
    <row r="987" ht="14.25" customHeight="1">
      <c r="A987" s="199"/>
      <c r="B987" s="199"/>
      <c r="C987" s="199"/>
      <c r="D987" s="199"/>
      <c r="E987" s="199"/>
    </row>
    <row r="988" ht="14.25" customHeight="1">
      <c r="A988" s="199"/>
      <c r="B988" s="199"/>
      <c r="C988" s="199"/>
      <c r="D988" s="199"/>
      <c r="E988" s="199"/>
    </row>
    <row r="989" ht="14.25" customHeight="1">
      <c r="A989" s="199"/>
      <c r="B989" s="199"/>
      <c r="C989" s="199"/>
      <c r="D989" s="199"/>
      <c r="E989" s="199"/>
    </row>
    <row r="990" ht="14.25" customHeight="1">
      <c r="A990" s="199"/>
      <c r="B990" s="199"/>
      <c r="C990" s="199"/>
      <c r="D990" s="199"/>
      <c r="E990" s="199"/>
    </row>
    <row r="991" ht="14.25" customHeight="1">
      <c r="A991" s="199"/>
      <c r="B991" s="199"/>
      <c r="C991" s="199"/>
      <c r="D991" s="199"/>
      <c r="E991" s="199"/>
    </row>
    <row r="992" ht="14.25" customHeight="1">
      <c r="A992" s="199"/>
      <c r="B992" s="199"/>
      <c r="C992" s="199"/>
      <c r="D992" s="199"/>
      <c r="E992" s="199"/>
    </row>
    <row r="993" ht="14.25" customHeight="1">
      <c r="A993" s="199"/>
      <c r="B993" s="199"/>
      <c r="C993" s="199"/>
      <c r="D993" s="199"/>
      <c r="E993" s="199"/>
    </row>
    <row r="994" ht="14.25" customHeight="1">
      <c r="A994" s="199"/>
      <c r="B994" s="199"/>
      <c r="C994" s="199"/>
      <c r="D994" s="199"/>
      <c r="E994" s="199"/>
    </row>
    <row r="995" ht="14.25" customHeight="1">
      <c r="A995" s="199"/>
      <c r="B995" s="199"/>
      <c r="C995" s="199"/>
      <c r="D995" s="199"/>
      <c r="E995" s="199"/>
    </row>
    <row r="996" ht="14.25" customHeight="1">
      <c r="A996" s="199"/>
      <c r="B996" s="199"/>
      <c r="C996" s="199"/>
      <c r="D996" s="199"/>
      <c r="E996" s="199"/>
    </row>
    <row r="997" ht="14.25" customHeight="1">
      <c r="A997" s="199"/>
      <c r="B997" s="199"/>
      <c r="C997" s="199"/>
      <c r="D997" s="199"/>
      <c r="E997" s="199"/>
    </row>
    <row r="998" ht="14.25" customHeight="1">
      <c r="A998" s="199"/>
      <c r="B998" s="199"/>
      <c r="C998" s="199"/>
      <c r="D998" s="199"/>
      <c r="E998" s="199"/>
    </row>
    <row r="999" ht="14.25" customHeight="1">
      <c r="A999" s="199"/>
      <c r="B999" s="199"/>
      <c r="C999" s="199"/>
      <c r="D999" s="199"/>
      <c r="E999" s="199"/>
    </row>
    <row r="1000" ht="14.25" customHeight="1">
      <c r="A1000" s="199"/>
      <c r="B1000" s="199"/>
      <c r="C1000" s="199"/>
      <c r="D1000" s="199"/>
      <c r="E1000" s="199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26" width="10.71"/>
  </cols>
  <sheetData>
    <row r="1" ht="14.25" customHeight="1">
      <c r="A1" s="201" t="str">
        <f>+'Plan de pagos'!R13</f>
        <v>Primera Quincena</v>
      </c>
      <c r="B1" s="202" t="s">
        <v>994</v>
      </c>
      <c r="C1" s="203">
        <f>IF('Plan de pagos'!G13="Mensual",'Plan de pagos'!G11,'Plan de pagos'!G11*2)</f>
        <v>20</v>
      </c>
      <c r="E1" s="202" t="s">
        <v>995</v>
      </c>
      <c r="F1" s="202">
        <f>+MONTH(A2)</f>
        <v>2</v>
      </c>
      <c r="H1" s="202" t="s">
        <v>996</v>
      </c>
    </row>
    <row r="2" ht="14.25" customHeight="1">
      <c r="A2" s="204">
        <f>+'Plan de pagos'!L13</f>
        <v>46055</v>
      </c>
      <c r="H2" s="55">
        <v>45854.0</v>
      </c>
      <c r="J2" s="202">
        <f t="shared" ref="J2:J19" si="1">+DAY(H2)</f>
        <v>16</v>
      </c>
      <c r="K2" s="202" t="str">
        <f t="shared" ref="K2:K19" si="2">+IF(J2&gt;14,"Segunda","Primera")</f>
        <v>Segunda</v>
      </c>
    </row>
    <row r="3" ht="14.25" customHeight="1">
      <c r="A3" s="201"/>
      <c r="B3" s="202">
        <v>1.0</v>
      </c>
      <c r="C3" s="202">
        <f>+DAY(A2)</f>
        <v>2</v>
      </c>
      <c r="E3" s="202">
        <f t="shared" ref="E3:E115" si="3">+B3</f>
        <v>1</v>
      </c>
      <c r="H3" s="55">
        <f t="shared" ref="H3:H19" si="4">+H2+I3</f>
        <v>45869</v>
      </c>
      <c r="I3" s="202">
        <v>15.0</v>
      </c>
      <c r="J3" s="202">
        <f t="shared" si="1"/>
        <v>31</v>
      </c>
      <c r="K3" s="202" t="str">
        <f t="shared" si="2"/>
        <v>Segunda</v>
      </c>
    </row>
    <row r="4" ht="14.25" customHeight="1">
      <c r="A4" s="201"/>
      <c r="B4" s="202">
        <f t="shared" ref="B4:B117" si="5">+IF(B3&gt;=$C$1," ",B3+1)</f>
        <v>2</v>
      </c>
      <c r="C4" s="202">
        <f t="shared" ref="C4:C117" si="6">IF(B4=" ","",C3)</f>
        <v>2</v>
      </c>
      <c r="E4" s="202">
        <f t="shared" si="3"/>
        <v>2</v>
      </c>
      <c r="H4" s="55">
        <f t="shared" si="4"/>
        <v>45884</v>
      </c>
      <c r="I4" s="202">
        <v>15.0</v>
      </c>
      <c r="J4" s="202">
        <f t="shared" si="1"/>
        <v>15</v>
      </c>
      <c r="K4" s="202" t="str">
        <f t="shared" si="2"/>
        <v>Segunda</v>
      </c>
      <c r="N4" s="202">
        <v>160.0</v>
      </c>
    </row>
    <row r="5" ht="14.25" customHeight="1">
      <c r="A5" s="201"/>
      <c r="B5" s="202">
        <f t="shared" si="5"/>
        <v>3</v>
      </c>
      <c r="C5" s="202">
        <f t="shared" si="6"/>
        <v>2</v>
      </c>
      <c r="E5" s="202">
        <f t="shared" si="3"/>
        <v>3</v>
      </c>
      <c r="H5" s="55">
        <f t="shared" si="4"/>
        <v>45899</v>
      </c>
      <c r="I5" s="202">
        <v>15.0</v>
      </c>
      <c r="J5" s="202">
        <f t="shared" si="1"/>
        <v>30</v>
      </c>
      <c r="K5" s="202" t="str">
        <f t="shared" si="2"/>
        <v>Segunda</v>
      </c>
      <c r="N5" s="202">
        <v>140.0</v>
      </c>
    </row>
    <row r="6" ht="14.25" customHeight="1">
      <c r="A6" s="201"/>
      <c r="B6" s="202">
        <f t="shared" si="5"/>
        <v>4</v>
      </c>
      <c r="C6" s="202">
        <f t="shared" si="6"/>
        <v>2</v>
      </c>
      <c r="E6" s="202">
        <f t="shared" si="3"/>
        <v>4</v>
      </c>
      <c r="H6" s="55">
        <f t="shared" si="4"/>
        <v>45914</v>
      </c>
      <c r="I6" s="202">
        <v>15.0</v>
      </c>
      <c r="J6" s="202">
        <f t="shared" si="1"/>
        <v>14</v>
      </c>
      <c r="K6" s="202" t="str">
        <f t="shared" si="2"/>
        <v>Primera</v>
      </c>
      <c r="N6" s="202">
        <f>+N5*37.07</f>
        <v>5189.8</v>
      </c>
    </row>
    <row r="7" ht="14.25" customHeight="1">
      <c r="A7" s="201"/>
      <c r="B7" s="202">
        <f t="shared" si="5"/>
        <v>5</v>
      </c>
      <c r="C7" s="202">
        <f t="shared" si="6"/>
        <v>2</v>
      </c>
      <c r="E7" s="202">
        <f t="shared" si="3"/>
        <v>5</v>
      </c>
      <c r="H7" s="55">
        <f t="shared" si="4"/>
        <v>45929</v>
      </c>
      <c r="I7" s="202">
        <v>15.0</v>
      </c>
      <c r="J7" s="202">
        <f t="shared" si="1"/>
        <v>29</v>
      </c>
      <c r="K7" s="202" t="str">
        <f t="shared" si="2"/>
        <v>Segunda</v>
      </c>
    </row>
    <row r="8" ht="14.25" customHeight="1">
      <c r="A8" s="201"/>
      <c r="B8" s="202">
        <f t="shared" si="5"/>
        <v>6</v>
      </c>
      <c r="C8" s="202">
        <f t="shared" si="6"/>
        <v>2</v>
      </c>
      <c r="E8" s="202">
        <f t="shared" si="3"/>
        <v>6</v>
      </c>
      <c r="H8" s="55">
        <f t="shared" si="4"/>
        <v>45944</v>
      </c>
      <c r="I8" s="202">
        <v>15.0</v>
      </c>
      <c r="J8" s="202">
        <f t="shared" si="1"/>
        <v>14</v>
      </c>
      <c r="K8" s="202" t="str">
        <f t="shared" si="2"/>
        <v>Primera</v>
      </c>
    </row>
    <row r="9" ht="14.25" customHeight="1">
      <c r="A9" s="201"/>
      <c r="B9" s="202">
        <f t="shared" si="5"/>
        <v>7</v>
      </c>
      <c r="C9" s="202">
        <f t="shared" si="6"/>
        <v>2</v>
      </c>
      <c r="E9" s="202">
        <f t="shared" si="3"/>
        <v>7</v>
      </c>
      <c r="H9" s="55">
        <f t="shared" si="4"/>
        <v>45959</v>
      </c>
      <c r="I9" s="202">
        <v>15.0</v>
      </c>
      <c r="J9" s="202">
        <f t="shared" si="1"/>
        <v>29</v>
      </c>
      <c r="K9" s="202" t="str">
        <f t="shared" si="2"/>
        <v>Segunda</v>
      </c>
    </row>
    <row r="10" ht="14.25" customHeight="1">
      <c r="A10" s="201"/>
      <c r="B10" s="202">
        <f t="shared" si="5"/>
        <v>8</v>
      </c>
      <c r="C10" s="202">
        <f t="shared" si="6"/>
        <v>2</v>
      </c>
      <c r="E10" s="202">
        <f t="shared" si="3"/>
        <v>8</v>
      </c>
      <c r="H10" s="55">
        <f t="shared" si="4"/>
        <v>45974</v>
      </c>
      <c r="I10" s="202">
        <v>15.0</v>
      </c>
      <c r="J10" s="202">
        <f t="shared" si="1"/>
        <v>13</v>
      </c>
      <c r="K10" s="202" t="str">
        <f t="shared" si="2"/>
        <v>Primera</v>
      </c>
    </row>
    <row r="11" ht="14.25" customHeight="1">
      <c r="A11" s="201"/>
      <c r="B11" s="202">
        <f t="shared" si="5"/>
        <v>9</v>
      </c>
      <c r="C11" s="202">
        <f t="shared" si="6"/>
        <v>2</v>
      </c>
      <c r="E11" s="202">
        <f t="shared" si="3"/>
        <v>9</v>
      </c>
      <c r="H11" s="55">
        <f t="shared" si="4"/>
        <v>45989</v>
      </c>
      <c r="I11" s="202">
        <v>15.0</v>
      </c>
      <c r="J11" s="202">
        <f t="shared" si="1"/>
        <v>28</v>
      </c>
      <c r="K11" s="202" t="str">
        <f t="shared" si="2"/>
        <v>Segunda</v>
      </c>
    </row>
    <row r="12" ht="14.25" customHeight="1">
      <c r="A12" s="201"/>
      <c r="B12" s="202">
        <f t="shared" si="5"/>
        <v>10</v>
      </c>
      <c r="C12" s="202">
        <f t="shared" si="6"/>
        <v>2</v>
      </c>
      <c r="E12" s="202">
        <f t="shared" si="3"/>
        <v>10</v>
      </c>
      <c r="H12" s="55">
        <f t="shared" si="4"/>
        <v>46004</v>
      </c>
      <c r="I12" s="202">
        <v>15.0</v>
      </c>
      <c r="J12" s="202">
        <f t="shared" si="1"/>
        <v>13</v>
      </c>
      <c r="K12" s="202" t="str">
        <f t="shared" si="2"/>
        <v>Primera</v>
      </c>
    </row>
    <row r="13" ht="14.25" customHeight="1">
      <c r="A13" s="201"/>
      <c r="B13" s="202">
        <f t="shared" si="5"/>
        <v>11</v>
      </c>
      <c r="C13" s="202">
        <f t="shared" si="6"/>
        <v>2</v>
      </c>
      <c r="E13" s="202">
        <f t="shared" si="3"/>
        <v>11</v>
      </c>
      <c r="H13" s="55">
        <f t="shared" si="4"/>
        <v>46019</v>
      </c>
      <c r="I13" s="202">
        <v>15.0</v>
      </c>
      <c r="J13" s="202">
        <f t="shared" si="1"/>
        <v>28</v>
      </c>
      <c r="K13" s="202" t="str">
        <f t="shared" si="2"/>
        <v>Segunda</v>
      </c>
    </row>
    <row r="14" ht="14.25" customHeight="1">
      <c r="A14" s="201"/>
      <c r="B14" s="202">
        <f t="shared" si="5"/>
        <v>12</v>
      </c>
      <c r="C14" s="202">
        <f t="shared" si="6"/>
        <v>2</v>
      </c>
      <c r="E14" s="202">
        <f t="shared" si="3"/>
        <v>12</v>
      </c>
      <c r="H14" s="55">
        <f t="shared" si="4"/>
        <v>46034</v>
      </c>
      <c r="I14" s="202">
        <v>15.0</v>
      </c>
      <c r="J14" s="202">
        <f t="shared" si="1"/>
        <v>12</v>
      </c>
      <c r="K14" s="202" t="str">
        <f t="shared" si="2"/>
        <v>Primera</v>
      </c>
    </row>
    <row r="15" ht="14.25" customHeight="1">
      <c r="A15" s="201"/>
      <c r="B15" s="202">
        <f t="shared" si="5"/>
        <v>13</v>
      </c>
      <c r="C15" s="202">
        <f t="shared" si="6"/>
        <v>2</v>
      </c>
      <c r="E15" s="202">
        <f t="shared" si="3"/>
        <v>13</v>
      </c>
      <c r="H15" s="55">
        <f t="shared" si="4"/>
        <v>46049</v>
      </c>
      <c r="I15" s="202">
        <v>15.0</v>
      </c>
      <c r="J15" s="202">
        <f t="shared" si="1"/>
        <v>27</v>
      </c>
      <c r="K15" s="202" t="str">
        <f t="shared" si="2"/>
        <v>Segunda</v>
      </c>
    </row>
    <row r="16" ht="14.25" customHeight="1">
      <c r="A16" s="201"/>
      <c r="B16" s="202">
        <f t="shared" si="5"/>
        <v>14</v>
      </c>
      <c r="C16" s="202">
        <f t="shared" si="6"/>
        <v>2</v>
      </c>
      <c r="E16" s="202">
        <f t="shared" si="3"/>
        <v>14</v>
      </c>
      <c r="H16" s="55">
        <f t="shared" si="4"/>
        <v>46064</v>
      </c>
      <c r="I16" s="202">
        <v>15.0</v>
      </c>
      <c r="J16" s="202">
        <f t="shared" si="1"/>
        <v>11</v>
      </c>
      <c r="K16" s="202" t="str">
        <f t="shared" si="2"/>
        <v>Primera</v>
      </c>
    </row>
    <row r="17" ht="14.25" customHeight="1">
      <c r="A17" s="201"/>
      <c r="B17" s="202">
        <f t="shared" si="5"/>
        <v>15</v>
      </c>
      <c r="C17" s="202">
        <f t="shared" si="6"/>
        <v>2</v>
      </c>
      <c r="E17" s="202">
        <f t="shared" si="3"/>
        <v>15</v>
      </c>
      <c r="H17" s="55">
        <f t="shared" si="4"/>
        <v>46079</v>
      </c>
      <c r="I17" s="202">
        <v>15.0</v>
      </c>
      <c r="J17" s="202">
        <f t="shared" si="1"/>
        <v>26</v>
      </c>
      <c r="K17" s="202" t="str">
        <f t="shared" si="2"/>
        <v>Segunda</v>
      </c>
    </row>
    <row r="18" ht="14.25" customHeight="1">
      <c r="A18" s="201"/>
      <c r="B18" s="202">
        <f t="shared" si="5"/>
        <v>16</v>
      </c>
      <c r="C18" s="202">
        <f t="shared" si="6"/>
        <v>2</v>
      </c>
      <c r="E18" s="202">
        <f t="shared" si="3"/>
        <v>16</v>
      </c>
      <c r="H18" s="55">
        <f t="shared" si="4"/>
        <v>46094</v>
      </c>
      <c r="I18" s="202">
        <v>15.0</v>
      </c>
      <c r="J18" s="202">
        <f t="shared" si="1"/>
        <v>13</v>
      </c>
      <c r="K18" s="202" t="str">
        <f t="shared" si="2"/>
        <v>Primera</v>
      </c>
    </row>
    <row r="19" ht="14.25" customHeight="1">
      <c r="A19" s="201"/>
      <c r="B19" s="202">
        <f t="shared" si="5"/>
        <v>17</v>
      </c>
      <c r="C19" s="202">
        <f t="shared" si="6"/>
        <v>2</v>
      </c>
      <c r="E19" s="202">
        <f t="shared" si="3"/>
        <v>17</v>
      </c>
      <c r="H19" s="55">
        <f t="shared" si="4"/>
        <v>46109</v>
      </c>
      <c r="I19" s="202">
        <v>15.0</v>
      </c>
      <c r="J19" s="202">
        <f t="shared" si="1"/>
        <v>28</v>
      </c>
      <c r="K19" s="202" t="str">
        <f t="shared" si="2"/>
        <v>Segunda</v>
      </c>
    </row>
    <row r="20" ht="14.25" customHeight="1">
      <c r="A20" s="201"/>
      <c r="B20" s="202">
        <f t="shared" si="5"/>
        <v>18</v>
      </c>
      <c r="C20" s="202">
        <f t="shared" si="6"/>
        <v>2</v>
      </c>
      <c r="E20" s="202">
        <f t="shared" si="3"/>
        <v>18</v>
      </c>
    </row>
    <row r="21" ht="14.25" customHeight="1">
      <c r="A21" s="201"/>
      <c r="B21" s="202">
        <f t="shared" si="5"/>
        <v>19</v>
      </c>
      <c r="C21" s="202">
        <f t="shared" si="6"/>
        <v>2</v>
      </c>
      <c r="E21" s="202">
        <f t="shared" si="3"/>
        <v>19</v>
      </c>
    </row>
    <row r="22" ht="14.25" customHeight="1">
      <c r="A22" s="201"/>
      <c r="B22" s="202">
        <f t="shared" si="5"/>
        <v>20</v>
      </c>
      <c r="C22" s="202">
        <f t="shared" si="6"/>
        <v>2</v>
      </c>
      <c r="E22" s="202">
        <f t="shared" si="3"/>
        <v>20</v>
      </c>
    </row>
    <row r="23" ht="14.25" customHeight="1">
      <c r="A23" s="201"/>
      <c r="B23" s="202" t="str">
        <f t="shared" si="5"/>
        <v> </v>
      </c>
      <c r="C23" s="202" t="str">
        <f t="shared" si="6"/>
        <v/>
      </c>
      <c r="E23" s="202" t="str">
        <f t="shared" si="3"/>
        <v> </v>
      </c>
    </row>
    <row r="24" ht="14.25" customHeight="1">
      <c r="A24" s="201"/>
      <c r="B24" s="202" t="str">
        <f t="shared" si="5"/>
        <v> </v>
      </c>
      <c r="C24" s="202" t="str">
        <f t="shared" si="6"/>
        <v/>
      </c>
      <c r="E24" s="202" t="str">
        <f t="shared" si="3"/>
        <v> </v>
      </c>
    </row>
    <row r="25" ht="14.25" customHeight="1">
      <c r="A25" s="201"/>
      <c r="B25" s="202" t="str">
        <f t="shared" si="5"/>
        <v> </v>
      </c>
      <c r="C25" s="202" t="str">
        <f t="shared" si="6"/>
        <v/>
      </c>
      <c r="E25" s="202" t="str">
        <f t="shared" si="3"/>
        <v> </v>
      </c>
    </row>
    <row r="26" ht="14.25" customHeight="1">
      <c r="A26" s="201"/>
      <c r="B26" s="202" t="str">
        <f t="shared" si="5"/>
        <v> </v>
      </c>
      <c r="C26" s="202" t="str">
        <f t="shared" si="6"/>
        <v/>
      </c>
      <c r="E26" s="202" t="str">
        <f t="shared" si="3"/>
        <v> </v>
      </c>
    </row>
    <row r="27" ht="14.25" customHeight="1">
      <c r="A27" s="201"/>
      <c r="B27" s="202" t="str">
        <f t="shared" si="5"/>
        <v> </v>
      </c>
      <c r="C27" s="202" t="str">
        <f t="shared" si="6"/>
        <v/>
      </c>
      <c r="E27" s="202" t="str">
        <f t="shared" si="3"/>
        <v> </v>
      </c>
    </row>
    <row r="28" ht="14.25" customHeight="1">
      <c r="A28" s="201"/>
      <c r="B28" s="202" t="str">
        <f t="shared" si="5"/>
        <v> </v>
      </c>
      <c r="C28" s="202" t="str">
        <f t="shared" si="6"/>
        <v/>
      </c>
      <c r="E28" s="202" t="str">
        <f t="shared" si="3"/>
        <v> </v>
      </c>
    </row>
    <row r="29" ht="14.25" customHeight="1">
      <c r="A29" s="201"/>
      <c r="B29" s="202" t="str">
        <f t="shared" si="5"/>
        <v> </v>
      </c>
      <c r="C29" s="202" t="str">
        <f t="shared" si="6"/>
        <v/>
      </c>
      <c r="E29" s="202" t="str">
        <f t="shared" si="3"/>
        <v> </v>
      </c>
    </row>
    <row r="30" ht="14.25" customHeight="1">
      <c r="A30" s="201"/>
      <c r="B30" s="202" t="str">
        <f t="shared" si="5"/>
        <v> </v>
      </c>
      <c r="C30" s="202" t="str">
        <f t="shared" si="6"/>
        <v/>
      </c>
      <c r="E30" s="202" t="str">
        <f t="shared" si="3"/>
        <v> </v>
      </c>
    </row>
    <row r="31" ht="14.25" customHeight="1">
      <c r="A31" s="201"/>
      <c r="B31" s="202" t="str">
        <f t="shared" si="5"/>
        <v> </v>
      </c>
      <c r="C31" s="202" t="str">
        <f t="shared" si="6"/>
        <v/>
      </c>
      <c r="E31" s="202" t="str">
        <f t="shared" si="3"/>
        <v> </v>
      </c>
    </row>
    <row r="32" ht="14.25" customHeight="1">
      <c r="A32" s="201"/>
      <c r="B32" s="202" t="str">
        <f t="shared" si="5"/>
        <v> </v>
      </c>
      <c r="C32" s="202" t="str">
        <f t="shared" si="6"/>
        <v/>
      </c>
      <c r="E32" s="202" t="str">
        <f t="shared" si="3"/>
        <v> </v>
      </c>
    </row>
    <row r="33" ht="14.25" customHeight="1">
      <c r="A33" s="201"/>
      <c r="B33" s="202" t="str">
        <f t="shared" si="5"/>
        <v> </v>
      </c>
      <c r="C33" s="202" t="str">
        <f t="shared" si="6"/>
        <v/>
      </c>
      <c r="E33" s="202" t="str">
        <f t="shared" si="3"/>
        <v> </v>
      </c>
    </row>
    <row r="34" ht="14.25" customHeight="1">
      <c r="A34" s="201"/>
      <c r="B34" s="202" t="str">
        <f t="shared" si="5"/>
        <v> </v>
      </c>
      <c r="C34" s="202" t="str">
        <f t="shared" si="6"/>
        <v/>
      </c>
      <c r="E34" s="202" t="str">
        <f t="shared" si="3"/>
        <v> </v>
      </c>
    </row>
    <row r="35" ht="14.25" customHeight="1">
      <c r="A35" s="201"/>
      <c r="B35" s="202" t="str">
        <f t="shared" si="5"/>
        <v> </v>
      </c>
      <c r="C35" s="202" t="str">
        <f t="shared" si="6"/>
        <v/>
      </c>
      <c r="E35" s="202" t="str">
        <f t="shared" si="3"/>
        <v> </v>
      </c>
    </row>
    <row r="36" ht="14.25" customHeight="1">
      <c r="A36" s="201"/>
      <c r="B36" s="202" t="str">
        <f t="shared" si="5"/>
        <v> </v>
      </c>
      <c r="C36" s="202" t="str">
        <f t="shared" si="6"/>
        <v/>
      </c>
      <c r="E36" s="202" t="str">
        <f t="shared" si="3"/>
        <v> </v>
      </c>
    </row>
    <row r="37" ht="14.25" customHeight="1">
      <c r="A37" s="201"/>
      <c r="B37" s="202" t="str">
        <f t="shared" si="5"/>
        <v> </v>
      </c>
      <c r="C37" s="202" t="str">
        <f t="shared" si="6"/>
        <v/>
      </c>
      <c r="E37" s="202" t="str">
        <f t="shared" si="3"/>
        <v> </v>
      </c>
    </row>
    <row r="38" ht="14.25" customHeight="1">
      <c r="A38" s="201"/>
      <c r="B38" s="202" t="str">
        <f t="shared" si="5"/>
        <v> </v>
      </c>
      <c r="C38" s="202" t="str">
        <f t="shared" si="6"/>
        <v/>
      </c>
      <c r="E38" s="202" t="str">
        <f t="shared" si="3"/>
        <v> </v>
      </c>
    </row>
    <row r="39" ht="14.25" customHeight="1">
      <c r="A39" s="201"/>
      <c r="B39" s="202" t="str">
        <f t="shared" si="5"/>
        <v> </v>
      </c>
      <c r="C39" s="202" t="str">
        <f t="shared" si="6"/>
        <v/>
      </c>
      <c r="E39" s="202" t="str">
        <f t="shared" si="3"/>
        <v> </v>
      </c>
    </row>
    <row r="40" ht="14.25" customHeight="1">
      <c r="A40" s="201"/>
      <c r="B40" s="202" t="str">
        <f t="shared" si="5"/>
        <v> </v>
      </c>
      <c r="C40" s="202" t="str">
        <f t="shared" si="6"/>
        <v/>
      </c>
      <c r="E40" s="202" t="str">
        <f t="shared" si="3"/>
        <v> </v>
      </c>
    </row>
    <row r="41" ht="14.25" customHeight="1">
      <c r="A41" s="201"/>
      <c r="B41" s="202" t="str">
        <f t="shared" si="5"/>
        <v> </v>
      </c>
      <c r="C41" s="202" t="str">
        <f t="shared" si="6"/>
        <v/>
      </c>
      <c r="E41" s="202" t="str">
        <f t="shared" si="3"/>
        <v> </v>
      </c>
    </row>
    <row r="42" ht="14.25" customHeight="1">
      <c r="A42" s="201"/>
      <c r="B42" s="202" t="str">
        <f t="shared" si="5"/>
        <v> </v>
      </c>
      <c r="C42" s="202" t="str">
        <f t="shared" si="6"/>
        <v/>
      </c>
      <c r="E42" s="202" t="str">
        <f t="shared" si="3"/>
        <v> </v>
      </c>
    </row>
    <row r="43" ht="14.25" customHeight="1">
      <c r="A43" s="201"/>
      <c r="B43" s="202" t="str">
        <f t="shared" si="5"/>
        <v> </v>
      </c>
      <c r="C43" s="202" t="str">
        <f t="shared" si="6"/>
        <v/>
      </c>
      <c r="E43" s="202" t="str">
        <f t="shared" si="3"/>
        <v> </v>
      </c>
    </row>
    <row r="44" ht="14.25" customHeight="1">
      <c r="A44" s="201"/>
      <c r="B44" s="202" t="str">
        <f t="shared" si="5"/>
        <v> </v>
      </c>
      <c r="C44" s="202" t="str">
        <f t="shared" si="6"/>
        <v/>
      </c>
      <c r="E44" s="202" t="str">
        <f t="shared" si="3"/>
        <v> </v>
      </c>
    </row>
    <row r="45" ht="14.25" customHeight="1">
      <c r="A45" s="201"/>
      <c r="B45" s="202" t="str">
        <f t="shared" si="5"/>
        <v> </v>
      </c>
      <c r="C45" s="202" t="str">
        <f t="shared" si="6"/>
        <v/>
      </c>
      <c r="E45" s="202" t="str">
        <f t="shared" si="3"/>
        <v> </v>
      </c>
    </row>
    <row r="46" ht="14.25" customHeight="1">
      <c r="A46" s="201"/>
      <c r="B46" s="202" t="str">
        <f t="shared" si="5"/>
        <v> </v>
      </c>
      <c r="C46" s="202" t="str">
        <f t="shared" si="6"/>
        <v/>
      </c>
      <c r="E46" s="202" t="str">
        <f t="shared" si="3"/>
        <v> </v>
      </c>
    </row>
    <row r="47" ht="14.25" customHeight="1">
      <c r="A47" s="201"/>
      <c r="B47" s="202" t="str">
        <f t="shared" si="5"/>
        <v> </v>
      </c>
      <c r="C47" s="202" t="str">
        <f t="shared" si="6"/>
        <v/>
      </c>
      <c r="E47" s="202" t="str">
        <f t="shared" si="3"/>
        <v> </v>
      </c>
    </row>
    <row r="48" ht="14.25" customHeight="1">
      <c r="A48" s="201"/>
      <c r="B48" s="202" t="str">
        <f t="shared" si="5"/>
        <v> </v>
      </c>
      <c r="C48" s="202" t="str">
        <f t="shared" si="6"/>
        <v/>
      </c>
      <c r="E48" s="202" t="str">
        <f t="shared" si="3"/>
        <v> </v>
      </c>
    </row>
    <row r="49" ht="14.25" customHeight="1">
      <c r="A49" s="201"/>
      <c r="B49" s="202" t="str">
        <f t="shared" si="5"/>
        <v> </v>
      </c>
      <c r="C49" s="202" t="str">
        <f t="shared" si="6"/>
        <v/>
      </c>
      <c r="E49" s="202" t="str">
        <f t="shared" si="3"/>
        <v> </v>
      </c>
    </row>
    <row r="50" ht="14.25" customHeight="1">
      <c r="A50" s="201"/>
      <c r="B50" s="202" t="str">
        <f t="shared" si="5"/>
        <v> </v>
      </c>
      <c r="C50" s="202" t="str">
        <f t="shared" si="6"/>
        <v/>
      </c>
      <c r="E50" s="202" t="str">
        <f t="shared" si="3"/>
        <v> </v>
      </c>
    </row>
    <row r="51" ht="14.25" customHeight="1">
      <c r="A51" s="201"/>
      <c r="B51" s="202" t="str">
        <f t="shared" si="5"/>
        <v> </v>
      </c>
      <c r="C51" s="202" t="str">
        <f t="shared" si="6"/>
        <v/>
      </c>
      <c r="E51" s="202" t="str">
        <f t="shared" si="3"/>
        <v> </v>
      </c>
    </row>
    <row r="52" ht="14.25" customHeight="1">
      <c r="A52" s="201"/>
      <c r="B52" s="202" t="str">
        <f t="shared" si="5"/>
        <v> </v>
      </c>
      <c r="C52" s="202" t="str">
        <f t="shared" si="6"/>
        <v/>
      </c>
      <c r="E52" s="202" t="str">
        <f t="shared" si="3"/>
        <v> </v>
      </c>
    </row>
    <row r="53" ht="14.25" customHeight="1">
      <c r="A53" s="201"/>
      <c r="B53" s="202" t="str">
        <f t="shared" si="5"/>
        <v> </v>
      </c>
      <c r="C53" s="202" t="str">
        <f t="shared" si="6"/>
        <v/>
      </c>
      <c r="E53" s="202" t="str">
        <f t="shared" si="3"/>
        <v> </v>
      </c>
    </row>
    <row r="54" ht="14.25" customHeight="1">
      <c r="A54" s="201"/>
      <c r="B54" s="202" t="str">
        <f t="shared" si="5"/>
        <v> </v>
      </c>
      <c r="C54" s="202" t="str">
        <f t="shared" si="6"/>
        <v/>
      </c>
      <c r="E54" s="202" t="str">
        <f t="shared" si="3"/>
        <v> </v>
      </c>
    </row>
    <row r="55" ht="14.25" customHeight="1">
      <c r="A55" s="201"/>
      <c r="B55" s="202" t="str">
        <f t="shared" si="5"/>
        <v> </v>
      </c>
      <c r="C55" s="202" t="str">
        <f t="shared" si="6"/>
        <v/>
      </c>
      <c r="E55" s="202" t="str">
        <f t="shared" si="3"/>
        <v> </v>
      </c>
    </row>
    <row r="56" ht="14.25" customHeight="1">
      <c r="A56" s="201"/>
      <c r="B56" s="202" t="str">
        <f t="shared" si="5"/>
        <v> </v>
      </c>
      <c r="C56" s="202" t="str">
        <f t="shared" si="6"/>
        <v/>
      </c>
      <c r="E56" s="202" t="str">
        <f t="shared" si="3"/>
        <v> </v>
      </c>
    </row>
    <row r="57" ht="14.25" customHeight="1">
      <c r="A57" s="201"/>
      <c r="B57" s="202" t="str">
        <f t="shared" si="5"/>
        <v> </v>
      </c>
      <c r="C57" s="202" t="str">
        <f t="shared" si="6"/>
        <v/>
      </c>
      <c r="E57" s="202" t="str">
        <f t="shared" si="3"/>
        <v> </v>
      </c>
    </row>
    <row r="58" ht="14.25" customHeight="1">
      <c r="A58" s="201"/>
      <c r="B58" s="202" t="str">
        <f t="shared" si="5"/>
        <v> </v>
      </c>
      <c r="C58" s="202" t="str">
        <f t="shared" si="6"/>
        <v/>
      </c>
      <c r="E58" s="202" t="str">
        <f t="shared" si="3"/>
        <v> </v>
      </c>
    </row>
    <row r="59" ht="14.25" customHeight="1">
      <c r="A59" s="201"/>
      <c r="B59" s="202" t="str">
        <f t="shared" si="5"/>
        <v> </v>
      </c>
      <c r="C59" s="202" t="str">
        <f t="shared" si="6"/>
        <v/>
      </c>
      <c r="E59" s="202" t="str">
        <f t="shared" si="3"/>
        <v> </v>
      </c>
    </row>
    <row r="60" ht="14.25" customHeight="1">
      <c r="A60" s="201"/>
      <c r="B60" s="202" t="str">
        <f t="shared" si="5"/>
        <v> </v>
      </c>
      <c r="C60" s="202" t="str">
        <f t="shared" si="6"/>
        <v/>
      </c>
      <c r="E60" s="202" t="str">
        <f t="shared" si="3"/>
        <v> </v>
      </c>
    </row>
    <row r="61" ht="14.25" customHeight="1">
      <c r="A61" s="201"/>
      <c r="B61" s="202" t="str">
        <f t="shared" si="5"/>
        <v> </v>
      </c>
      <c r="C61" s="202" t="str">
        <f t="shared" si="6"/>
        <v/>
      </c>
      <c r="E61" s="202" t="str">
        <f t="shared" si="3"/>
        <v> </v>
      </c>
    </row>
    <row r="62" ht="14.25" customHeight="1">
      <c r="A62" s="201"/>
      <c r="B62" s="202" t="str">
        <f t="shared" si="5"/>
        <v> </v>
      </c>
      <c r="C62" s="202" t="str">
        <f t="shared" si="6"/>
        <v/>
      </c>
      <c r="E62" s="202" t="str">
        <f t="shared" si="3"/>
        <v> </v>
      </c>
    </row>
    <row r="63" ht="14.25" customHeight="1">
      <c r="A63" s="201"/>
      <c r="B63" s="202" t="str">
        <f t="shared" si="5"/>
        <v> </v>
      </c>
      <c r="C63" s="202" t="str">
        <f t="shared" si="6"/>
        <v/>
      </c>
      <c r="E63" s="202" t="str">
        <f t="shared" si="3"/>
        <v> </v>
      </c>
    </row>
    <row r="64" ht="14.25" customHeight="1">
      <c r="A64" s="201"/>
      <c r="B64" s="202" t="str">
        <f t="shared" si="5"/>
        <v> </v>
      </c>
      <c r="C64" s="202" t="str">
        <f t="shared" si="6"/>
        <v/>
      </c>
      <c r="E64" s="202" t="str">
        <f t="shared" si="3"/>
        <v> </v>
      </c>
    </row>
    <row r="65" ht="14.25" customHeight="1">
      <c r="A65" s="201"/>
      <c r="B65" s="202" t="str">
        <f t="shared" si="5"/>
        <v> </v>
      </c>
      <c r="C65" s="202" t="str">
        <f t="shared" si="6"/>
        <v/>
      </c>
      <c r="E65" s="202" t="str">
        <f t="shared" si="3"/>
        <v> </v>
      </c>
    </row>
    <row r="66" ht="14.25" customHeight="1">
      <c r="A66" s="201"/>
      <c r="B66" s="202" t="str">
        <f t="shared" si="5"/>
        <v> </v>
      </c>
      <c r="C66" s="202" t="str">
        <f t="shared" si="6"/>
        <v/>
      </c>
      <c r="E66" s="202" t="str">
        <f t="shared" si="3"/>
        <v> </v>
      </c>
    </row>
    <row r="67" ht="14.25" customHeight="1">
      <c r="A67" s="201"/>
      <c r="B67" s="202" t="str">
        <f t="shared" si="5"/>
        <v> </v>
      </c>
      <c r="C67" s="202" t="str">
        <f t="shared" si="6"/>
        <v/>
      </c>
      <c r="E67" s="202" t="str">
        <f t="shared" si="3"/>
        <v> </v>
      </c>
    </row>
    <row r="68" ht="14.25" customHeight="1">
      <c r="A68" s="201"/>
      <c r="B68" s="202" t="str">
        <f t="shared" si="5"/>
        <v> </v>
      </c>
      <c r="C68" s="202" t="str">
        <f t="shared" si="6"/>
        <v/>
      </c>
      <c r="E68" s="202" t="str">
        <f t="shared" si="3"/>
        <v> </v>
      </c>
    </row>
    <row r="69" ht="14.25" customHeight="1">
      <c r="A69" s="201"/>
      <c r="B69" s="202" t="str">
        <f t="shared" si="5"/>
        <v> </v>
      </c>
      <c r="C69" s="202" t="str">
        <f t="shared" si="6"/>
        <v/>
      </c>
      <c r="E69" s="202" t="str">
        <f t="shared" si="3"/>
        <v> </v>
      </c>
    </row>
    <row r="70" ht="14.25" customHeight="1">
      <c r="A70" s="201"/>
      <c r="B70" s="202" t="str">
        <f t="shared" si="5"/>
        <v> </v>
      </c>
      <c r="C70" s="202" t="str">
        <f t="shared" si="6"/>
        <v/>
      </c>
      <c r="E70" s="202" t="str">
        <f t="shared" si="3"/>
        <v> </v>
      </c>
    </row>
    <row r="71" ht="14.25" customHeight="1">
      <c r="A71" s="201"/>
      <c r="B71" s="202" t="str">
        <f t="shared" si="5"/>
        <v> </v>
      </c>
      <c r="C71" s="202" t="str">
        <f t="shared" si="6"/>
        <v/>
      </c>
      <c r="E71" s="202" t="str">
        <f t="shared" si="3"/>
        <v> </v>
      </c>
    </row>
    <row r="72" ht="14.25" customHeight="1">
      <c r="A72" s="201"/>
      <c r="B72" s="202" t="str">
        <f t="shared" si="5"/>
        <v> </v>
      </c>
      <c r="C72" s="202" t="str">
        <f t="shared" si="6"/>
        <v/>
      </c>
      <c r="E72" s="202" t="str">
        <f t="shared" si="3"/>
        <v> </v>
      </c>
    </row>
    <row r="73" ht="14.25" customHeight="1">
      <c r="A73" s="201"/>
      <c r="B73" s="202" t="str">
        <f t="shared" si="5"/>
        <v> </v>
      </c>
      <c r="C73" s="202" t="str">
        <f t="shared" si="6"/>
        <v/>
      </c>
      <c r="E73" s="202" t="str">
        <f t="shared" si="3"/>
        <v> </v>
      </c>
    </row>
    <row r="74" ht="14.25" customHeight="1">
      <c r="A74" s="201"/>
      <c r="B74" s="202" t="str">
        <f t="shared" si="5"/>
        <v> </v>
      </c>
      <c r="C74" s="202" t="str">
        <f t="shared" si="6"/>
        <v/>
      </c>
      <c r="E74" s="202" t="str">
        <f t="shared" si="3"/>
        <v> </v>
      </c>
    </row>
    <row r="75" ht="14.25" customHeight="1">
      <c r="A75" s="201"/>
      <c r="B75" s="202" t="str">
        <f t="shared" si="5"/>
        <v> </v>
      </c>
      <c r="C75" s="202" t="str">
        <f t="shared" si="6"/>
        <v/>
      </c>
      <c r="E75" s="202" t="str">
        <f t="shared" si="3"/>
        <v> </v>
      </c>
    </row>
    <row r="76" ht="14.25" customHeight="1">
      <c r="A76" s="201"/>
      <c r="B76" s="202" t="str">
        <f t="shared" si="5"/>
        <v> </v>
      </c>
      <c r="C76" s="202" t="str">
        <f t="shared" si="6"/>
        <v/>
      </c>
      <c r="E76" s="202" t="str">
        <f t="shared" si="3"/>
        <v> </v>
      </c>
    </row>
    <row r="77" ht="14.25" customHeight="1">
      <c r="A77" s="201"/>
      <c r="B77" s="202" t="str">
        <f t="shared" si="5"/>
        <v> </v>
      </c>
      <c r="C77" s="202" t="str">
        <f t="shared" si="6"/>
        <v/>
      </c>
      <c r="E77" s="202" t="str">
        <f t="shared" si="3"/>
        <v> </v>
      </c>
    </row>
    <row r="78" ht="14.25" customHeight="1">
      <c r="A78" s="201"/>
      <c r="B78" s="202" t="str">
        <f t="shared" si="5"/>
        <v> </v>
      </c>
      <c r="C78" s="202" t="str">
        <f t="shared" si="6"/>
        <v/>
      </c>
      <c r="E78" s="202" t="str">
        <f t="shared" si="3"/>
        <v> </v>
      </c>
    </row>
    <row r="79" ht="14.25" customHeight="1">
      <c r="A79" s="201"/>
      <c r="B79" s="202" t="str">
        <f t="shared" si="5"/>
        <v> </v>
      </c>
      <c r="C79" s="202" t="str">
        <f t="shared" si="6"/>
        <v/>
      </c>
      <c r="E79" s="202" t="str">
        <f t="shared" si="3"/>
        <v> </v>
      </c>
    </row>
    <row r="80" ht="14.25" customHeight="1">
      <c r="A80" s="201"/>
      <c r="B80" s="202" t="str">
        <f t="shared" si="5"/>
        <v> </v>
      </c>
      <c r="C80" s="202" t="str">
        <f t="shared" si="6"/>
        <v/>
      </c>
      <c r="E80" s="202" t="str">
        <f t="shared" si="3"/>
        <v> </v>
      </c>
    </row>
    <row r="81" ht="14.25" customHeight="1">
      <c r="A81" s="201"/>
      <c r="B81" s="202" t="str">
        <f t="shared" si="5"/>
        <v> </v>
      </c>
      <c r="C81" s="202" t="str">
        <f t="shared" si="6"/>
        <v/>
      </c>
      <c r="E81" s="202" t="str">
        <f t="shared" si="3"/>
        <v> </v>
      </c>
    </row>
    <row r="82" ht="14.25" customHeight="1">
      <c r="A82" s="201"/>
      <c r="B82" s="202" t="str">
        <f t="shared" si="5"/>
        <v> </v>
      </c>
      <c r="C82" s="202" t="str">
        <f t="shared" si="6"/>
        <v/>
      </c>
      <c r="E82" s="202" t="str">
        <f t="shared" si="3"/>
        <v> </v>
      </c>
    </row>
    <row r="83" ht="14.25" customHeight="1">
      <c r="A83" s="201"/>
      <c r="B83" s="202" t="str">
        <f t="shared" si="5"/>
        <v> </v>
      </c>
      <c r="C83" s="202" t="str">
        <f t="shared" si="6"/>
        <v/>
      </c>
      <c r="E83" s="202" t="str">
        <f t="shared" si="3"/>
        <v> </v>
      </c>
    </row>
    <row r="84" ht="14.25" customHeight="1">
      <c r="A84" s="201"/>
      <c r="B84" s="202" t="str">
        <f t="shared" si="5"/>
        <v> </v>
      </c>
      <c r="C84" s="202" t="str">
        <f t="shared" si="6"/>
        <v/>
      </c>
      <c r="E84" s="202" t="str">
        <f t="shared" si="3"/>
        <v> </v>
      </c>
    </row>
    <row r="85" ht="14.25" customHeight="1">
      <c r="A85" s="201"/>
      <c r="B85" s="202" t="str">
        <f t="shared" si="5"/>
        <v> </v>
      </c>
      <c r="C85" s="202" t="str">
        <f t="shared" si="6"/>
        <v/>
      </c>
      <c r="E85" s="202" t="str">
        <f t="shared" si="3"/>
        <v> </v>
      </c>
    </row>
    <row r="86" ht="14.25" customHeight="1">
      <c r="A86" s="201"/>
      <c r="B86" s="202" t="str">
        <f t="shared" si="5"/>
        <v> </v>
      </c>
      <c r="C86" s="202" t="str">
        <f t="shared" si="6"/>
        <v/>
      </c>
      <c r="E86" s="202" t="str">
        <f t="shared" si="3"/>
        <v> </v>
      </c>
    </row>
    <row r="87" ht="14.25" customHeight="1">
      <c r="A87" s="201"/>
      <c r="B87" s="202" t="str">
        <f t="shared" si="5"/>
        <v> </v>
      </c>
      <c r="C87" s="202" t="str">
        <f t="shared" si="6"/>
        <v/>
      </c>
      <c r="E87" s="202" t="str">
        <f t="shared" si="3"/>
        <v> </v>
      </c>
    </row>
    <row r="88" ht="14.25" customHeight="1">
      <c r="A88" s="201"/>
      <c r="B88" s="202" t="str">
        <f t="shared" si="5"/>
        <v> </v>
      </c>
      <c r="C88" s="202" t="str">
        <f t="shared" si="6"/>
        <v/>
      </c>
      <c r="E88" s="202" t="str">
        <f t="shared" si="3"/>
        <v> </v>
      </c>
    </row>
    <row r="89" ht="14.25" customHeight="1">
      <c r="A89" s="201"/>
      <c r="B89" s="202" t="str">
        <f t="shared" si="5"/>
        <v> </v>
      </c>
      <c r="C89" s="202" t="str">
        <f t="shared" si="6"/>
        <v/>
      </c>
      <c r="E89" s="202" t="str">
        <f t="shared" si="3"/>
        <v> </v>
      </c>
    </row>
    <row r="90" ht="14.25" customHeight="1">
      <c r="A90" s="201"/>
      <c r="B90" s="202" t="str">
        <f t="shared" si="5"/>
        <v> </v>
      </c>
      <c r="C90" s="202" t="str">
        <f t="shared" si="6"/>
        <v/>
      </c>
      <c r="E90" s="202" t="str">
        <f t="shared" si="3"/>
        <v> </v>
      </c>
    </row>
    <row r="91" ht="14.25" customHeight="1">
      <c r="A91" s="201"/>
      <c r="B91" s="202" t="str">
        <f t="shared" si="5"/>
        <v> </v>
      </c>
      <c r="C91" s="202" t="str">
        <f t="shared" si="6"/>
        <v/>
      </c>
      <c r="E91" s="202" t="str">
        <f t="shared" si="3"/>
        <v> </v>
      </c>
    </row>
    <row r="92" ht="14.25" customHeight="1">
      <c r="A92" s="201"/>
      <c r="B92" s="202" t="str">
        <f t="shared" si="5"/>
        <v> </v>
      </c>
      <c r="C92" s="202" t="str">
        <f t="shared" si="6"/>
        <v/>
      </c>
      <c r="E92" s="202" t="str">
        <f t="shared" si="3"/>
        <v> </v>
      </c>
    </row>
    <row r="93" ht="14.25" customHeight="1">
      <c r="A93" s="201"/>
      <c r="B93" s="202" t="str">
        <f t="shared" si="5"/>
        <v> </v>
      </c>
      <c r="C93" s="202" t="str">
        <f t="shared" si="6"/>
        <v/>
      </c>
      <c r="E93" s="202" t="str">
        <f t="shared" si="3"/>
        <v> </v>
      </c>
    </row>
    <row r="94" ht="14.25" customHeight="1">
      <c r="A94" s="201"/>
      <c r="B94" s="202" t="str">
        <f t="shared" si="5"/>
        <v> </v>
      </c>
      <c r="C94" s="202" t="str">
        <f t="shared" si="6"/>
        <v/>
      </c>
      <c r="E94" s="202" t="str">
        <f t="shared" si="3"/>
        <v> </v>
      </c>
    </row>
    <row r="95" ht="14.25" customHeight="1">
      <c r="A95" s="201"/>
      <c r="B95" s="202" t="str">
        <f t="shared" si="5"/>
        <v> </v>
      </c>
      <c r="C95" s="202" t="str">
        <f t="shared" si="6"/>
        <v/>
      </c>
      <c r="E95" s="202" t="str">
        <f t="shared" si="3"/>
        <v> </v>
      </c>
    </row>
    <row r="96" ht="14.25" customHeight="1">
      <c r="A96" s="201"/>
      <c r="B96" s="202" t="str">
        <f t="shared" si="5"/>
        <v> </v>
      </c>
      <c r="C96" s="202" t="str">
        <f t="shared" si="6"/>
        <v/>
      </c>
      <c r="E96" s="202" t="str">
        <f t="shared" si="3"/>
        <v> </v>
      </c>
    </row>
    <row r="97" ht="14.25" customHeight="1">
      <c r="A97" s="201"/>
      <c r="B97" s="202" t="str">
        <f t="shared" si="5"/>
        <v> </v>
      </c>
      <c r="C97" s="202" t="str">
        <f t="shared" si="6"/>
        <v/>
      </c>
      <c r="E97" s="202" t="str">
        <f t="shared" si="3"/>
        <v> </v>
      </c>
    </row>
    <row r="98" ht="14.25" customHeight="1">
      <c r="A98" s="201"/>
      <c r="B98" s="202" t="str">
        <f t="shared" si="5"/>
        <v> </v>
      </c>
      <c r="C98" s="202" t="str">
        <f t="shared" si="6"/>
        <v/>
      </c>
      <c r="E98" s="202" t="str">
        <f t="shared" si="3"/>
        <v> </v>
      </c>
    </row>
    <row r="99" ht="14.25" customHeight="1">
      <c r="A99" s="201"/>
      <c r="B99" s="202" t="str">
        <f t="shared" si="5"/>
        <v> </v>
      </c>
      <c r="C99" s="202" t="str">
        <f t="shared" si="6"/>
        <v/>
      </c>
      <c r="E99" s="202" t="str">
        <f t="shared" si="3"/>
        <v> </v>
      </c>
    </row>
    <row r="100" ht="14.25" customHeight="1">
      <c r="A100" s="201"/>
      <c r="B100" s="202" t="str">
        <f t="shared" si="5"/>
        <v> </v>
      </c>
      <c r="C100" s="202" t="str">
        <f t="shared" si="6"/>
        <v/>
      </c>
      <c r="E100" s="202" t="str">
        <f t="shared" si="3"/>
        <v> </v>
      </c>
    </row>
    <row r="101" ht="14.25" customHeight="1">
      <c r="A101" s="201"/>
      <c r="B101" s="202" t="str">
        <f t="shared" si="5"/>
        <v> </v>
      </c>
      <c r="C101" s="202" t="str">
        <f t="shared" si="6"/>
        <v/>
      </c>
      <c r="E101" s="202" t="str">
        <f t="shared" si="3"/>
        <v> </v>
      </c>
    </row>
    <row r="102" ht="14.25" customHeight="1">
      <c r="A102" s="201"/>
      <c r="B102" s="202" t="str">
        <f t="shared" si="5"/>
        <v> </v>
      </c>
      <c r="C102" s="202" t="str">
        <f t="shared" si="6"/>
        <v/>
      </c>
      <c r="E102" s="202" t="str">
        <f t="shared" si="3"/>
        <v> </v>
      </c>
    </row>
    <row r="103" ht="14.25" customHeight="1">
      <c r="A103" s="201"/>
      <c r="B103" s="202" t="str">
        <f t="shared" si="5"/>
        <v> </v>
      </c>
      <c r="C103" s="202" t="str">
        <f t="shared" si="6"/>
        <v/>
      </c>
      <c r="E103" s="202" t="str">
        <f t="shared" si="3"/>
        <v> </v>
      </c>
    </row>
    <row r="104" ht="14.25" customHeight="1">
      <c r="A104" s="201"/>
      <c r="B104" s="202" t="str">
        <f t="shared" si="5"/>
        <v> </v>
      </c>
      <c r="C104" s="202" t="str">
        <f t="shared" si="6"/>
        <v/>
      </c>
      <c r="E104" s="202" t="str">
        <f t="shared" si="3"/>
        <v> </v>
      </c>
    </row>
    <row r="105" ht="14.25" customHeight="1">
      <c r="A105" s="201"/>
      <c r="B105" s="202" t="str">
        <f t="shared" si="5"/>
        <v> </v>
      </c>
      <c r="C105" s="202" t="str">
        <f t="shared" si="6"/>
        <v/>
      </c>
      <c r="E105" s="202" t="str">
        <f t="shared" si="3"/>
        <v> </v>
      </c>
    </row>
    <row r="106" ht="14.25" customHeight="1">
      <c r="A106" s="201"/>
      <c r="B106" s="202" t="str">
        <f t="shared" si="5"/>
        <v> </v>
      </c>
      <c r="C106" s="202" t="str">
        <f t="shared" si="6"/>
        <v/>
      </c>
      <c r="E106" s="202" t="str">
        <f t="shared" si="3"/>
        <v> </v>
      </c>
    </row>
    <row r="107" ht="14.25" customHeight="1">
      <c r="A107" s="201"/>
      <c r="B107" s="202" t="str">
        <f t="shared" si="5"/>
        <v> </v>
      </c>
      <c r="C107" s="202" t="str">
        <f t="shared" si="6"/>
        <v/>
      </c>
      <c r="E107" s="202" t="str">
        <f t="shared" si="3"/>
        <v> </v>
      </c>
    </row>
    <row r="108" ht="14.25" customHeight="1">
      <c r="A108" s="201"/>
      <c r="B108" s="202" t="str">
        <f t="shared" si="5"/>
        <v> </v>
      </c>
      <c r="C108" s="202" t="str">
        <f t="shared" si="6"/>
        <v/>
      </c>
      <c r="E108" s="202" t="str">
        <f t="shared" si="3"/>
        <v> </v>
      </c>
    </row>
    <row r="109" ht="14.25" customHeight="1">
      <c r="A109" s="201"/>
      <c r="B109" s="202" t="str">
        <f t="shared" si="5"/>
        <v> </v>
      </c>
      <c r="C109" s="202" t="str">
        <f t="shared" si="6"/>
        <v/>
      </c>
      <c r="E109" s="202" t="str">
        <f t="shared" si="3"/>
        <v> </v>
      </c>
    </row>
    <row r="110" ht="14.25" customHeight="1">
      <c r="A110" s="201"/>
      <c r="B110" s="202" t="str">
        <f t="shared" si="5"/>
        <v> </v>
      </c>
      <c r="C110" s="202" t="str">
        <f t="shared" si="6"/>
        <v/>
      </c>
      <c r="E110" s="202" t="str">
        <f t="shared" si="3"/>
        <v> </v>
      </c>
    </row>
    <row r="111" ht="14.25" customHeight="1">
      <c r="A111" s="201"/>
      <c r="B111" s="202" t="str">
        <f t="shared" si="5"/>
        <v> </v>
      </c>
      <c r="C111" s="202" t="str">
        <f t="shared" si="6"/>
        <v/>
      </c>
      <c r="E111" s="202" t="str">
        <f t="shared" si="3"/>
        <v> </v>
      </c>
    </row>
    <row r="112" ht="14.25" customHeight="1">
      <c r="A112" s="201"/>
      <c r="B112" s="202" t="str">
        <f t="shared" si="5"/>
        <v> </v>
      </c>
      <c r="C112" s="202" t="str">
        <f t="shared" si="6"/>
        <v/>
      </c>
      <c r="E112" s="202" t="str">
        <f t="shared" si="3"/>
        <v> </v>
      </c>
    </row>
    <row r="113" ht="14.25" customHeight="1">
      <c r="A113" s="201"/>
      <c r="B113" s="202" t="str">
        <f t="shared" si="5"/>
        <v> </v>
      </c>
      <c r="C113" s="202" t="str">
        <f t="shared" si="6"/>
        <v/>
      </c>
      <c r="E113" s="202" t="str">
        <f t="shared" si="3"/>
        <v> </v>
      </c>
    </row>
    <row r="114" ht="14.25" customHeight="1">
      <c r="A114" s="201"/>
      <c r="B114" s="202" t="str">
        <f t="shared" si="5"/>
        <v> </v>
      </c>
      <c r="C114" s="202" t="str">
        <f t="shared" si="6"/>
        <v/>
      </c>
      <c r="E114" s="202" t="str">
        <f t="shared" si="3"/>
        <v> </v>
      </c>
    </row>
    <row r="115" ht="14.25" customHeight="1">
      <c r="A115" s="201"/>
      <c r="B115" s="202" t="str">
        <f t="shared" si="5"/>
        <v> </v>
      </c>
      <c r="C115" s="202" t="str">
        <f t="shared" si="6"/>
        <v/>
      </c>
      <c r="E115" s="202" t="str">
        <f t="shared" si="3"/>
        <v> </v>
      </c>
    </row>
    <row r="116" ht="14.25" customHeight="1">
      <c r="A116" s="201"/>
      <c r="B116" s="202" t="str">
        <f t="shared" si="5"/>
        <v> </v>
      </c>
      <c r="C116" s="202" t="str">
        <f t="shared" si="6"/>
        <v/>
      </c>
    </row>
    <row r="117" ht="14.25" customHeight="1">
      <c r="A117" s="201"/>
      <c r="B117" s="202" t="str">
        <f t="shared" si="5"/>
        <v> </v>
      </c>
      <c r="C117" s="202" t="str">
        <f t="shared" si="6"/>
        <v/>
      </c>
    </row>
    <row r="118" ht="14.25" customHeight="1">
      <c r="A118" s="201"/>
    </row>
    <row r="119" ht="14.25" customHeight="1">
      <c r="A119" s="201"/>
    </row>
    <row r="120" ht="14.25" customHeight="1">
      <c r="A120" s="201"/>
    </row>
    <row r="121" ht="14.25" customHeight="1">
      <c r="A121" s="201"/>
    </row>
    <row r="122" ht="14.25" customHeight="1">
      <c r="A122" s="201"/>
    </row>
    <row r="123" ht="14.25" customHeight="1">
      <c r="A123" s="201"/>
    </row>
    <row r="124" ht="14.25" customHeight="1">
      <c r="A124" s="201"/>
    </row>
    <row r="125" ht="14.25" customHeight="1">
      <c r="A125" s="201"/>
    </row>
    <row r="126" ht="14.25" customHeight="1">
      <c r="A126" s="201"/>
    </row>
    <row r="127" ht="14.25" customHeight="1">
      <c r="A127" s="201"/>
    </row>
    <row r="128" ht="14.25" customHeight="1">
      <c r="A128" s="201"/>
    </row>
    <row r="129" ht="14.25" customHeight="1">
      <c r="A129" s="201"/>
    </row>
    <row r="130" ht="14.25" customHeight="1">
      <c r="A130" s="201"/>
    </row>
    <row r="131" ht="14.25" customHeight="1">
      <c r="A131" s="201"/>
    </row>
    <row r="132" ht="14.25" customHeight="1">
      <c r="A132" s="201"/>
    </row>
    <row r="133" ht="14.25" customHeight="1">
      <c r="A133" s="201"/>
    </row>
    <row r="134" ht="14.25" customHeight="1">
      <c r="A134" s="201"/>
    </row>
    <row r="135" ht="14.25" customHeight="1">
      <c r="A135" s="201"/>
    </row>
    <row r="136" ht="14.25" customHeight="1">
      <c r="A136" s="201"/>
    </row>
    <row r="137" ht="14.25" customHeight="1">
      <c r="A137" s="201"/>
    </row>
    <row r="138" ht="14.25" customHeight="1">
      <c r="A138" s="201"/>
    </row>
    <row r="139" ht="14.25" customHeight="1">
      <c r="A139" s="201"/>
    </row>
    <row r="140" ht="14.25" customHeight="1">
      <c r="A140" s="201"/>
    </row>
    <row r="141" ht="14.25" customHeight="1">
      <c r="A141" s="201"/>
    </row>
    <row r="142" ht="14.25" customHeight="1">
      <c r="A142" s="201"/>
    </row>
    <row r="143" ht="14.25" customHeight="1">
      <c r="A143" s="201"/>
    </row>
    <row r="144" ht="14.25" customHeight="1">
      <c r="A144" s="201"/>
    </row>
    <row r="145" ht="14.25" customHeight="1">
      <c r="A145" s="201"/>
    </row>
    <row r="146" ht="14.25" customHeight="1">
      <c r="A146" s="201"/>
    </row>
    <row r="147" ht="14.25" customHeight="1">
      <c r="A147" s="201"/>
    </row>
    <row r="148" ht="14.25" customHeight="1">
      <c r="A148" s="201"/>
    </row>
    <row r="149" ht="14.25" customHeight="1">
      <c r="A149" s="201"/>
    </row>
    <row r="150" ht="14.25" customHeight="1">
      <c r="A150" s="201"/>
    </row>
    <row r="151" ht="14.25" customHeight="1">
      <c r="A151" s="201"/>
    </row>
    <row r="152" ht="14.25" customHeight="1">
      <c r="A152" s="201"/>
    </row>
    <row r="153" ht="14.25" customHeight="1">
      <c r="A153" s="201"/>
    </row>
    <row r="154" ht="14.25" customHeight="1">
      <c r="A154" s="201"/>
    </row>
    <row r="155" ht="14.25" customHeight="1">
      <c r="A155" s="201"/>
    </row>
    <row r="156" ht="14.25" customHeight="1">
      <c r="A156" s="201"/>
    </row>
    <row r="157" ht="14.25" customHeight="1">
      <c r="A157" s="201"/>
    </row>
    <row r="158" ht="14.25" customHeight="1">
      <c r="A158" s="201"/>
    </row>
    <row r="159" ht="14.25" customHeight="1">
      <c r="A159" s="201"/>
    </row>
    <row r="160" ht="14.25" customHeight="1">
      <c r="A160" s="201"/>
    </row>
    <row r="161" ht="14.25" customHeight="1">
      <c r="A161" s="201"/>
    </row>
    <row r="162" ht="14.25" customHeight="1">
      <c r="A162" s="201"/>
    </row>
    <row r="163" ht="14.25" customHeight="1">
      <c r="A163" s="201"/>
    </row>
    <row r="164" ht="14.25" customHeight="1">
      <c r="A164" s="201"/>
    </row>
    <row r="165" ht="14.25" customHeight="1">
      <c r="A165" s="201"/>
    </row>
    <row r="166" ht="14.25" customHeight="1">
      <c r="A166" s="201"/>
    </row>
    <row r="167" ht="14.25" customHeight="1">
      <c r="A167" s="201"/>
    </row>
    <row r="168" ht="14.25" customHeight="1">
      <c r="A168" s="201"/>
    </row>
    <row r="169" ht="14.25" customHeight="1">
      <c r="A169" s="201"/>
    </row>
    <row r="170" ht="14.25" customHeight="1">
      <c r="A170" s="201"/>
    </row>
    <row r="171" ht="14.25" customHeight="1">
      <c r="A171" s="201"/>
    </row>
    <row r="172" ht="14.25" customHeight="1">
      <c r="A172" s="201"/>
    </row>
    <row r="173" ht="14.25" customHeight="1">
      <c r="A173" s="201"/>
    </row>
    <row r="174" ht="14.25" customHeight="1">
      <c r="A174" s="201"/>
    </row>
    <row r="175" ht="14.25" customHeight="1">
      <c r="A175" s="201"/>
    </row>
    <row r="176" ht="14.25" customHeight="1">
      <c r="A176" s="201"/>
    </row>
    <row r="177" ht="14.25" customHeight="1">
      <c r="A177" s="201"/>
    </row>
    <row r="178" ht="14.25" customHeight="1">
      <c r="A178" s="201"/>
    </row>
    <row r="179" ht="14.25" customHeight="1">
      <c r="A179" s="201"/>
    </row>
    <row r="180" ht="14.25" customHeight="1">
      <c r="A180" s="201"/>
    </row>
    <row r="181" ht="14.25" customHeight="1">
      <c r="A181" s="201"/>
    </row>
    <row r="182" ht="14.25" customHeight="1">
      <c r="A182" s="201"/>
    </row>
    <row r="183" ht="14.25" customHeight="1">
      <c r="A183" s="201"/>
    </row>
    <row r="184" ht="14.25" customHeight="1">
      <c r="A184" s="201"/>
    </row>
    <row r="185" ht="14.25" customHeight="1">
      <c r="A185" s="201"/>
    </row>
    <row r="186" ht="14.25" customHeight="1">
      <c r="A186" s="201"/>
    </row>
    <row r="187" ht="14.25" customHeight="1">
      <c r="A187" s="201"/>
    </row>
    <row r="188" ht="14.25" customHeight="1">
      <c r="A188" s="201"/>
    </row>
    <row r="189" ht="14.25" customHeight="1">
      <c r="A189" s="201"/>
    </row>
    <row r="190" ht="14.25" customHeight="1">
      <c r="A190" s="201"/>
    </row>
    <row r="191" ht="14.25" customHeight="1">
      <c r="A191" s="201"/>
    </row>
    <row r="192" ht="14.25" customHeight="1">
      <c r="A192" s="201"/>
    </row>
    <row r="193" ht="14.25" customHeight="1">
      <c r="A193" s="201"/>
    </row>
    <row r="194" ht="14.25" customHeight="1">
      <c r="A194" s="201"/>
    </row>
    <row r="195" ht="14.25" customHeight="1">
      <c r="A195" s="201"/>
    </row>
    <row r="196" ht="14.25" customHeight="1">
      <c r="A196" s="201"/>
    </row>
    <row r="197" ht="14.25" customHeight="1">
      <c r="A197" s="201"/>
    </row>
    <row r="198" ht="14.25" customHeight="1">
      <c r="A198" s="201"/>
    </row>
    <row r="199" ht="14.25" customHeight="1">
      <c r="A199" s="201"/>
    </row>
    <row r="200" ht="14.25" customHeight="1">
      <c r="A200" s="201"/>
    </row>
    <row r="201" ht="14.25" customHeight="1">
      <c r="A201" s="201"/>
    </row>
    <row r="202" ht="14.25" customHeight="1">
      <c r="A202" s="201"/>
    </row>
    <row r="203" ht="14.25" customHeight="1">
      <c r="A203" s="201"/>
    </row>
    <row r="204" ht="14.25" customHeight="1">
      <c r="A204" s="201"/>
    </row>
    <row r="205" ht="14.25" customHeight="1">
      <c r="A205" s="201"/>
    </row>
    <row r="206" ht="14.25" customHeight="1">
      <c r="A206" s="201"/>
    </row>
    <row r="207" ht="14.25" customHeight="1">
      <c r="A207" s="201"/>
    </row>
    <row r="208" ht="14.25" customHeight="1">
      <c r="A208" s="201"/>
    </row>
    <row r="209" ht="14.25" customHeight="1">
      <c r="A209" s="201"/>
    </row>
    <row r="210" ht="14.25" customHeight="1">
      <c r="A210" s="201"/>
    </row>
    <row r="211" ht="14.25" customHeight="1">
      <c r="A211" s="201"/>
    </row>
    <row r="212" ht="14.25" customHeight="1">
      <c r="A212" s="201"/>
    </row>
    <row r="213" ht="14.25" customHeight="1">
      <c r="A213" s="201"/>
    </row>
    <row r="214" ht="14.25" customHeight="1">
      <c r="A214" s="201"/>
    </row>
    <row r="215" ht="14.25" customHeight="1">
      <c r="A215" s="201"/>
    </row>
    <row r="216" ht="14.25" customHeight="1">
      <c r="A216" s="201"/>
    </row>
    <row r="217" ht="14.25" customHeight="1">
      <c r="A217" s="201"/>
    </row>
    <row r="218" ht="14.25" customHeight="1">
      <c r="A218" s="201"/>
    </row>
    <row r="219" ht="14.25" customHeight="1">
      <c r="A219" s="201"/>
    </row>
    <row r="220" ht="14.25" customHeight="1">
      <c r="A220" s="201"/>
    </row>
    <row r="221" ht="14.25" customHeight="1">
      <c r="A221" s="201"/>
    </row>
    <row r="222" ht="14.25" customHeight="1">
      <c r="A222" s="201"/>
    </row>
    <row r="223" ht="14.25" customHeight="1">
      <c r="A223" s="201"/>
    </row>
    <row r="224" ht="14.25" customHeight="1">
      <c r="A224" s="201"/>
    </row>
    <row r="225" ht="14.25" customHeight="1">
      <c r="A225" s="201"/>
    </row>
    <row r="226" ht="14.25" customHeight="1">
      <c r="A226" s="201"/>
    </row>
    <row r="227" ht="14.25" customHeight="1">
      <c r="A227" s="201"/>
    </row>
    <row r="228" ht="14.25" customHeight="1">
      <c r="A228" s="201"/>
    </row>
    <row r="229" ht="14.25" customHeight="1">
      <c r="A229" s="201"/>
    </row>
    <row r="230" ht="14.25" customHeight="1">
      <c r="A230" s="201"/>
    </row>
    <row r="231" ht="14.25" customHeight="1">
      <c r="A231" s="201"/>
    </row>
    <row r="232" ht="14.25" customHeight="1">
      <c r="A232" s="201"/>
    </row>
    <row r="233" ht="14.25" customHeight="1">
      <c r="A233" s="201"/>
    </row>
    <row r="234" ht="14.25" customHeight="1">
      <c r="A234" s="201"/>
    </row>
    <row r="235" ht="14.25" customHeight="1">
      <c r="A235" s="201"/>
    </row>
    <row r="236" ht="14.25" customHeight="1">
      <c r="A236" s="201"/>
    </row>
    <row r="237" ht="14.25" customHeight="1">
      <c r="A237" s="201"/>
    </row>
    <row r="238" ht="14.25" customHeight="1">
      <c r="A238" s="201"/>
    </row>
    <row r="239" ht="14.25" customHeight="1">
      <c r="A239" s="201"/>
    </row>
    <row r="240" ht="14.25" customHeight="1">
      <c r="A240" s="201"/>
    </row>
    <row r="241" ht="14.25" customHeight="1">
      <c r="A241" s="201"/>
    </row>
    <row r="242" ht="14.25" customHeight="1">
      <c r="A242" s="201"/>
    </row>
    <row r="243" ht="14.25" customHeight="1">
      <c r="A243" s="201"/>
    </row>
    <row r="244" ht="14.25" customHeight="1">
      <c r="A244" s="201"/>
    </row>
    <row r="245" ht="14.25" customHeight="1">
      <c r="A245" s="201"/>
    </row>
    <row r="246" ht="14.25" customHeight="1">
      <c r="A246" s="201"/>
    </row>
    <row r="247" ht="14.25" customHeight="1">
      <c r="A247" s="201"/>
    </row>
    <row r="248" ht="14.25" customHeight="1">
      <c r="A248" s="201"/>
    </row>
    <row r="249" ht="14.25" customHeight="1">
      <c r="A249" s="201"/>
    </row>
    <row r="250" ht="14.25" customHeight="1">
      <c r="A250" s="201"/>
    </row>
    <row r="251" ht="14.25" customHeight="1">
      <c r="A251" s="201"/>
    </row>
    <row r="252" ht="14.25" customHeight="1">
      <c r="A252" s="201"/>
    </row>
    <row r="253" ht="14.25" customHeight="1">
      <c r="A253" s="201"/>
    </row>
    <row r="254" ht="14.25" customHeight="1">
      <c r="A254" s="201"/>
    </row>
    <row r="255" ht="14.25" customHeight="1">
      <c r="A255" s="201"/>
    </row>
    <row r="256" ht="14.25" customHeight="1">
      <c r="A256" s="201"/>
    </row>
    <row r="257" ht="14.25" customHeight="1">
      <c r="A257" s="201"/>
    </row>
    <row r="258" ht="14.25" customHeight="1">
      <c r="A258" s="201"/>
    </row>
    <row r="259" ht="14.25" customHeight="1">
      <c r="A259" s="201"/>
    </row>
    <row r="260" ht="14.25" customHeight="1">
      <c r="A260" s="201"/>
    </row>
    <row r="261" ht="14.25" customHeight="1">
      <c r="A261" s="201"/>
    </row>
    <row r="262" ht="14.25" customHeight="1">
      <c r="A262" s="201"/>
    </row>
    <row r="263" ht="14.25" customHeight="1">
      <c r="A263" s="201"/>
    </row>
    <row r="264" ht="14.25" customHeight="1">
      <c r="A264" s="201"/>
    </row>
    <row r="265" ht="14.25" customHeight="1">
      <c r="A265" s="201"/>
    </row>
    <row r="266" ht="14.25" customHeight="1">
      <c r="A266" s="201"/>
    </row>
    <row r="267" ht="14.25" customHeight="1">
      <c r="A267" s="201"/>
    </row>
    <row r="268" ht="14.25" customHeight="1">
      <c r="A268" s="201"/>
    </row>
    <row r="269" ht="14.25" customHeight="1">
      <c r="A269" s="201"/>
    </row>
    <row r="270" ht="14.25" customHeight="1">
      <c r="A270" s="201"/>
    </row>
    <row r="271" ht="14.25" customHeight="1">
      <c r="A271" s="201"/>
    </row>
    <row r="272" ht="14.25" customHeight="1">
      <c r="A272" s="201"/>
    </row>
    <row r="273" ht="14.25" customHeight="1">
      <c r="A273" s="201"/>
    </row>
    <row r="274" ht="14.25" customHeight="1">
      <c r="A274" s="201"/>
    </row>
    <row r="275" ht="14.25" customHeight="1">
      <c r="A275" s="201"/>
    </row>
    <row r="276" ht="14.25" customHeight="1">
      <c r="A276" s="201"/>
    </row>
    <row r="277" ht="14.25" customHeight="1">
      <c r="A277" s="201"/>
    </row>
    <row r="278" ht="14.25" customHeight="1">
      <c r="A278" s="201"/>
    </row>
    <row r="279" ht="14.25" customHeight="1">
      <c r="A279" s="201"/>
    </row>
    <row r="280" ht="14.25" customHeight="1">
      <c r="A280" s="201"/>
    </row>
    <row r="281" ht="14.25" customHeight="1">
      <c r="A281" s="201"/>
    </row>
    <row r="282" ht="14.25" customHeight="1">
      <c r="A282" s="201"/>
    </row>
    <row r="283" ht="14.25" customHeight="1">
      <c r="A283" s="201"/>
    </row>
    <row r="284" ht="14.25" customHeight="1">
      <c r="A284" s="201"/>
    </row>
    <row r="285" ht="14.25" customHeight="1">
      <c r="A285" s="201"/>
    </row>
    <row r="286" ht="14.25" customHeight="1">
      <c r="A286" s="201"/>
    </row>
    <row r="287" ht="14.25" customHeight="1">
      <c r="A287" s="201"/>
    </row>
    <row r="288" ht="14.25" customHeight="1">
      <c r="A288" s="201"/>
    </row>
    <row r="289" ht="14.25" customHeight="1">
      <c r="A289" s="201"/>
    </row>
    <row r="290" ht="14.25" customHeight="1">
      <c r="A290" s="201"/>
    </row>
    <row r="291" ht="14.25" customHeight="1">
      <c r="A291" s="201"/>
    </row>
    <row r="292" ht="14.25" customHeight="1">
      <c r="A292" s="201"/>
    </row>
    <row r="293" ht="14.25" customHeight="1">
      <c r="A293" s="201"/>
    </row>
    <row r="294" ht="14.25" customHeight="1">
      <c r="A294" s="201"/>
    </row>
    <row r="295" ht="14.25" customHeight="1">
      <c r="A295" s="201"/>
    </row>
    <row r="296" ht="14.25" customHeight="1">
      <c r="A296" s="201"/>
    </row>
    <row r="297" ht="14.25" customHeight="1">
      <c r="A297" s="201"/>
    </row>
    <row r="298" ht="14.25" customHeight="1">
      <c r="A298" s="201"/>
    </row>
    <row r="299" ht="14.25" customHeight="1">
      <c r="A299" s="201"/>
    </row>
    <row r="300" ht="14.25" customHeight="1">
      <c r="A300" s="201"/>
    </row>
    <row r="301" ht="14.25" customHeight="1">
      <c r="A301" s="201"/>
    </row>
    <row r="302" ht="14.25" customHeight="1">
      <c r="A302" s="201"/>
    </row>
    <row r="303" ht="14.25" customHeight="1">
      <c r="A303" s="201"/>
    </row>
    <row r="304" ht="14.25" customHeight="1">
      <c r="A304" s="201"/>
    </row>
    <row r="305" ht="14.25" customHeight="1">
      <c r="A305" s="201"/>
    </row>
    <row r="306" ht="14.25" customHeight="1">
      <c r="A306" s="201"/>
    </row>
    <row r="307" ht="14.25" customHeight="1">
      <c r="A307" s="201"/>
    </row>
    <row r="308" ht="14.25" customHeight="1">
      <c r="A308" s="201"/>
    </row>
    <row r="309" ht="14.25" customHeight="1">
      <c r="A309" s="201"/>
    </row>
    <row r="310" ht="14.25" customHeight="1">
      <c r="A310" s="201"/>
    </row>
    <row r="311" ht="14.25" customHeight="1">
      <c r="A311" s="201"/>
    </row>
    <row r="312" ht="14.25" customHeight="1">
      <c r="A312" s="201"/>
    </row>
    <row r="313" ht="14.25" customHeight="1">
      <c r="A313" s="201"/>
    </row>
    <row r="314" ht="14.25" customHeight="1">
      <c r="A314" s="201"/>
    </row>
    <row r="315" ht="14.25" customHeight="1">
      <c r="A315" s="201"/>
    </row>
    <row r="316" ht="14.25" customHeight="1">
      <c r="A316" s="201"/>
    </row>
    <row r="317" ht="14.25" customHeight="1">
      <c r="A317" s="201"/>
    </row>
    <row r="318" ht="14.25" customHeight="1">
      <c r="A318" s="201"/>
    </row>
    <row r="319" ht="14.25" customHeight="1">
      <c r="A319" s="201"/>
    </row>
    <row r="320" ht="14.25" customHeight="1">
      <c r="A320" s="201"/>
    </row>
    <row r="321" ht="14.25" customHeight="1">
      <c r="A321" s="201"/>
    </row>
    <row r="322" ht="14.25" customHeight="1">
      <c r="A322" s="201"/>
    </row>
    <row r="323" ht="14.25" customHeight="1">
      <c r="A323" s="201"/>
    </row>
    <row r="324" ht="14.25" customHeight="1">
      <c r="A324" s="201"/>
    </row>
    <row r="325" ht="14.25" customHeight="1">
      <c r="A325" s="201"/>
    </row>
    <row r="326" ht="14.25" customHeight="1">
      <c r="A326" s="201"/>
    </row>
    <row r="327" ht="14.25" customHeight="1">
      <c r="A327" s="201"/>
    </row>
    <row r="328" ht="14.25" customHeight="1">
      <c r="A328" s="201"/>
    </row>
    <row r="329" ht="14.25" customHeight="1">
      <c r="A329" s="201"/>
    </row>
    <row r="330" ht="14.25" customHeight="1">
      <c r="A330" s="201"/>
    </row>
    <row r="331" ht="14.25" customHeight="1">
      <c r="A331" s="201"/>
    </row>
    <row r="332" ht="14.25" customHeight="1">
      <c r="A332" s="201"/>
    </row>
    <row r="333" ht="14.25" customHeight="1">
      <c r="A333" s="201"/>
    </row>
    <row r="334" ht="14.25" customHeight="1">
      <c r="A334" s="201"/>
    </row>
    <row r="335" ht="14.25" customHeight="1">
      <c r="A335" s="201"/>
    </row>
    <row r="336" ht="14.25" customHeight="1">
      <c r="A336" s="201"/>
    </row>
    <row r="337" ht="14.25" customHeight="1">
      <c r="A337" s="201"/>
    </row>
    <row r="338" ht="14.25" customHeight="1">
      <c r="A338" s="201"/>
    </row>
    <row r="339" ht="14.25" customHeight="1">
      <c r="A339" s="201"/>
    </row>
    <row r="340" ht="14.25" customHeight="1">
      <c r="A340" s="201"/>
    </row>
    <row r="341" ht="14.25" customHeight="1">
      <c r="A341" s="201"/>
    </row>
    <row r="342" ht="14.25" customHeight="1">
      <c r="A342" s="201"/>
    </row>
    <row r="343" ht="14.25" customHeight="1">
      <c r="A343" s="201"/>
    </row>
    <row r="344" ht="14.25" customHeight="1">
      <c r="A344" s="201"/>
    </row>
    <row r="345" ht="14.25" customHeight="1">
      <c r="A345" s="201"/>
    </row>
    <row r="346" ht="14.25" customHeight="1">
      <c r="A346" s="201"/>
    </row>
    <row r="347" ht="14.25" customHeight="1">
      <c r="A347" s="201"/>
    </row>
    <row r="348" ht="14.25" customHeight="1">
      <c r="A348" s="201"/>
    </row>
    <row r="349" ht="14.25" customHeight="1">
      <c r="A349" s="201"/>
    </row>
    <row r="350" ht="14.25" customHeight="1">
      <c r="A350" s="201"/>
    </row>
    <row r="351" ht="14.25" customHeight="1">
      <c r="A351" s="201"/>
    </row>
    <row r="352" ht="14.25" customHeight="1">
      <c r="A352" s="201"/>
    </row>
    <row r="353" ht="14.25" customHeight="1">
      <c r="A353" s="201"/>
    </row>
    <row r="354" ht="14.25" customHeight="1">
      <c r="A354" s="201"/>
    </row>
    <row r="355" ht="14.25" customHeight="1">
      <c r="A355" s="201"/>
    </row>
    <row r="356" ht="14.25" customHeight="1">
      <c r="A356" s="201"/>
    </row>
    <row r="357" ht="14.25" customHeight="1">
      <c r="A357" s="201"/>
    </row>
    <row r="358" ht="14.25" customHeight="1">
      <c r="A358" s="201"/>
    </row>
    <row r="359" ht="14.25" customHeight="1">
      <c r="A359" s="201"/>
    </row>
    <row r="360" ht="14.25" customHeight="1">
      <c r="A360" s="201"/>
    </row>
    <row r="361" ht="14.25" customHeight="1">
      <c r="A361" s="201"/>
    </row>
    <row r="362" ht="14.25" customHeight="1">
      <c r="A362" s="201"/>
    </row>
    <row r="363" ht="14.25" customHeight="1">
      <c r="A363" s="201"/>
    </row>
    <row r="364" ht="14.25" customHeight="1">
      <c r="A364" s="201"/>
    </row>
    <row r="365" ht="14.25" customHeight="1">
      <c r="A365" s="201"/>
    </row>
    <row r="366" ht="14.25" customHeight="1">
      <c r="A366" s="201"/>
    </row>
    <row r="367" ht="14.25" customHeight="1">
      <c r="A367" s="201"/>
    </row>
    <row r="368" ht="14.25" customHeight="1">
      <c r="A368" s="201"/>
    </row>
    <row r="369" ht="14.25" customHeight="1">
      <c r="A369" s="201"/>
    </row>
    <row r="370" ht="14.25" customHeight="1">
      <c r="A370" s="201"/>
    </row>
    <row r="371" ht="14.25" customHeight="1">
      <c r="A371" s="201"/>
    </row>
    <row r="372" ht="14.25" customHeight="1">
      <c r="A372" s="201"/>
    </row>
    <row r="373" ht="14.25" customHeight="1">
      <c r="A373" s="201"/>
    </row>
    <row r="374" ht="14.25" customHeight="1">
      <c r="A374" s="201"/>
    </row>
    <row r="375" ht="14.25" customHeight="1">
      <c r="A375" s="201"/>
    </row>
    <row r="376" ht="14.25" customHeight="1">
      <c r="A376" s="201"/>
    </row>
    <row r="377" ht="14.25" customHeight="1">
      <c r="A377" s="201"/>
    </row>
    <row r="378" ht="14.25" customHeight="1">
      <c r="A378" s="201"/>
    </row>
    <row r="379" ht="14.25" customHeight="1">
      <c r="A379" s="201"/>
    </row>
    <row r="380" ht="14.25" customHeight="1">
      <c r="A380" s="201"/>
    </row>
    <row r="381" ht="14.25" customHeight="1">
      <c r="A381" s="201"/>
    </row>
    <row r="382" ht="14.25" customHeight="1">
      <c r="A382" s="201"/>
    </row>
    <row r="383" ht="14.25" customHeight="1">
      <c r="A383" s="201"/>
    </row>
    <row r="384" ht="14.25" customHeight="1">
      <c r="A384" s="201"/>
    </row>
    <row r="385" ht="14.25" customHeight="1">
      <c r="A385" s="201"/>
    </row>
    <row r="386" ht="14.25" customHeight="1">
      <c r="A386" s="201"/>
    </row>
    <row r="387" ht="14.25" customHeight="1">
      <c r="A387" s="201"/>
    </row>
    <row r="388" ht="14.25" customHeight="1">
      <c r="A388" s="201"/>
    </row>
    <row r="389" ht="14.25" customHeight="1">
      <c r="A389" s="201"/>
    </row>
    <row r="390" ht="14.25" customHeight="1">
      <c r="A390" s="201"/>
    </row>
    <row r="391" ht="14.25" customHeight="1">
      <c r="A391" s="201"/>
    </row>
    <row r="392" ht="14.25" customHeight="1">
      <c r="A392" s="201"/>
    </row>
    <row r="393" ht="14.25" customHeight="1">
      <c r="A393" s="201"/>
    </row>
    <row r="394" ht="14.25" customHeight="1">
      <c r="A394" s="201"/>
    </row>
    <row r="395" ht="14.25" customHeight="1">
      <c r="A395" s="201"/>
    </row>
    <row r="396" ht="14.25" customHeight="1">
      <c r="A396" s="201"/>
    </row>
    <row r="397" ht="14.25" customHeight="1">
      <c r="A397" s="201"/>
    </row>
    <row r="398" ht="14.25" customHeight="1">
      <c r="A398" s="201"/>
    </row>
    <row r="399" ht="14.25" customHeight="1">
      <c r="A399" s="201"/>
    </row>
    <row r="400" ht="14.25" customHeight="1">
      <c r="A400" s="201"/>
    </row>
    <row r="401" ht="14.25" customHeight="1">
      <c r="A401" s="201"/>
    </row>
    <row r="402" ht="14.25" customHeight="1">
      <c r="A402" s="201"/>
    </row>
    <row r="403" ht="14.25" customHeight="1">
      <c r="A403" s="201"/>
    </row>
    <row r="404" ht="14.25" customHeight="1">
      <c r="A404" s="201"/>
    </row>
    <row r="405" ht="14.25" customHeight="1">
      <c r="A405" s="201"/>
    </row>
    <row r="406" ht="14.25" customHeight="1">
      <c r="A406" s="201"/>
    </row>
    <row r="407" ht="14.25" customHeight="1">
      <c r="A407" s="201"/>
    </row>
    <row r="408" ht="14.25" customHeight="1">
      <c r="A408" s="201"/>
    </row>
    <row r="409" ht="14.25" customHeight="1">
      <c r="A409" s="201"/>
    </row>
    <row r="410" ht="14.25" customHeight="1">
      <c r="A410" s="201"/>
    </row>
    <row r="411" ht="14.25" customHeight="1">
      <c r="A411" s="201"/>
    </row>
    <row r="412" ht="14.25" customHeight="1">
      <c r="A412" s="201"/>
    </row>
    <row r="413" ht="14.25" customHeight="1">
      <c r="A413" s="201"/>
    </row>
    <row r="414" ht="14.25" customHeight="1">
      <c r="A414" s="201"/>
    </row>
    <row r="415" ht="14.25" customHeight="1">
      <c r="A415" s="201"/>
    </row>
    <row r="416" ht="14.25" customHeight="1">
      <c r="A416" s="201"/>
    </row>
    <row r="417" ht="14.25" customHeight="1">
      <c r="A417" s="201"/>
    </row>
    <row r="418" ht="14.25" customHeight="1">
      <c r="A418" s="201"/>
    </row>
    <row r="419" ht="14.25" customHeight="1">
      <c r="A419" s="201"/>
    </row>
    <row r="420" ht="14.25" customHeight="1">
      <c r="A420" s="201"/>
    </row>
    <row r="421" ht="14.25" customHeight="1">
      <c r="A421" s="201"/>
    </row>
    <row r="422" ht="14.25" customHeight="1">
      <c r="A422" s="201"/>
    </row>
    <row r="423" ht="14.25" customHeight="1">
      <c r="A423" s="201"/>
    </row>
    <row r="424" ht="14.25" customHeight="1">
      <c r="A424" s="201"/>
    </row>
    <row r="425" ht="14.25" customHeight="1">
      <c r="A425" s="201"/>
    </row>
    <row r="426" ht="14.25" customHeight="1">
      <c r="A426" s="201"/>
    </row>
    <row r="427" ht="14.25" customHeight="1">
      <c r="A427" s="201"/>
    </row>
    <row r="428" ht="14.25" customHeight="1">
      <c r="A428" s="201"/>
    </row>
    <row r="429" ht="14.25" customHeight="1">
      <c r="A429" s="201"/>
    </row>
    <row r="430" ht="14.25" customHeight="1">
      <c r="A430" s="201"/>
    </row>
    <row r="431" ht="14.25" customHeight="1">
      <c r="A431" s="201"/>
    </row>
    <row r="432" ht="14.25" customHeight="1">
      <c r="A432" s="201"/>
    </row>
    <row r="433" ht="14.25" customHeight="1">
      <c r="A433" s="201"/>
    </row>
    <row r="434" ht="14.25" customHeight="1">
      <c r="A434" s="201"/>
    </row>
    <row r="435" ht="14.25" customHeight="1">
      <c r="A435" s="201"/>
    </row>
    <row r="436" ht="14.25" customHeight="1">
      <c r="A436" s="201"/>
    </row>
    <row r="437" ht="14.25" customHeight="1">
      <c r="A437" s="201"/>
    </row>
    <row r="438" ht="14.25" customHeight="1">
      <c r="A438" s="201"/>
    </row>
    <row r="439" ht="14.25" customHeight="1">
      <c r="A439" s="201"/>
    </row>
    <row r="440" ht="14.25" customHeight="1">
      <c r="A440" s="201"/>
    </row>
    <row r="441" ht="14.25" customHeight="1">
      <c r="A441" s="201"/>
    </row>
    <row r="442" ht="14.25" customHeight="1">
      <c r="A442" s="201"/>
    </row>
    <row r="443" ht="14.25" customHeight="1">
      <c r="A443" s="201"/>
    </row>
    <row r="444" ht="14.25" customHeight="1">
      <c r="A444" s="201"/>
    </row>
    <row r="445" ht="14.25" customHeight="1">
      <c r="A445" s="201"/>
    </row>
    <row r="446" ht="14.25" customHeight="1">
      <c r="A446" s="201"/>
    </row>
    <row r="447" ht="14.25" customHeight="1">
      <c r="A447" s="201"/>
    </row>
    <row r="448" ht="14.25" customHeight="1">
      <c r="A448" s="201"/>
    </row>
    <row r="449" ht="14.25" customHeight="1">
      <c r="A449" s="201"/>
    </row>
    <row r="450" ht="14.25" customHeight="1">
      <c r="A450" s="201"/>
    </row>
    <row r="451" ht="14.25" customHeight="1">
      <c r="A451" s="201"/>
    </row>
    <row r="452" ht="14.25" customHeight="1">
      <c r="A452" s="201"/>
    </row>
    <row r="453" ht="14.25" customHeight="1">
      <c r="A453" s="201"/>
    </row>
    <row r="454" ht="14.25" customHeight="1">
      <c r="A454" s="201"/>
    </row>
    <row r="455" ht="14.25" customHeight="1">
      <c r="A455" s="201"/>
    </row>
    <row r="456" ht="14.25" customHeight="1">
      <c r="A456" s="201"/>
    </row>
    <row r="457" ht="14.25" customHeight="1">
      <c r="A457" s="201"/>
    </row>
    <row r="458" ht="14.25" customHeight="1">
      <c r="A458" s="201"/>
    </row>
    <row r="459" ht="14.25" customHeight="1">
      <c r="A459" s="201"/>
    </row>
    <row r="460" ht="14.25" customHeight="1">
      <c r="A460" s="201"/>
    </row>
    <row r="461" ht="14.25" customHeight="1">
      <c r="A461" s="201"/>
    </row>
    <row r="462" ht="14.25" customHeight="1">
      <c r="A462" s="201"/>
    </row>
    <row r="463" ht="14.25" customHeight="1">
      <c r="A463" s="201"/>
    </row>
    <row r="464" ht="14.25" customHeight="1">
      <c r="A464" s="201"/>
    </row>
    <row r="465" ht="14.25" customHeight="1">
      <c r="A465" s="201"/>
    </row>
    <row r="466" ht="14.25" customHeight="1">
      <c r="A466" s="201"/>
    </row>
    <row r="467" ht="14.25" customHeight="1">
      <c r="A467" s="201"/>
    </row>
    <row r="468" ht="14.25" customHeight="1">
      <c r="A468" s="201"/>
    </row>
    <row r="469" ht="14.25" customHeight="1">
      <c r="A469" s="201"/>
    </row>
    <row r="470" ht="14.25" customHeight="1">
      <c r="A470" s="201"/>
    </row>
    <row r="471" ht="14.25" customHeight="1">
      <c r="A471" s="201"/>
    </row>
    <row r="472" ht="14.25" customHeight="1">
      <c r="A472" s="201"/>
    </row>
    <row r="473" ht="14.25" customHeight="1">
      <c r="A473" s="201"/>
    </row>
    <row r="474" ht="14.25" customHeight="1">
      <c r="A474" s="201"/>
    </row>
    <row r="475" ht="14.25" customHeight="1">
      <c r="A475" s="201"/>
    </row>
    <row r="476" ht="14.25" customHeight="1">
      <c r="A476" s="201"/>
    </row>
    <row r="477" ht="14.25" customHeight="1">
      <c r="A477" s="201"/>
    </row>
    <row r="478" ht="14.25" customHeight="1">
      <c r="A478" s="201"/>
    </row>
    <row r="479" ht="14.25" customHeight="1">
      <c r="A479" s="201"/>
    </row>
    <row r="480" ht="14.25" customHeight="1">
      <c r="A480" s="201"/>
    </row>
    <row r="481" ht="14.25" customHeight="1">
      <c r="A481" s="201"/>
    </row>
    <row r="482" ht="14.25" customHeight="1">
      <c r="A482" s="201"/>
    </row>
    <row r="483" ht="14.25" customHeight="1">
      <c r="A483" s="201"/>
    </row>
    <row r="484" ht="14.25" customHeight="1">
      <c r="A484" s="201"/>
    </row>
    <row r="485" ht="14.25" customHeight="1">
      <c r="A485" s="201"/>
    </row>
    <row r="486" ht="14.25" customHeight="1">
      <c r="A486" s="201"/>
    </row>
    <row r="487" ht="14.25" customHeight="1">
      <c r="A487" s="201"/>
    </row>
    <row r="488" ht="14.25" customHeight="1">
      <c r="A488" s="201"/>
    </row>
    <row r="489" ht="14.25" customHeight="1">
      <c r="A489" s="201"/>
    </row>
    <row r="490" ht="14.25" customHeight="1">
      <c r="A490" s="201"/>
    </row>
    <row r="491" ht="14.25" customHeight="1">
      <c r="A491" s="201"/>
    </row>
    <row r="492" ht="14.25" customHeight="1">
      <c r="A492" s="201"/>
    </row>
    <row r="493" ht="14.25" customHeight="1">
      <c r="A493" s="201"/>
    </row>
    <row r="494" ht="14.25" customHeight="1">
      <c r="A494" s="201"/>
    </row>
    <row r="495" ht="14.25" customHeight="1">
      <c r="A495" s="201"/>
    </row>
    <row r="496" ht="14.25" customHeight="1">
      <c r="A496" s="201"/>
    </row>
    <row r="497" ht="14.25" customHeight="1">
      <c r="A497" s="201"/>
    </row>
    <row r="498" ht="14.25" customHeight="1">
      <c r="A498" s="201"/>
    </row>
    <row r="499" ht="14.25" customHeight="1">
      <c r="A499" s="201"/>
    </row>
    <row r="500" ht="14.25" customHeight="1">
      <c r="A500" s="201"/>
    </row>
    <row r="501" ht="14.25" customHeight="1">
      <c r="A501" s="201"/>
    </row>
    <row r="502" ht="14.25" customHeight="1">
      <c r="A502" s="201"/>
    </row>
    <row r="503" ht="14.25" customHeight="1">
      <c r="A503" s="201"/>
    </row>
    <row r="504" ht="14.25" customHeight="1">
      <c r="A504" s="201"/>
    </row>
    <row r="505" ht="14.25" customHeight="1">
      <c r="A505" s="201"/>
    </row>
    <row r="506" ht="14.25" customHeight="1">
      <c r="A506" s="201"/>
    </row>
    <row r="507" ht="14.25" customHeight="1">
      <c r="A507" s="201"/>
    </row>
    <row r="508" ht="14.25" customHeight="1">
      <c r="A508" s="201"/>
    </row>
    <row r="509" ht="14.25" customHeight="1">
      <c r="A509" s="201"/>
    </row>
    <row r="510" ht="14.25" customHeight="1">
      <c r="A510" s="201"/>
    </row>
    <row r="511" ht="14.25" customHeight="1">
      <c r="A511" s="201"/>
    </row>
    <row r="512" ht="14.25" customHeight="1">
      <c r="A512" s="201"/>
    </row>
    <row r="513" ht="14.25" customHeight="1">
      <c r="A513" s="201"/>
    </row>
    <row r="514" ht="14.25" customHeight="1">
      <c r="A514" s="201"/>
    </row>
    <row r="515" ht="14.25" customHeight="1">
      <c r="A515" s="201"/>
    </row>
    <row r="516" ht="14.25" customHeight="1">
      <c r="A516" s="201"/>
    </row>
    <row r="517" ht="14.25" customHeight="1">
      <c r="A517" s="201"/>
    </row>
    <row r="518" ht="14.25" customHeight="1">
      <c r="A518" s="201"/>
    </row>
    <row r="519" ht="14.25" customHeight="1">
      <c r="A519" s="201"/>
    </row>
    <row r="520" ht="14.25" customHeight="1">
      <c r="A520" s="201"/>
    </row>
    <row r="521" ht="14.25" customHeight="1">
      <c r="A521" s="201"/>
    </row>
    <row r="522" ht="14.25" customHeight="1">
      <c r="A522" s="201"/>
    </row>
    <row r="523" ht="14.25" customHeight="1">
      <c r="A523" s="201"/>
    </row>
    <row r="524" ht="14.25" customHeight="1">
      <c r="A524" s="201"/>
    </row>
    <row r="525" ht="14.25" customHeight="1">
      <c r="A525" s="201"/>
    </row>
    <row r="526" ht="14.25" customHeight="1">
      <c r="A526" s="201"/>
    </row>
    <row r="527" ht="14.25" customHeight="1">
      <c r="A527" s="201"/>
    </row>
    <row r="528" ht="14.25" customHeight="1">
      <c r="A528" s="201"/>
    </row>
    <row r="529" ht="14.25" customHeight="1">
      <c r="A529" s="201"/>
    </row>
    <row r="530" ht="14.25" customHeight="1">
      <c r="A530" s="201"/>
    </row>
    <row r="531" ht="14.25" customHeight="1">
      <c r="A531" s="201"/>
    </row>
    <row r="532" ht="14.25" customHeight="1">
      <c r="A532" s="201"/>
    </row>
    <row r="533" ht="14.25" customHeight="1">
      <c r="A533" s="201"/>
    </row>
    <row r="534" ht="14.25" customHeight="1">
      <c r="A534" s="201"/>
    </row>
    <row r="535" ht="14.25" customHeight="1">
      <c r="A535" s="201"/>
    </row>
    <row r="536" ht="14.25" customHeight="1">
      <c r="A536" s="201"/>
    </row>
    <row r="537" ht="14.25" customHeight="1">
      <c r="A537" s="201"/>
    </row>
    <row r="538" ht="14.25" customHeight="1">
      <c r="A538" s="201"/>
    </row>
    <row r="539" ht="14.25" customHeight="1">
      <c r="A539" s="201"/>
    </row>
    <row r="540" ht="14.25" customHeight="1">
      <c r="A540" s="201"/>
    </row>
    <row r="541" ht="14.25" customHeight="1">
      <c r="A541" s="201"/>
    </row>
    <row r="542" ht="14.25" customHeight="1">
      <c r="A542" s="201"/>
    </row>
    <row r="543" ht="14.25" customHeight="1">
      <c r="A543" s="201"/>
    </row>
    <row r="544" ht="14.25" customHeight="1">
      <c r="A544" s="201"/>
    </row>
    <row r="545" ht="14.25" customHeight="1">
      <c r="A545" s="201"/>
    </row>
    <row r="546" ht="14.25" customHeight="1">
      <c r="A546" s="201"/>
    </row>
    <row r="547" ht="14.25" customHeight="1">
      <c r="A547" s="201"/>
    </row>
    <row r="548" ht="14.25" customHeight="1">
      <c r="A548" s="201"/>
    </row>
    <row r="549" ht="14.25" customHeight="1">
      <c r="A549" s="201"/>
    </row>
    <row r="550" ht="14.25" customHeight="1">
      <c r="A550" s="201"/>
    </row>
    <row r="551" ht="14.25" customHeight="1">
      <c r="A551" s="201"/>
    </row>
    <row r="552" ht="14.25" customHeight="1">
      <c r="A552" s="201"/>
    </row>
    <row r="553" ht="14.25" customHeight="1">
      <c r="A553" s="201"/>
    </row>
    <row r="554" ht="14.25" customHeight="1">
      <c r="A554" s="201"/>
    </row>
    <row r="555" ht="14.25" customHeight="1">
      <c r="A555" s="201"/>
    </row>
    <row r="556" ht="14.25" customHeight="1">
      <c r="A556" s="201"/>
    </row>
    <row r="557" ht="14.25" customHeight="1">
      <c r="A557" s="201"/>
    </row>
    <row r="558" ht="14.25" customHeight="1">
      <c r="A558" s="201"/>
    </row>
    <row r="559" ht="14.25" customHeight="1">
      <c r="A559" s="201"/>
    </row>
    <row r="560" ht="14.25" customHeight="1">
      <c r="A560" s="201"/>
    </row>
    <row r="561" ht="14.25" customHeight="1">
      <c r="A561" s="201"/>
    </row>
    <row r="562" ht="14.25" customHeight="1">
      <c r="A562" s="201"/>
    </row>
    <row r="563" ht="14.25" customHeight="1">
      <c r="A563" s="201"/>
    </row>
    <row r="564" ht="14.25" customHeight="1">
      <c r="A564" s="201"/>
    </row>
    <row r="565" ht="14.25" customHeight="1">
      <c r="A565" s="201"/>
    </row>
    <row r="566" ht="14.25" customHeight="1">
      <c r="A566" s="201"/>
    </row>
    <row r="567" ht="14.25" customHeight="1">
      <c r="A567" s="201"/>
    </row>
    <row r="568" ht="14.25" customHeight="1">
      <c r="A568" s="201"/>
    </row>
    <row r="569" ht="14.25" customHeight="1">
      <c r="A569" s="201"/>
    </row>
    <row r="570" ht="14.25" customHeight="1">
      <c r="A570" s="201"/>
    </row>
    <row r="571" ht="14.25" customHeight="1">
      <c r="A571" s="201"/>
    </row>
    <row r="572" ht="14.25" customHeight="1">
      <c r="A572" s="201"/>
    </row>
    <row r="573" ht="14.25" customHeight="1">
      <c r="A573" s="201"/>
    </row>
    <row r="574" ht="14.25" customHeight="1">
      <c r="A574" s="201"/>
    </row>
    <row r="575" ht="14.25" customHeight="1">
      <c r="A575" s="201"/>
    </row>
    <row r="576" ht="14.25" customHeight="1">
      <c r="A576" s="201"/>
    </row>
    <row r="577" ht="14.25" customHeight="1">
      <c r="A577" s="201"/>
    </row>
    <row r="578" ht="14.25" customHeight="1">
      <c r="A578" s="201"/>
    </row>
    <row r="579" ht="14.25" customHeight="1">
      <c r="A579" s="201"/>
    </row>
    <row r="580" ht="14.25" customHeight="1">
      <c r="A580" s="201"/>
    </row>
    <row r="581" ht="14.25" customHeight="1">
      <c r="A581" s="201"/>
    </row>
    <row r="582" ht="14.25" customHeight="1">
      <c r="A582" s="201"/>
    </row>
    <row r="583" ht="14.25" customHeight="1">
      <c r="A583" s="201"/>
    </row>
    <row r="584" ht="14.25" customHeight="1">
      <c r="A584" s="201"/>
    </row>
    <row r="585" ht="14.25" customHeight="1">
      <c r="A585" s="201"/>
    </row>
    <row r="586" ht="14.25" customHeight="1">
      <c r="A586" s="201"/>
    </row>
    <row r="587" ht="14.25" customHeight="1">
      <c r="A587" s="201"/>
    </row>
    <row r="588" ht="14.25" customHeight="1">
      <c r="A588" s="201"/>
    </row>
    <row r="589" ht="14.25" customHeight="1">
      <c r="A589" s="201"/>
    </row>
    <row r="590" ht="14.25" customHeight="1">
      <c r="A590" s="201"/>
    </row>
    <row r="591" ht="14.25" customHeight="1">
      <c r="A591" s="201"/>
    </row>
    <row r="592" ht="14.25" customHeight="1">
      <c r="A592" s="201"/>
    </row>
    <row r="593" ht="14.25" customHeight="1">
      <c r="A593" s="201"/>
    </row>
    <row r="594" ht="14.25" customHeight="1">
      <c r="A594" s="201"/>
    </row>
    <row r="595" ht="14.25" customHeight="1">
      <c r="A595" s="201"/>
    </row>
    <row r="596" ht="14.25" customHeight="1">
      <c r="A596" s="201"/>
    </row>
    <row r="597" ht="14.25" customHeight="1">
      <c r="A597" s="201"/>
    </row>
    <row r="598" ht="14.25" customHeight="1">
      <c r="A598" s="201"/>
    </row>
    <row r="599" ht="14.25" customHeight="1">
      <c r="A599" s="201"/>
    </row>
    <row r="600" ht="14.25" customHeight="1">
      <c r="A600" s="201"/>
    </row>
    <row r="601" ht="14.25" customHeight="1">
      <c r="A601" s="201"/>
    </row>
    <row r="602" ht="14.25" customHeight="1">
      <c r="A602" s="201"/>
    </row>
    <row r="603" ht="14.25" customHeight="1">
      <c r="A603" s="201"/>
    </row>
    <row r="604" ht="14.25" customHeight="1">
      <c r="A604" s="201"/>
    </row>
    <row r="605" ht="14.25" customHeight="1">
      <c r="A605" s="201"/>
    </row>
    <row r="606" ht="14.25" customHeight="1">
      <c r="A606" s="201"/>
    </row>
    <row r="607" ht="14.25" customHeight="1">
      <c r="A607" s="201"/>
    </row>
    <row r="608" ht="14.25" customHeight="1">
      <c r="A608" s="201"/>
    </row>
    <row r="609" ht="14.25" customHeight="1">
      <c r="A609" s="201"/>
    </row>
    <row r="610" ht="14.25" customHeight="1">
      <c r="A610" s="201"/>
    </row>
    <row r="611" ht="14.25" customHeight="1">
      <c r="A611" s="201"/>
    </row>
    <row r="612" ht="14.25" customHeight="1">
      <c r="A612" s="201"/>
    </row>
    <row r="613" ht="14.25" customHeight="1">
      <c r="A613" s="201"/>
    </row>
    <row r="614" ht="14.25" customHeight="1">
      <c r="A614" s="201"/>
    </row>
    <row r="615" ht="14.25" customHeight="1">
      <c r="A615" s="201"/>
    </row>
    <row r="616" ht="14.25" customHeight="1">
      <c r="A616" s="201"/>
    </row>
    <row r="617" ht="14.25" customHeight="1">
      <c r="A617" s="201"/>
    </row>
    <row r="618" ht="14.25" customHeight="1">
      <c r="A618" s="201"/>
    </row>
    <row r="619" ht="14.25" customHeight="1">
      <c r="A619" s="201"/>
    </row>
    <row r="620" ht="14.25" customHeight="1">
      <c r="A620" s="201"/>
    </row>
    <row r="621" ht="14.25" customHeight="1">
      <c r="A621" s="201"/>
    </row>
    <row r="622" ht="14.25" customHeight="1">
      <c r="A622" s="201"/>
    </row>
    <row r="623" ht="14.25" customHeight="1">
      <c r="A623" s="201"/>
    </row>
    <row r="624" ht="14.25" customHeight="1">
      <c r="A624" s="201"/>
    </row>
    <row r="625" ht="14.25" customHeight="1">
      <c r="A625" s="201"/>
    </row>
    <row r="626" ht="14.25" customHeight="1">
      <c r="A626" s="201"/>
    </row>
    <row r="627" ht="14.25" customHeight="1">
      <c r="A627" s="201"/>
    </row>
    <row r="628" ht="14.25" customHeight="1">
      <c r="A628" s="201"/>
    </row>
    <row r="629" ht="14.25" customHeight="1">
      <c r="A629" s="201"/>
    </row>
    <row r="630" ht="14.25" customHeight="1">
      <c r="A630" s="201"/>
    </row>
    <row r="631" ht="14.25" customHeight="1">
      <c r="A631" s="201"/>
    </row>
    <row r="632" ht="14.25" customHeight="1">
      <c r="A632" s="201"/>
    </row>
    <row r="633" ht="14.25" customHeight="1">
      <c r="A633" s="201"/>
    </row>
    <row r="634" ht="14.25" customHeight="1">
      <c r="A634" s="201"/>
    </row>
    <row r="635" ht="14.25" customHeight="1">
      <c r="A635" s="201"/>
    </row>
    <row r="636" ht="14.25" customHeight="1">
      <c r="A636" s="201"/>
    </row>
    <row r="637" ht="14.25" customHeight="1">
      <c r="A637" s="201"/>
    </row>
    <row r="638" ht="14.25" customHeight="1">
      <c r="A638" s="201"/>
    </row>
    <row r="639" ht="14.25" customHeight="1">
      <c r="A639" s="201"/>
    </row>
    <row r="640" ht="14.25" customHeight="1">
      <c r="A640" s="201"/>
    </row>
    <row r="641" ht="14.25" customHeight="1">
      <c r="A641" s="201"/>
    </row>
    <row r="642" ht="14.25" customHeight="1">
      <c r="A642" s="201"/>
    </row>
    <row r="643" ht="14.25" customHeight="1">
      <c r="A643" s="201"/>
    </row>
    <row r="644" ht="14.25" customHeight="1">
      <c r="A644" s="201"/>
    </row>
    <row r="645" ht="14.25" customHeight="1">
      <c r="A645" s="201"/>
    </row>
    <row r="646" ht="14.25" customHeight="1">
      <c r="A646" s="201"/>
    </row>
    <row r="647" ht="14.25" customHeight="1">
      <c r="A647" s="201"/>
    </row>
    <row r="648" ht="14.25" customHeight="1">
      <c r="A648" s="201"/>
    </row>
    <row r="649" ht="14.25" customHeight="1">
      <c r="A649" s="201"/>
    </row>
    <row r="650" ht="14.25" customHeight="1">
      <c r="A650" s="201"/>
    </row>
    <row r="651" ht="14.25" customHeight="1">
      <c r="A651" s="201"/>
    </row>
    <row r="652" ht="14.25" customHeight="1">
      <c r="A652" s="201"/>
    </row>
    <row r="653" ht="14.25" customHeight="1">
      <c r="A653" s="201"/>
    </row>
    <row r="654" ht="14.25" customHeight="1">
      <c r="A654" s="201"/>
    </row>
    <row r="655" ht="14.25" customHeight="1">
      <c r="A655" s="201"/>
    </row>
    <row r="656" ht="14.25" customHeight="1">
      <c r="A656" s="201"/>
    </row>
    <row r="657" ht="14.25" customHeight="1">
      <c r="A657" s="201"/>
    </row>
    <row r="658" ht="14.25" customHeight="1">
      <c r="A658" s="201"/>
    </row>
    <row r="659" ht="14.25" customHeight="1">
      <c r="A659" s="201"/>
    </row>
    <row r="660" ht="14.25" customHeight="1">
      <c r="A660" s="201"/>
    </row>
    <row r="661" ht="14.25" customHeight="1">
      <c r="A661" s="201"/>
    </row>
    <row r="662" ht="14.25" customHeight="1">
      <c r="A662" s="201"/>
    </row>
    <row r="663" ht="14.25" customHeight="1">
      <c r="A663" s="201"/>
    </row>
    <row r="664" ht="14.25" customHeight="1">
      <c r="A664" s="201"/>
    </row>
    <row r="665" ht="14.25" customHeight="1">
      <c r="A665" s="201"/>
    </row>
    <row r="666" ht="14.25" customHeight="1">
      <c r="A666" s="201"/>
    </row>
    <row r="667" ht="14.25" customHeight="1">
      <c r="A667" s="201"/>
    </row>
    <row r="668" ht="14.25" customHeight="1">
      <c r="A668" s="201"/>
    </row>
    <row r="669" ht="14.25" customHeight="1">
      <c r="A669" s="201"/>
    </row>
    <row r="670" ht="14.25" customHeight="1">
      <c r="A670" s="201"/>
    </row>
    <row r="671" ht="14.25" customHeight="1">
      <c r="A671" s="201"/>
    </row>
    <row r="672" ht="14.25" customHeight="1">
      <c r="A672" s="201"/>
    </row>
    <row r="673" ht="14.25" customHeight="1">
      <c r="A673" s="201"/>
    </row>
    <row r="674" ht="14.25" customHeight="1">
      <c r="A674" s="201"/>
    </row>
    <row r="675" ht="14.25" customHeight="1">
      <c r="A675" s="201"/>
    </row>
    <row r="676" ht="14.25" customHeight="1">
      <c r="A676" s="201"/>
    </row>
    <row r="677" ht="14.25" customHeight="1">
      <c r="A677" s="201"/>
    </row>
    <row r="678" ht="14.25" customHeight="1">
      <c r="A678" s="201"/>
    </row>
    <row r="679" ht="14.25" customHeight="1">
      <c r="A679" s="201"/>
    </row>
    <row r="680" ht="14.25" customHeight="1">
      <c r="A680" s="201"/>
    </row>
    <row r="681" ht="14.25" customHeight="1">
      <c r="A681" s="201"/>
    </row>
    <row r="682" ht="14.25" customHeight="1">
      <c r="A682" s="201"/>
    </row>
    <row r="683" ht="14.25" customHeight="1">
      <c r="A683" s="201"/>
    </row>
    <row r="684" ht="14.25" customHeight="1">
      <c r="A684" s="201"/>
    </row>
    <row r="685" ht="14.25" customHeight="1">
      <c r="A685" s="201"/>
    </row>
    <row r="686" ht="14.25" customHeight="1">
      <c r="A686" s="201"/>
    </row>
    <row r="687" ht="14.25" customHeight="1">
      <c r="A687" s="201"/>
    </row>
    <row r="688" ht="14.25" customHeight="1">
      <c r="A688" s="201"/>
    </row>
    <row r="689" ht="14.25" customHeight="1">
      <c r="A689" s="201"/>
    </row>
    <row r="690" ht="14.25" customHeight="1">
      <c r="A690" s="201"/>
    </row>
    <row r="691" ht="14.25" customHeight="1">
      <c r="A691" s="201"/>
    </row>
    <row r="692" ht="14.25" customHeight="1">
      <c r="A692" s="201"/>
    </row>
    <row r="693" ht="14.25" customHeight="1">
      <c r="A693" s="201"/>
    </row>
    <row r="694" ht="14.25" customHeight="1">
      <c r="A694" s="201"/>
    </row>
    <row r="695" ht="14.25" customHeight="1">
      <c r="A695" s="201"/>
    </row>
    <row r="696" ht="14.25" customHeight="1">
      <c r="A696" s="201"/>
    </row>
    <row r="697" ht="14.25" customHeight="1">
      <c r="A697" s="201"/>
    </row>
    <row r="698" ht="14.25" customHeight="1">
      <c r="A698" s="201"/>
    </row>
    <row r="699" ht="14.25" customHeight="1">
      <c r="A699" s="201"/>
    </row>
    <row r="700" ht="14.25" customHeight="1">
      <c r="A700" s="201"/>
    </row>
    <row r="701" ht="14.25" customHeight="1">
      <c r="A701" s="201"/>
    </row>
    <row r="702" ht="14.25" customHeight="1">
      <c r="A702" s="201"/>
    </row>
    <row r="703" ht="14.25" customHeight="1">
      <c r="A703" s="201"/>
    </row>
    <row r="704" ht="14.25" customHeight="1">
      <c r="A704" s="201"/>
    </row>
    <row r="705" ht="14.25" customHeight="1">
      <c r="A705" s="201"/>
    </row>
    <row r="706" ht="14.25" customHeight="1">
      <c r="A706" s="201"/>
    </row>
    <row r="707" ht="14.25" customHeight="1">
      <c r="A707" s="201"/>
    </row>
    <row r="708" ht="14.25" customHeight="1">
      <c r="A708" s="201"/>
    </row>
    <row r="709" ht="14.25" customHeight="1">
      <c r="A709" s="201"/>
    </row>
    <row r="710" ht="14.25" customHeight="1">
      <c r="A710" s="201"/>
    </row>
    <row r="711" ht="14.25" customHeight="1">
      <c r="A711" s="201"/>
    </row>
    <row r="712" ht="14.25" customHeight="1">
      <c r="A712" s="201"/>
    </row>
    <row r="713" ht="14.25" customHeight="1">
      <c r="A713" s="201"/>
    </row>
    <row r="714" ht="14.25" customHeight="1">
      <c r="A714" s="201"/>
    </row>
    <row r="715" ht="14.25" customHeight="1">
      <c r="A715" s="201"/>
    </row>
    <row r="716" ht="14.25" customHeight="1">
      <c r="A716" s="201"/>
    </row>
    <row r="717" ht="14.25" customHeight="1">
      <c r="A717" s="201"/>
    </row>
    <row r="718" ht="14.25" customHeight="1">
      <c r="A718" s="201"/>
    </row>
    <row r="719" ht="14.25" customHeight="1">
      <c r="A719" s="201"/>
    </row>
    <row r="720" ht="14.25" customHeight="1">
      <c r="A720" s="201"/>
    </row>
    <row r="721" ht="14.25" customHeight="1">
      <c r="A721" s="201"/>
    </row>
    <row r="722" ht="14.25" customHeight="1">
      <c r="A722" s="201"/>
    </row>
    <row r="723" ht="14.25" customHeight="1">
      <c r="A723" s="201"/>
    </row>
    <row r="724" ht="14.25" customHeight="1">
      <c r="A724" s="201"/>
    </row>
    <row r="725" ht="14.25" customHeight="1">
      <c r="A725" s="201"/>
    </row>
    <row r="726" ht="14.25" customHeight="1">
      <c r="A726" s="201"/>
    </row>
    <row r="727" ht="14.25" customHeight="1">
      <c r="A727" s="201"/>
    </row>
    <row r="728" ht="14.25" customHeight="1">
      <c r="A728" s="201"/>
    </row>
    <row r="729" ht="14.25" customHeight="1">
      <c r="A729" s="201"/>
    </row>
    <row r="730" ht="14.25" customHeight="1">
      <c r="A730" s="201"/>
    </row>
    <row r="731" ht="14.25" customHeight="1">
      <c r="A731" s="201"/>
    </row>
    <row r="732" ht="14.25" customHeight="1">
      <c r="A732" s="201"/>
    </row>
    <row r="733" ht="14.25" customHeight="1">
      <c r="A733" s="201"/>
    </row>
    <row r="734" ht="14.25" customHeight="1">
      <c r="A734" s="201"/>
    </row>
    <row r="735" ht="14.25" customHeight="1">
      <c r="A735" s="201"/>
    </row>
    <row r="736" ht="14.25" customHeight="1">
      <c r="A736" s="201"/>
    </row>
    <row r="737" ht="14.25" customHeight="1">
      <c r="A737" s="201"/>
    </row>
    <row r="738" ht="14.25" customHeight="1">
      <c r="A738" s="201"/>
    </row>
    <row r="739" ht="14.25" customHeight="1">
      <c r="A739" s="201"/>
    </row>
    <row r="740" ht="14.25" customHeight="1">
      <c r="A740" s="201"/>
    </row>
    <row r="741" ht="14.25" customHeight="1">
      <c r="A741" s="201"/>
    </row>
    <row r="742" ht="14.25" customHeight="1">
      <c r="A742" s="201"/>
    </row>
    <row r="743" ht="14.25" customHeight="1">
      <c r="A743" s="201"/>
    </row>
    <row r="744" ht="14.25" customHeight="1">
      <c r="A744" s="201"/>
    </row>
    <row r="745" ht="14.25" customHeight="1">
      <c r="A745" s="201"/>
    </row>
    <row r="746" ht="14.25" customHeight="1">
      <c r="A746" s="201"/>
    </row>
    <row r="747" ht="14.25" customHeight="1">
      <c r="A747" s="201"/>
    </row>
    <row r="748" ht="14.25" customHeight="1">
      <c r="A748" s="201"/>
    </row>
    <row r="749" ht="14.25" customHeight="1">
      <c r="A749" s="201"/>
    </row>
    <row r="750" ht="14.25" customHeight="1">
      <c r="A750" s="201"/>
    </row>
    <row r="751" ht="14.25" customHeight="1">
      <c r="A751" s="201"/>
    </row>
    <row r="752" ht="14.25" customHeight="1">
      <c r="A752" s="201"/>
    </row>
    <row r="753" ht="14.25" customHeight="1">
      <c r="A753" s="201"/>
    </row>
    <row r="754" ht="14.25" customHeight="1">
      <c r="A754" s="201"/>
    </row>
    <row r="755" ht="14.25" customHeight="1">
      <c r="A755" s="201"/>
    </row>
    <row r="756" ht="14.25" customHeight="1">
      <c r="A756" s="201"/>
    </row>
    <row r="757" ht="14.25" customHeight="1">
      <c r="A757" s="201"/>
    </row>
    <row r="758" ht="14.25" customHeight="1">
      <c r="A758" s="201"/>
    </row>
    <row r="759" ht="14.25" customHeight="1">
      <c r="A759" s="201"/>
    </row>
    <row r="760" ht="14.25" customHeight="1">
      <c r="A760" s="201"/>
    </row>
    <row r="761" ht="14.25" customHeight="1">
      <c r="A761" s="201"/>
    </row>
    <row r="762" ht="14.25" customHeight="1">
      <c r="A762" s="201"/>
    </row>
    <row r="763" ht="14.25" customHeight="1">
      <c r="A763" s="201"/>
    </row>
    <row r="764" ht="14.25" customHeight="1">
      <c r="A764" s="201"/>
    </row>
    <row r="765" ht="14.25" customHeight="1">
      <c r="A765" s="201"/>
    </row>
    <row r="766" ht="14.25" customHeight="1">
      <c r="A766" s="201"/>
    </row>
    <row r="767" ht="14.25" customHeight="1">
      <c r="A767" s="201"/>
    </row>
    <row r="768" ht="14.25" customHeight="1">
      <c r="A768" s="201"/>
    </row>
    <row r="769" ht="14.25" customHeight="1">
      <c r="A769" s="201"/>
    </row>
    <row r="770" ht="14.25" customHeight="1">
      <c r="A770" s="201"/>
    </row>
    <row r="771" ht="14.25" customHeight="1">
      <c r="A771" s="201"/>
    </row>
    <row r="772" ht="14.25" customHeight="1">
      <c r="A772" s="201"/>
    </row>
    <row r="773" ht="14.25" customHeight="1">
      <c r="A773" s="201"/>
    </row>
    <row r="774" ht="14.25" customHeight="1">
      <c r="A774" s="201"/>
    </row>
    <row r="775" ht="14.25" customHeight="1">
      <c r="A775" s="201"/>
    </row>
    <row r="776" ht="14.25" customHeight="1">
      <c r="A776" s="201"/>
    </row>
    <row r="777" ht="14.25" customHeight="1">
      <c r="A777" s="201"/>
    </row>
    <row r="778" ht="14.25" customHeight="1">
      <c r="A778" s="201"/>
    </row>
    <row r="779" ht="14.25" customHeight="1">
      <c r="A779" s="201"/>
    </row>
    <row r="780" ht="14.25" customHeight="1">
      <c r="A780" s="201"/>
    </row>
    <row r="781" ht="14.25" customHeight="1">
      <c r="A781" s="201"/>
    </row>
    <row r="782" ht="14.25" customHeight="1">
      <c r="A782" s="201"/>
    </row>
    <row r="783" ht="14.25" customHeight="1">
      <c r="A783" s="201"/>
    </row>
    <row r="784" ht="14.25" customHeight="1">
      <c r="A784" s="201"/>
    </row>
    <row r="785" ht="14.25" customHeight="1">
      <c r="A785" s="201"/>
    </row>
    <row r="786" ht="14.25" customHeight="1">
      <c r="A786" s="201"/>
    </row>
    <row r="787" ht="14.25" customHeight="1">
      <c r="A787" s="201"/>
    </row>
    <row r="788" ht="14.25" customHeight="1">
      <c r="A788" s="201"/>
    </row>
    <row r="789" ht="14.25" customHeight="1">
      <c r="A789" s="201"/>
    </row>
    <row r="790" ht="14.25" customHeight="1">
      <c r="A790" s="201"/>
    </row>
    <row r="791" ht="14.25" customHeight="1">
      <c r="A791" s="201"/>
    </row>
    <row r="792" ht="14.25" customHeight="1">
      <c r="A792" s="201"/>
    </row>
    <row r="793" ht="14.25" customHeight="1">
      <c r="A793" s="201"/>
    </row>
    <row r="794" ht="14.25" customHeight="1">
      <c r="A794" s="201"/>
    </row>
    <row r="795" ht="14.25" customHeight="1">
      <c r="A795" s="201"/>
    </row>
    <row r="796" ht="14.25" customHeight="1">
      <c r="A796" s="201"/>
    </row>
    <row r="797" ht="14.25" customHeight="1">
      <c r="A797" s="201"/>
    </row>
    <row r="798" ht="14.25" customHeight="1">
      <c r="A798" s="201"/>
    </row>
    <row r="799" ht="14.25" customHeight="1">
      <c r="A799" s="201"/>
    </row>
    <row r="800" ht="14.25" customHeight="1">
      <c r="A800" s="201"/>
    </row>
    <row r="801" ht="14.25" customHeight="1">
      <c r="A801" s="201"/>
    </row>
    <row r="802" ht="14.25" customHeight="1">
      <c r="A802" s="201"/>
    </row>
    <row r="803" ht="14.25" customHeight="1">
      <c r="A803" s="201"/>
    </row>
    <row r="804" ht="14.25" customHeight="1">
      <c r="A804" s="201"/>
    </row>
    <row r="805" ht="14.25" customHeight="1">
      <c r="A805" s="201"/>
    </row>
    <row r="806" ht="14.25" customHeight="1">
      <c r="A806" s="201"/>
    </row>
    <row r="807" ht="14.25" customHeight="1">
      <c r="A807" s="201"/>
    </row>
    <row r="808" ht="14.25" customHeight="1">
      <c r="A808" s="201"/>
    </row>
    <row r="809" ht="14.25" customHeight="1">
      <c r="A809" s="201"/>
    </row>
    <row r="810" ht="14.25" customHeight="1">
      <c r="A810" s="201"/>
    </row>
    <row r="811" ht="14.25" customHeight="1">
      <c r="A811" s="201"/>
    </row>
    <row r="812" ht="14.25" customHeight="1">
      <c r="A812" s="201"/>
    </row>
    <row r="813" ht="14.25" customHeight="1">
      <c r="A813" s="201"/>
    </row>
    <row r="814" ht="14.25" customHeight="1">
      <c r="A814" s="201"/>
    </row>
    <row r="815" ht="14.25" customHeight="1">
      <c r="A815" s="201"/>
    </row>
    <row r="816" ht="14.25" customHeight="1">
      <c r="A816" s="201"/>
    </row>
    <row r="817" ht="14.25" customHeight="1">
      <c r="A817" s="201"/>
    </row>
    <row r="818" ht="14.25" customHeight="1">
      <c r="A818" s="201"/>
    </row>
    <row r="819" ht="14.25" customHeight="1">
      <c r="A819" s="201"/>
    </row>
    <row r="820" ht="14.25" customHeight="1">
      <c r="A820" s="201"/>
    </row>
    <row r="821" ht="14.25" customHeight="1">
      <c r="A821" s="201"/>
    </row>
    <row r="822" ht="14.25" customHeight="1">
      <c r="A822" s="201"/>
    </row>
    <row r="823" ht="14.25" customHeight="1">
      <c r="A823" s="201"/>
    </row>
    <row r="824" ht="14.25" customHeight="1">
      <c r="A824" s="201"/>
    </row>
    <row r="825" ht="14.25" customHeight="1">
      <c r="A825" s="201"/>
    </row>
    <row r="826" ht="14.25" customHeight="1">
      <c r="A826" s="201"/>
    </row>
    <row r="827" ht="14.25" customHeight="1">
      <c r="A827" s="201"/>
    </row>
    <row r="828" ht="14.25" customHeight="1">
      <c r="A828" s="201"/>
    </row>
    <row r="829" ht="14.25" customHeight="1">
      <c r="A829" s="201"/>
    </row>
    <row r="830" ht="14.25" customHeight="1">
      <c r="A830" s="201"/>
    </row>
    <row r="831" ht="14.25" customHeight="1">
      <c r="A831" s="201"/>
    </row>
    <row r="832" ht="14.25" customHeight="1">
      <c r="A832" s="201"/>
    </row>
    <row r="833" ht="14.25" customHeight="1">
      <c r="A833" s="201"/>
    </row>
    <row r="834" ht="14.25" customHeight="1">
      <c r="A834" s="201"/>
    </row>
    <row r="835" ht="14.25" customHeight="1">
      <c r="A835" s="201"/>
    </row>
    <row r="836" ht="14.25" customHeight="1">
      <c r="A836" s="201"/>
    </row>
    <row r="837" ht="14.25" customHeight="1">
      <c r="A837" s="201"/>
    </row>
    <row r="838" ht="14.25" customHeight="1">
      <c r="A838" s="201"/>
    </row>
    <row r="839" ht="14.25" customHeight="1">
      <c r="A839" s="201"/>
    </row>
    <row r="840" ht="14.25" customHeight="1">
      <c r="A840" s="201"/>
    </row>
    <row r="841" ht="14.25" customHeight="1">
      <c r="A841" s="201"/>
    </row>
    <row r="842" ht="14.25" customHeight="1">
      <c r="A842" s="201"/>
    </row>
    <row r="843" ht="14.25" customHeight="1">
      <c r="A843" s="201"/>
    </row>
    <row r="844" ht="14.25" customHeight="1">
      <c r="A844" s="201"/>
    </row>
    <row r="845" ht="14.25" customHeight="1">
      <c r="A845" s="201"/>
    </row>
    <row r="846" ht="14.25" customHeight="1">
      <c r="A846" s="201"/>
    </row>
    <row r="847" ht="14.25" customHeight="1">
      <c r="A847" s="201"/>
    </row>
    <row r="848" ht="14.25" customHeight="1">
      <c r="A848" s="201"/>
    </row>
    <row r="849" ht="14.25" customHeight="1">
      <c r="A849" s="201"/>
    </row>
    <row r="850" ht="14.25" customHeight="1">
      <c r="A850" s="201"/>
    </row>
    <row r="851" ht="14.25" customHeight="1">
      <c r="A851" s="201"/>
    </row>
    <row r="852" ht="14.25" customHeight="1">
      <c r="A852" s="201"/>
    </row>
    <row r="853" ht="14.25" customHeight="1">
      <c r="A853" s="201"/>
    </row>
    <row r="854" ht="14.25" customHeight="1">
      <c r="A854" s="201"/>
    </row>
    <row r="855" ht="14.25" customHeight="1">
      <c r="A855" s="201"/>
    </row>
    <row r="856" ht="14.25" customHeight="1">
      <c r="A856" s="201"/>
    </row>
    <row r="857" ht="14.25" customHeight="1">
      <c r="A857" s="201"/>
    </row>
    <row r="858" ht="14.25" customHeight="1">
      <c r="A858" s="201"/>
    </row>
    <row r="859" ht="14.25" customHeight="1">
      <c r="A859" s="201"/>
    </row>
    <row r="860" ht="14.25" customHeight="1">
      <c r="A860" s="201"/>
    </row>
    <row r="861" ht="14.25" customHeight="1">
      <c r="A861" s="201"/>
    </row>
    <row r="862" ht="14.25" customHeight="1">
      <c r="A862" s="201"/>
    </row>
    <row r="863" ht="14.25" customHeight="1">
      <c r="A863" s="201"/>
    </row>
    <row r="864" ht="14.25" customHeight="1">
      <c r="A864" s="201"/>
    </row>
    <row r="865" ht="14.25" customHeight="1">
      <c r="A865" s="201"/>
    </row>
    <row r="866" ht="14.25" customHeight="1">
      <c r="A866" s="201"/>
    </row>
    <row r="867" ht="14.25" customHeight="1">
      <c r="A867" s="201"/>
    </row>
    <row r="868" ht="14.25" customHeight="1">
      <c r="A868" s="201"/>
    </row>
    <row r="869" ht="14.25" customHeight="1">
      <c r="A869" s="201"/>
    </row>
    <row r="870" ht="14.25" customHeight="1">
      <c r="A870" s="201"/>
    </row>
    <row r="871" ht="14.25" customHeight="1">
      <c r="A871" s="201"/>
    </row>
    <row r="872" ht="14.25" customHeight="1">
      <c r="A872" s="201"/>
    </row>
    <row r="873" ht="14.25" customHeight="1">
      <c r="A873" s="201"/>
    </row>
    <row r="874" ht="14.25" customHeight="1">
      <c r="A874" s="201"/>
    </row>
    <row r="875" ht="14.25" customHeight="1">
      <c r="A875" s="201"/>
    </row>
    <row r="876" ht="14.25" customHeight="1">
      <c r="A876" s="201"/>
    </row>
    <row r="877" ht="14.25" customHeight="1">
      <c r="A877" s="201"/>
    </row>
    <row r="878" ht="14.25" customHeight="1">
      <c r="A878" s="201"/>
    </row>
    <row r="879" ht="14.25" customHeight="1">
      <c r="A879" s="201"/>
    </row>
    <row r="880" ht="14.25" customHeight="1">
      <c r="A880" s="201"/>
    </row>
    <row r="881" ht="14.25" customHeight="1">
      <c r="A881" s="201"/>
    </row>
    <row r="882" ht="14.25" customHeight="1">
      <c r="A882" s="201"/>
    </row>
    <row r="883" ht="14.25" customHeight="1">
      <c r="A883" s="201"/>
    </row>
    <row r="884" ht="14.25" customHeight="1">
      <c r="A884" s="201"/>
    </row>
    <row r="885" ht="14.25" customHeight="1">
      <c r="A885" s="201"/>
    </row>
    <row r="886" ht="14.25" customHeight="1">
      <c r="A886" s="201"/>
    </row>
    <row r="887" ht="14.25" customHeight="1">
      <c r="A887" s="201"/>
    </row>
    <row r="888" ht="14.25" customHeight="1">
      <c r="A888" s="201"/>
    </row>
    <row r="889" ht="14.25" customHeight="1">
      <c r="A889" s="201"/>
    </row>
    <row r="890" ht="14.25" customHeight="1">
      <c r="A890" s="201"/>
    </row>
    <row r="891" ht="14.25" customHeight="1">
      <c r="A891" s="201"/>
    </row>
    <row r="892" ht="14.25" customHeight="1">
      <c r="A892" s="201"/>
    </row>
    <row r="893" ht="14.25" customHeight="1">
      <c r="A893" s="201"/>
    </row>
    <row r="894" ht="14.25" customHeight="1">
      <c r="A894" s="201"/>
    </row>
    <row r="895" ht="14.25" customHeight="1">
      <c r="A895" s="201"/>
    </row>
    <row r="896" ht="14.25" customHeight="1">
      <c r="A896" s="201"/>
    </row>
    <row r="897" ht="14.25" customHeight="1">
      <c r="A897" s="201"/>
    </row>
    <row r="898" ht="14.25" customHeight="1">
      <c r="A898" s="201"/>
    </row>
    <row r="899" ht="14.25" customHeight="1">
      <c r="A899" s="201"/>
    </row>
    <row r="900" ht="14.25" customHeight="1">
      <c r="A900" s="201"/>
    </row>
    <row r="901" ht="14.25" customHeight="1">
      <c r="A901" s="201"/>
    </row>
    <row r="902" ht="14.25" customHeight="1">
      <c r="A902" s="201"/>
    </row>
    <row r="903" ht="14.25" customHeight="1">
      <c r="A903" s="201"/>
    </row>
    <row r="904" ht="14.25" customHeight="1">
      <c r="A904" s="201"/>
    </row>
    <row r="905" ht="14.25" customHeight="1">
      <c r="A905" s="201"/>
    </row>
    <row r="906" ht="14.25" customHeight="1">
      <c r="A906" s="201"/>
    </row>
    <row r="907" ht="14.25" customHeight="1">
      <c r="A907" s="201"/>
    </row>
    <row r="908" ht="14.25" customHeight="1">
      <c r="A908" s="201"/>
    </row>
    <row r="909" ht="14.25" customHeight="1">
      <c r="A909" s="201"/>
    </row>
    <row r="910" ht="14.25" customHeight="1">
      <c r="A910" s="201"/>
    </row>
    <row r="911" ht="14.25" customHeight="1">
      <c r="A911" s="201"/>
    </row>
    <row r="912" ht="14.25" customHeight="1">
      <c r="A912" s="201"/>
    </row>
    <row r="913" ht="14.25" customHeight="1">
      <c r="A913" s="201"/>
    </row>
    <row r="914" ht="14.25" customHeight="1">
      <c r="A914" s="201"/>
    </row>
    <row r="915" ht="14.25" customHeight="1">
      <c r="A915" s="201"/>
    </row>
    <row r="916" ht="14.25" customHeight="1">
      <c r="A916" s="201"/>
    </row>
    <row r="917" ht="14.25" customHeight="1">
      <c r="A917" s="201"/>
    </row>
    <row r="918" ht="14.25" customHeight="1">
      <c r="A918" s="201"/>
    </row>
    <row r="919" ht="14.25" customHeight="1">
      <c r="A919" s="201"/>
    </row>
    <row r="920" ht="14.25" customHeight="1">
      <c r="A920" s="201"/>
    </row>
    <row r="921" ht="14.25" customHeight="1">
      <c r="A921" s="201"/>
    </row>
    <row r="922" ht="14.25" customHeight="1">
      <c r="A922" s="201"/>
    </row>
    <row r="923" ht="14.25" customHeight="1">
      <c r="A923" s="201"/>
    </row>
    <row r="924" ht="14.25" customHeight="1">
      <c r="A924" s="201"/>
    </row>
    <row r="925" ht="14.25" customHeight="1">
      <c r="A925" s="201"/>
    </row>
    <row r="926" ht="14.25" customHeight="1">
      <c r="A926" s="201"/>
    </row>
    <row r="927" ht="14.25" customHeight="1">
      <c r="A927" s="201"/>
    </row>
    <row r="928" ht="14.25" customHeight="1">
      <c r="A928" s="201"/>
    </row>
    <row r="929" ht="14.25" customHeight="1">
      <c r="A929" s="201"/>
    </row>
    <row r="930" ht="14.25" customHeight="1">
      <c r="A930" s="201"/>
    </row>
    <row r="931" ht="14.25" customHeight="1">
      <c r="A931" s="201"/>
    </row>
    <row r="932" ht="14.25" customHeight="1">
      <c r="A932" s="201"/>
    </row>
    <row r="933" ht="14.25" customHeight="1">
      <c r="A933" s="201"/>
    </row>
    <row r="934" ht="14.25" customHeight="1">
      <c r="A934" s="201"/>
    </row>
    <row r="935" ht="14.25" customHeight="1">
      <c r="A935" s="201"/>
    </row>
    <row r="936" ht="14.25" customHeight="1">
      <c r="A936" s="201"/>
    </row>
    <row r="937" ht="14.25" customHeight="1">
      <c r="A937" s="201"/>
    </row>
    <row r="938" ht="14.25" customHeight="1">
      <c r="A938" s="201"/>
    </row>
    <row r="939" ht="14.25" customHeight="1">
      <c r="A939" s="201"/>
    </row>
    <row r="940" ht="14.25" customHeight="1">
      <c r="A940" s="201"/>
    </row>
    <row r="941" ht="14.25" customHeight="1">
      <c r="A941" s="201"/>
    </row>
    <row r="942" ht="14.25" customHeight="1">
      <c r="A942" s="201"/>
    </row>
    <row r="943" ht="14.25" customHeight="1">
      <c r="A943" s="201"/>
    </row>
    <row r="944" ht="14.25" customHeight="1">
      <c r="A944" s="201"/>
    </row>
    <row r="945" ht="14.25" customHeight="1">
      <c r="A945" s="201"/>
    </row>
    <row r="946" ht="14.25" customHeight="1">
      <c r="A946" s="201"/>
    </row>
    <row r="947" ht="14.25" customHeight="1">
      <c r="A947" s="201"/>
    </row>
    <row r="948" ht="14.25" customHeight="1">
      <c r="A948" s="201"/>
    </row>
    <row r="949" ht="14.25" customHeight="1">
      <c r="A949" s="201"/>
    </row>
    <row r="950" ht="14.25" customHeight="1">
      <c r="A950" s="201"/>
    </row>
    <row r="951" ht="14.25" customHeight="1">
      <c r="A951" s="201"/>
    </row>
    <row r="952" ht="14.25" customHeight="1">
      <c r="A952" s="201"/>
    </row>
    <row r="953" ht="14.25" customHeight="1">
      <c r="A953" s="201"/>
    </row>
    <row r="954" ht="14.25" customHeight="1">
      <c r="A954" s="201"/>
    </row>
    <row r="955" ht="14.25" customHeight="1">
      <c r="A955" s="201"/>
    </row>
    <row r="956" ht="14.25" customHeight="1">
      <c r="A956" s="201"/>
    </row>
    <row r="957" ht="14.25" customHeight="1">
      <c r="A957" s="201"/>
    </row>
    <row r="958" ht="14.25" customHeight="1">
      <c r="A958" s="201"/>
    </row>
    <row r="959" ht="14.25" customHeight="1">
      <c r="A959" s="201"/>
    </row>
    <row r="960" ht="14.25" customHeight="1">
      <c r="A960" s="201"/>
    </row>
    <row r="961" ht="14.25" customHeight="1">
      <c r="A961" s="201"/>
    </row>
    <row r="962" ht="14.25" customHeight="1">
      <c r="A962" s="201"/>
    </row>
    <row r="963" ht="14.25" customHeight="1">
      <c r="A963" s="201"/>
    </row>
    <row r="964" ht="14.25" customHeight="1">
      <c r="A964" s="201"/>
    </row>
    <row r="965" ht="14.25" customHeight="1">
      <c r="A965" s="201"/>
    </row>
    <row r="966" ht="14.25" customHeight="1">
      <c r="A966" s="201"/>
    </row>
    <row r="967" ht="14.25" customHeight="1">
      <c r="A967" s="201"/>
    </row>
    <row r="968" ht="14.25" customHeight="1">
      <c r="A968" s="201"/>
    </row>
    <row r="969" ht="14.25" customHeight="1">
      <c r="A969" s="201"/>
    </row>
    <row r="970" ht="14.25" customHeight="1">
      <c r="A970" s="201"/>
    </row>
    <row r="971" ht="14.25" customHeight="1">
      <c r="A971" s="201"/>
    </row>
    <row r="972" ht="14.25" customHeight="1">
      <c r="A972" s="201"/>
    </row>
    <row r="973" ht="14.25" customHeight="1">
      <c r="A973" s="201"/>
    </row>
    <row r="974" ht="14.25" customHeight="1">
      <c r="A974" s="201"/>
    </row>
    <row r="975" ht="14.25" customHeight="1">
      <c r="A975" s="201"/>
    </row>
    <row r="976" ht="14.25" customHeight="1">
      <c r="A976" s="201"/>
    </row>
    <row r="977" ht="14.25" customHeight="1">
      <c r="A977" s="201"/>
    </row>
    <row r="978" ht="14.25" customHeight="1">
      <c r="A978" s="201"/>
    </row>
    <row r="979" ht="14.25" customHeight="1">
      <c r="A979" s="201"/>
    </row>
    <row r="980" ht="14.25" customHeight="1">
      <c r="A980" s="201"/>
    </row>
    <row r="981" ht="14.25" customHeight="1">
      <c r="A981" s="201"/>
    </row>
    <row r="982" ht="14.25" customHeight="1">
      <c r="A982" s="201"/>
    </row>
    <row r="983" ht="14.25" customHeight="1">
      <c r="A983" s="201"/>
    </row>
    <row r="984" ht="14.25" customHeight="1">
      <c r="A984" s="201"/>
    </row>
    <row r="985" ht="14.25" customHeight="1">
      <c r="A985" s="201"/>
    </row>
    <row r="986" ht="14.25" customHeight="1">
      <c r="A986" s="201"/>
    </row>
    <row r="987" ht="14.25" customHeight="1">
      <c r="A987" s="201"/>
    </row>
    <row r="988" ht="14.25" customHeight="1">
      <c r="A988" s="201"/>
    </row>
    <row r="989" ht="14.25" customHeight="1">
      <c r="A989" s="201"/>
    </row>
    <row r="990" ht="14.25" customHeight="1">
      <c r="A990" s="201"/>
    </row>
    <row r="991" ht="14.25" customHeight="1">
      <c r="A991" s="201"/>
    </row>
    <row r="992" ht="14.25" customHeight="1">
      <c r="A992" s="201"/>
    </row>
    <row r="993" ht="14.25" customHeight="1">
      <c r="A993" s="201"/>
    </row>
    <row r="994" ht="14.25" customHeight="1">
      <c r="A994" s="201"/>
    </row>
    <row r="995" ht="14.25" customHeight="1">
      <c r="A995" s="201"/>
    </row>
    <row r="996" ht="14.25" customHeight="1">
      <c r="A996" s="201"/>
    </row>
    <row r="997" ht="14.25" customHeight="1">
      <c r="A997" s="201"/>
    </row>
    <row r="998" ht="14.25" customHeight="1">
      <c r="A998" s="201"/>
    </row>
    <row r="999" ht="14.25" customHeight="1">
      <c r="A999" s="201"/>
    </row>
    <row r="1000" ht="14.25" customHeight="1">
      <c r="A1000" s="20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9.29"/>
    <col customWidth="1" min="3" max="3" width="3.0"/>
    <col customWidth="1" min="4" max="4" width="7.43"/>
    <col customWidth="1" min="5" max="5" width="3.0"/>
    <col customWidth="1" min="6" max="6" width="10.86"/>
    <col customWidth="1" min="7" max="8" width="10.71"/>
    <col customWidth="1" min="9" max="11" width="11.57"/>
    <col customWidth="1" min="12" max="15" width="10.71"/>
  </cols>
  <sheetData>
    <row r="1" ht="14.25" customHeight="1">
      <c r="B1" s="55"/>
      <c r="I1" s="205"/>
      <c r="J1" s="205"/>
      <c r="K1" s="205"/>
      <c r="M1" s="202" t="s">
        <v>997</v>
      </c>
      <c r="N1" s="202" t="s">
        <v>998</v>
      </c>
    </row>
    <row r="2" ht="14.25" customHeight="1">
      <c r="B2" s="55"/>
      <c r="I2" s="205"/>
      <c r="J2" s="205"/>
      <c r="K2" s="205"/>
      <c r="L2" s="55">
        <f>+'Plan de pagos'!L13</f>
        <v>46055</v>
      </c>
      <c r="M2" s="201">
        <f>+'Plan de pagos'!H13</f>
        <v>2</v>
      </c>
      <c r="N2" s="201">
        <f>+'Plan de pagos'!I13</f>
        <v>17</v>
      </c>
      <c r="O2" s="202">
        <f>+IF(N2&gt;28,"Maximo",0)</f>
        <v>0</v>
      </c>
    </row>
    <row r="3" ht="14.25" customHeight="1">
      <c r="A3" s="55">
        <v>45658.0</v>
      </c>
      <c r="B3" s="55" t="str">
        <f>+IF(A3=$L$2,"Primer dia"," ")</f>
        <v> </v>
      </c>
      <c r="C3" s="202">
        <f t="shared" ref="C3:C3307" si="1">+DAY(A3)</f>
        <v>1</v>
      </c>
      <c r="D3" s="202" t="str">
        <f t="shared" ref="D3:D3307" si="2">+IF(A3=$L$2,"Primero"," ")</f>
        <v> </v>
      </c>
      <c r="E3" s="202" t="str">
        <f t="shared" ref="E3:E181" si="3">IF(B3=" "," ",IF(OR(C3=$M$2,C3=$N$2),C3," "))</f>
        <v> </v>
      </c>
      <c r="F3" s="55" t="str">
        <f t="shared" ref="F3:F3307" si="4">+IF(E3=" ","",A3)</f>
        <v/>
      </c>
      <c r="G3" s="202" t="str">
        <f t="shared" ref="G3:G3307" si="5">IF(ISNUMBER(F3),COUNT($F$3:F3), "")</f>
        <v/>
      </c>
      <c r="H3" s="202" t="str">
        <f t="shared" ref="H3:H213" si="6">+IF(A3=EOMONTH(A3,0),DAY(A3)," ")</f>
        <v> </v>
      </c>
      <c r="I3" s="205" t="str">
        <f t="shared" ref="I3:I3307" si="7">+IF(A3=$L$2,1,"")</f>
        <v/>
      </c>
      <c r="J3" s="205"/>
      <c r="K3" s="205"/>
    </row>
    <row r="4" ht="14.25" customHeight="1">
      <c r="A4" s="55">
        <v>45659.0</v>
      </c>
      <c r="B4" s="55" t="str">
        <f t="shared" ref="B4:B198" si="8">+IF(A4=$L$2,"Primer dia",B3)</f>
        <v> </v>
      </c>
      <c r="C4" s="202">
        <f t="shared" si="1"/>
        <v>2</v>
      </c>
      <c r="D4" s="202" t="str">
        <f t="shared" si="2"/>
        <v> </v>
      </c>
      <c r="E4" s="202" t="str">
        <f t="shared" si="3"/>
        <v> </v>
      </c>
      <c r="F4" s="55" t="str">
        <f t="shared" si="4"/>
        <v/>
      </c>
      <c r="G4" s="202" t="str">
        <f t="shared" si="5"/>
        <v/>
      </c>
      <c r="H4" s="202" t="str">
        <f t="shared" si="6"/>
        <v> </v>
      </c>
      <c r="I4" s="205" t="str">
        <f t="shared" si="7"/>
        <v/>
      </c>
      <c r="J4" s="205"/>
      <c r="K4" s="205"/>
    </row>
    <row r="5" ht="14.25" customHeight="1">
      <c r="A5" s="55">
        <v>45660.0</v>
      </c>
      <c r="B5" s="55" t="str">
        <f t="shared" si="8"/>
        <v> </v>
      </c>
      <c r="C5" s="202">
        <f t="shared" si="1"/>
        <v>3</v>
      </c>
      <c r="D5" s="202" t="str">
        <f t="shared" si="2"/>
        <v> </v>
      </c>
      <c r="E5" s="202" t="str">
        <f t="shared" si="3"/>
        <v> </v>
      </c>
      <c r="F5" s="55" t="str">
        <f t="shared" si="4"/>
        <v/>
      </c>
      <c r="G5" s="202" t="str">
        <f t="shared" si="5"/>
        <v/>
      </c>
      <c r="H5" s="202" t="str">
        <f t="shared" si="6"/>
        <v> </v>
      </c>
      <c r="I5" s="205" t="str">
        <f t="shared" si="7"/>
        <v/>
      </c>
      <c r="J5" s="205"/>
      <c r="K5" s="205"/>
    </row>
    <row r="6" ht="14.25" customHeight="1">
      <c r="A6" s="55">
        <v>45661.0</v>
      </c>
      <c r="B6" s="55" t="str">
        <f t="shared" si="8"/>
        <v> </v>
      </c>
      <c r="C6" s="202">
        <f t="shared" si="1"/>
        <v>4</v>
      </c>
      <c r="D6" s="202" t="str">
        <f t="shared" si="2"/>
        <v> </v>
      </c>
      <c r="E6" s="202" t="str">
        <f t="shared" si="3"/>
        <v> </v>
      </c>
      <c r="F6" s="55" t="str">
        <f t="shared" si="4"/>
        <v/>
      </c>
      <c r="G6" s="202" t="str">
        <f t="shared" si="5"/>
        <v/>
      </c>
      <c r="H6" s="202" t="str">
        <f t="shared" si="6"/>
        <v> </v>
      </c>
      <c r="I6" s="205" t="str">
        <f t="shared" si="7"/>
        <v/>
      </c>
      <c r="J6" s="205"/>
      <c r="K6" s="205"/>
    </row>
    <row r="7" ht="14.25" customHeight="1">
      <c r="A7" s="55">
        <v>45662.0</v>
      </c>
      <c r="B7" s="55" t="str">
        <f t="shared" si="8"/>
        <v> </v>
      </c>
      <c r="C7" s="202">
        <f t="shared" si="1"/>
        <v>5</v>
      </c>
      <c r="D7" s="202" t="str">
        <f t="shared" si="2"/>
        <v> </v>
      </c>
      <c r="E7" s="202" t="str">
        <f t="shared" si="3"/>
        <v> </v>
      </c>
      <c r="F7" s="55" t="str">
        <f t="shared" si="4"/>
        <v/>
      </c>
      <c r="G7" s="202" t="str">
        <f t="shared" si="5"/>
        <v/>
      </c>
      <c r="H7" s="202" t="str">
        <f t="shared" si="6"/>
        <v> </v>
      </c>
      <c r="I7" s="205" t="str">
        <f t="shared" si="7"/>
        <v/>
      </c>
      <c r="J7" s="205"/>
      <c r="K7" s="205"/>
    </row>
    <row r="8" ht="14.25" customHeight="1">
      <c r="A8" s="55">
        <v>45663.0</v>
      </c>
      <c r="B8" s="55" t="str">
        <f t="shared" si="8"/>
        <v> </v>
      </c>
      <c r="C8" s="202">
        <f t="shared" si="1"/>
        <v>6</v>
      </c>
      <c r="D8" s="202" t="str">
        <f t="shared" si="2"/>
        <v> </v>
      </c>
      <c r="E8" s="202" t="str">
        <f t="shared" si="3"/>
        <v> </v>
      </c>
      <c r="F8" s="55" t="str">
        <f t="shared" si="4"/>
        <v/>
      </c>
      <c r="G8" s="202" t="str">
        <f t="shared" si="5"/>
        <v/>
      </c>
      <c r="H8" s="202" t="str">
        <f t="shared" si="6"/>
        <v> </v>
      </c>
      <c r="I8" s="205" t="str">
        <f t="shared" si="7"/>
        <v/>
      </c>
      <c r="J8" s="205"/>
      <c r="K8" s="205"/>
    </row>
    <row r="9" ht="14.25" customHeight="1">
      <c r="A9" s="55">
        <v>45664.0</v>
      </c>
      <c r="B9" s="55" t="str">
        <f t="shared" si="8"/>
        <v> </v>
      </c>
      <c r="C9" s="202">
        <f t="shared" si="1"/>
        <v>7</v>
      </c>
      <c r="D9" s="202" t="str">
        <f t="shared" si="2"/>
        <v> </v>
      </c>
      <c r="E9" s="202" t="str">
        <f t="shared" si="3"/>
        <v> </v>
      </c>
      <c r="F9" s="55" t="str">
        <f t="shared" si="4"/>
        <v/>
      </c>
      <c r="G9" s="202" t="str">
        <f t="shared" si="5"/>
        <v/>
      </c>
      <c r="H9" s="202" t="str">
        <f t="shared" si="6"/>
        <v> </v>
      </c>
      <c r="I9" s="205" t="str">
        <f t="shared" si="7"/>
        <v/>
      </c>
      <c r="J9" s="205"/>
      <c r="K9" s="205"/>
    </row>
    <row r="10" ht="14.25" customHeight="1">
      <c r="A10" s="55">
        <v>45665.0</v>
      </c>
      <c r="B10" s="55" t="str">
        <f t="shared" si="8"/>
        <v> </v>
      </c>
      <c r="C10" s="202">
        <f t="shared" si="1"/>
        <v>8</v>
      </c>
      <c r="D10" s="202" t="str">
        <f t="shared" si="2"/>
        <v> </v>
      </c>
      <c r="E10" s="202" t="str">
        <f t="shared" si="3"/>
        <v> </v>
      </c>
      <c r="F10" s="55" t="str">
        <f t="shared" si="4"/>
        <v/>
      </c>
      <c r="G10" s="202" t="str">
        <f t="shared" si="5"/>
        <v/>
      </c>
      <c r="H10" s="202" t="str">
        <f t="shared" si="6"/>
        <v> </v>
      </c>
      <c r="I10" s="205" t="str">
        <f t="shared" si="7"/>
        <v/>
      </c>
      <c r="J10" s="205"/>
      <c r="K10" s="205"/>
    </row>
    <row r="11" ht="14.25" customHeight="1">
      <c r="A11" s="55">
        <v>45666.0</v>
      </c>
      <c r="B11" s="55" t="str">
        <f t="shared" si="8"/>
        <v> </v>
      </c>
      <c r="C11" s="202">
        <f t="shared" si="1"/>
        <v>9</v>
      </c>
      <c r="D11" s="202" t="str">
        <f t="shared" si="2"/>
        <v> </v>
      </c>
      <c r="E11" s="202" t="str">
        <f t="shared" si="3"/>
        <v> </v>
      </c>
      <c r="F11" s="55" t="str">
        <f t="shared" si="4"/>
        <v/>
      </c>
      <c r="G11" s="202" t="str">
        <f t="shared" si="5"/>
        <v/>
      </c>
      <c r="H11" s="202" t="str">
        <f t="shared" si="6"/>
        <v> </v>
      </c>
      <c r="I11" s="205" t="str">
        <f t="shared" si="7"/>
        <v/>
      </c>
      <c r="J11" s="205"/>
      <c r="K11" s="205"/>
    </row>
    <row r="12" ht="14.25" customHeight="1">
      <c r="A12" s="55">
        <v>45667.0</v>
      </c>
      <c r="B12" s="55" t="str">
        <f t="shared" si="8"/>
        <v> </v>
      </c>
      <c r="C12" s="202">
        <f t="shared" si="1"/>
        <v>10</v>
      </c>
      <c r="D12" s="202" t="str">
        <f t="shared" si="2"/>
        <v> </v>
      </c>
      <c r="E12" s="202" t="str">
        <f t="shared" si="3"/>
        <v> </v>
      </c>
      <c r="F12" s="55" t="str">
        <f t="shared" si="4"/>
        <v/>
      </c>
      <c r="G12" s="202" t="str">
        <f t="shared" si="5"/>
        <v/>
      </c>
      <c r="H12" s="202" t="str">
        <f t="shared" si="6"/>
        <v> </v>
      </c>
      <c r="I12" s="205" t="str">
        <f t="shared" si="7"/>
        <v/>
      </c>
      <c r="J12" s="205"/>
      <c r="K12" s="205"/>
    </row>
    <row r="13" ht="14.25" customHeight="1">
      <c r="A13" s="55">
        <v>45668.0</v>
      </c>
      <c r="B13" s="55" t="str">
        <f t="shared" si="8"/>
        <v> </v>
      </c>
      <c r="C13" s="202">
        <f t="shared" si="1"/>
        <v>11</v>
      </c>
      <c r="D13" s="202" t="str">
        <f t="shared" si="2"/>
        <v> </v>
      </c>
      <c r="E13" s="202" t="str">
        <f t="shared" si="3"/>
        <v> </v>
      </c>
      <c r="F13" s="55" t="str">
        <f t="shared" si="4"/>
        <v/>
      </c>
      <c r="G13" s="202" t="str">
        <f t="shared" si="5"/>
        <v/>
      </c>
      <c r="H13" s="202" t="str">
        <f t="shared" si="6"/>
        <v> </v>
      </c>
      <c r="I13" s="205" t="str">
        <f t="shared" si="7"/>
        <v/>
      </c>
      <c r="J13" s="205"/>
      <c r="K13" s="205"/>
    </row>
    <row r="14" ht="14.25" customHeight="1">
      <c r="A14" s="55">
        <v>45669.0</v>
      </c>
      <c r="B14" s="55" t="str">
        <f t="shared" si="8"/>
        <v> </v>
      </c>
      <c r="C14" s="202">
        <f t="shared" si="1"/>
        <v>12</v>
      </c>
      <c r="D14" s="202" t="str">
        <f t="shared" si="2"/>
        <v> </v>
      </c>
      <c r="E14" s="202" t="str">
        <f t="shared" si="3"/>
        <v> </v>
      </c>
      <c r="F14" s="55" t="str">
        <f t="shared" si="4"/>
        <v/>
      </c>
      <c r="G14" s="202" t="str">
        <f t="shared" si="5"/>
        <v/>
      </c>
      <c r="H14" s="202" t="str">
        <f t="shared" si="6"/>
        <v> </v>
      </c>
      <c r="I14" s="205" t="str">
        <f t="shared" si="7"/>
        <v/>
      </c>
      <c r="J14" s="205"/>
      <c r="K14" s="205"/>
    </row>
    <row r="15" ht="14.25" customHeight="1">
      <c r="A15" s="55">
        <v>45670.0</v>
      </c>
      <c r="B15" s="55" t="str">
        <f t="shared" si="8"/>
        <v> </v>
      </c>
      <c r="C15" s="202">
        <f t="shared" si="1"/>
        <v>13</v>
      </c>
      <c r="D15" s="202" t="str">
        <f t="shared" si="2"/>
        <v> </v>
      </c>
      <c r="E15" s="202" t="str">
        <f t="shared" si="3"/>
        <v> </v>
      </c>
      <c r="F15" s="55" t="str">
        <f t="shared" si="4"/>
        <v/>
      </c>
      <c r="G15" s="202" t="str">
        <f t="shared" si="5"/>
        <v/>
      </c>
      <c r="H15" s="202" t="str">
        <f t="shared" si="6"/>
        <v> </v>
      </c>
      <c r="I15" s="205" t="str">
        <f t="shared" si="7"/>
        <v/>
      </c>
      <c r="J15" s="205"/>
      <c r="K15" s="205"/>
    </row>
    <row r="16" ht="14.25" customHeight="1">
      <c r="A16" s="55">
        <v>45671.0</v>
      </c>
      <c r="B16" s="55" t="str">
        <f t="shared" si="8"/>
        <v> </v>
      </c>
      <c r="C16" s="202">
        <f t="shared" si="1"/>
        <v>14</v>
      </c>
      <c r="D16" s="202" t="str">
        <f t="shared" si="2"/>
        <v> </v>
      </c>
      <c r="E16" s="202" t="str">
        <f t="shared" si="3"/>
        <v> </v>
      </c>
      <c r="F16" s="55" t="str">
        <f t="shared" si="4"/>
        <v/>
      </c>
      <c r="G16" s="202" t="str">
        <f t="shared" si="5"/>
        <v/>
      </c>
      <c r="H16" s="202" t="str">
        <f t="shared" si="6"/>
        <v> </v>
      </c>
      <c r="I16" s="205" t="str">
        <f t="shared" si="7"/>
        <v/>
      </c>
      <c r="J16" s="205"/>
      <c r="K16" s="205"/>
    </row>
    <row r="17" ht="14.25" customHeight="1">
      <c r="A17" s="55">
        <v>45672.0</v>
      </c>
      <c r="B17" s="55" t="str">
        <f t="shared" si="8"/>
        <v> </v>
      </c>
      <c r="C17" s="202">
        <f t="shared" si="1"/>
        <v>15</v>
      </c>
      <c r="D17" s="202" t="str">
        <f t="shared" si="2"/>
        <v> </v>
      </c>
      <c r="E17" s="202" t="str">
        <f t="shared" si="3"/>
        <v> </v>
      </c>
      <c r="F17" s="55" t="str">
        <f t="shared" si="4"/>
        <v/>
      </c>
      <c r="G17" s="202" t="str">
        <f t="shared" si="5"/>
        <v/>
      </c>
      <c r="H17" s="202" t="str">
        <f t="shared" si="6"/>
        <v> </v>
      </c>
      <c r="I17" s="205" t="str">
        <f t="shared" si="7"/>
        <v/>
      </c>
      <c r="J17" s="205"/>
      <c r="K17" s="205"/>
    </row>
    <row r="18" ht="14.25" customHeight="1">
      <c r="A18" s="55">
        <v>45673.0</v>
      </c>
      <c r="B18" s="55" t="str">
        <f t="shared" si="8"/>
        <v> </v>
      </c>
      <c r="C18" s="202">
        <f t="shared" si="1"/>
        <v>16</v>
      </c>
      <c r="D18" s="202" t="str">
        <f t="shared" si="2"/>
        <v> </v>
      </c>
      <c r="E18" s="202" t="str">
        <f t="shared" si="3"/>
        <v> </v>
      </c>
      <c r="F18" s="55" t="str">
        <f t="shared" si="4"/>
        <v/>
      </c>
      <c r="G18" s="202" t="str">
        <f t="shared" si="5"/>
        <v/>
      </c>
      <c r="H18" s="202" t="str">
        <f t="shared" si="6"/>
        <v> </v>
      </c>
      <c r="I18" s="205" t="str">
        <f t="shared" si="7"/>
        <v/>
      </c>
      <c r="J18" s="205"/>
      <c r="K18" s="205"/>
    </row>
    <row r="19" ht="14.25" customHeight="1">
      <c r="A19" s="55">
        <v>45674.0</v>
      </c>
      <c r="B19" s="55" t="str">
        <f t="shared" si="8"/>
        <v> </v>
      </c>
      <c r="C19" s="202">
        <f t="shared" si="1"/>
        <v>17</v>
      </c>
      <c r="D19" s="202" t="str">
        <f t="shared" si="2"/>
        <v> </v>
      </c>
      <c r="E19" s="202" t="str">
        <f t="shared" si="3"/>
        <v> </v>
      </c>
      <c r="F19" s="55" t="str">
        <f t="shared" si="4"/>
        <v/>
      </c>
      <c r="G19" s="202" t="str">
        <f t="shared" si="5"/>
        <v/>
      </c>
      <c r="H19" s="202" t="str">
        <f t="shared" si="6"/>
        <v> </v>
      </c>
      <c r="I19" s="205" t="str">
        <f t="shared" si="7"/>
        <v/>
      </c>
      <c r="J19" s="205"/>
      <c r="K19" s="205"/>
    </row>
    <row r="20" ht="14.25" customHeight="1">
      <c r="A20" s="55">
        <v>45675.0</v>
      </c>
      <c r="B20" s="55" t="str">
        <f t="shared" si="8"/>
        <v> </v>
      </c>
      <c r="C20" s="202">
        <f t="shared" si="1"/>
        <v>18</v>
      </c>
      <c r="D20" s="202" t="str">
        <f t="shared" si="2"/>
        <v> </v>
      </c>
      <c r="E20" s="202" t="str">
        <f t="shared" si="3"/>
        <v> </v>
      </c>
      <c r="F20" s="55" t="str">
        <f t="shared" si="4"/>
        <v/>
      </c>
      <c r="G20" s="202" t="str">
        <f t="shared" si="5"/>
        <v/>
      </c>
      <c r="H20" s="202" t="str">
        <f t="shared" si="6"/>
        <v> </v>
      </c>
      <c r="I20" s="205" t="str">
        <f t="shared" si="7"/>
        <v/>
      </c>
      <c r="J20" s="205"/>
      <c r="K20" s="205"/>
    </row>
    <row r="21" ht="14.25" customHeight="1">
      <c r="A21" s="55">
        <v>45676.0</v>
      </c>
      <c r="B21" s="55" t="str">
        <f t="shared" si="8"/>
        <v> </v>
      </c>
      <c r="C21" s="202">
        <f t="shared" si="1"/>
        <v>19</v>
      </c>
      <c r="D21" s="202" t="str">
        <f t="shared" si="2"/>
        <v> </v>
      </c>
      <c r="E21" s="202" t="str">
        <f t="shared" si="3"/>
        <v> </v>
      </c>
      <c r="F21" s="55" t="str">
        <f t="shared" si="4"/>
        <v/>
      </c>
      <c r="G21" s="202" t="str">
        <f t="shared" si="5"/>
        <v/>
      </c>
      <c r="H21" s="202" t="str">
        <f t="shared" si="6"/>
        <v> </v>
      </c>
      <c r="I21" s="205" t="str">
        <f t="shared" si="7"/>
        <v/>
      </c>
      <c r="J21" s="205"/>
      <c r="K21" s="205"/>
    </row>
    <row r="22" ht="14.25" customHeight="1">
      <c r="A22" s="55">
        <v>45677.0</v>
      </c>
      <c r="B22" s="55" t="str">
        <f t="shared" si="8"/>
        <v> </v>
      </c>
      <c r="C22" s="202">
        <f t="shared" si="1"/>
        <v>20</v>
      </c>
      <c r="D22" s="202" t="str">
        <f t="shared" si="2"/>
        <v> </v>
      </c>
      <c r="E22" s="202" t="str">
        <f t="shared" si="3"/>
        <v> </v>
      </c>
      <c r="F22" s="55" t="str">
        <f t="shared" si="4"/>
        <v/>
      </c>
      <c r="G22" s="202" t="str">
        <f t="shared" si="5"/>
        <v/>
      </c>
      <c r="H22" s="202" t="str">
        <f t="shared" si="6"/>
        <v> </v>
      </c>
      <c r="I22" s="205" t="str">
        <f t="shared" si="7"/>
        <v/>
      </c>
      <c r="J22" s="205"/>
      <c r="K22" s="205"/>
    </row>
    <row r="23" ht="14.25" customHeight="1">
      <c r="A23" s="55">
        <v>45678.0</v>
      </c>
      <c r="B23" s="55" t="str">
        <f t="shared" si="8"/>
        <v> </v>
      </c>
      <c r="C23" s="202">
        <f t="shared" si="1"/>
        <v>21</v>
      </c>
      <c r="D23" s="202" t="str">
        <f t="shared" si="2"/>
        <v> </v>
      </c>
      <c r="E23" s="202" t="str">
        <f t="shared" si="3"/>
        <v> </v>
      </c>
      <c r="F23" s="55" t="str">
        <f t="shared" si="4"/>
        <v/>
      </c>
      <c r="G23" s="202" t="str">
        <f t="shared" si="5"/>
        <v/>
      </c>
      <c r="H23" s="202" t="str">
        <f t="shared" si="6"/>
        <v> </v>
      </c>
      <c r="I23" s="205" t="str">
        <f t="shared" si="7"/>
        <v/>
      </c>
      <c r="J23" s="205"/>
      <c r="K23" s="205"/>
    </row>
    <row r="24" ht="14.25" customHeight="1">
      <c r="A24" s="55">
        <v>45679.0</v>
      </c>
      <c r="B24" s="55" t="str">
        <f t="shared" si="8"/>
        <v> </v>
      </c>
      <c r="C24" s="202">
        <f t="shared" si="1"/>
        <v>22</v>
      </c>
      <c r="D24" s="202" t="str">
        <f t="shared" si="2"/>
        <v> </v>
      </c>
      <c r="E24" s="202" t="str">
        <f t="shared" si="3"/>
        <v> </v>
      </c>
      <c r="F24" s="55" t="str">
        <f t="shared" si="4"/>
        <v/>
      </c>
      <c r="G24" s="202" t="str">
        <f t="shared" si="5"/>
        <v/>
      </c>
      <c r="H24" s="202" t="str">
        <f t="shared" si="6"/>
        <v> </v>
      </c>
      <c r="I24" s="205" t="str">
        <f t="shared" si="7"/>
        <v/>
      </c>
      <c r="J24" s="205"/>
      <c r="K24" s="205"/>
    </row>
    <row r="25" ht="14.25" customHeight="1">
      <c r="A25" s="55">
        <v>45680.0</v>
      </c>
      <c r="B25" s="55" t="str">
        <f t="shared" si="8"/>
        <v> </v>
      </c>
      <c r="C25" s="202">
        <f t="shared" si="1"/>
        <v>23</v>
      </c>
      <c r="D25" s="202" t="str">
        <f t="shared" si="2"/>
        <v> </v>
      </c>
      <c r="E25" s="202" t="str">
        <f t="shared" si="3"/>
        <v> </v>
      </c>
      <c r="F25" s="55" t="str">
        <f t="shared" si="4"/>
        <v/>
      </c>
      <c r="G25" s="202" t="str">
        <f t="shared" si="5"/>
        <v/>
      </c>
      <c r="H25" s="202" t="str">
        <f t="shared" si="6"/>
        <v> </v>
      </c>
      <c r="I25" s="205" t="str">
        <f t="shared" si="7"/>
        <v/>
      </c>
      <c r="J25" s="205"/>
      <c r="K25" s="205"/>
    </row>
    <row r="26" ht="14.25" customHeight="1">
      <c r="A26" s="55">
        <v>45681.0</v>
      </c>
      <c r="B26" s="55" t="str">
        <f t="shared" si="8"/>
        <v> </v>
      </c>
      <c r="C26" s="202">
        <f t="shared" si="1"/>
        <v>24</v>
      </c>
      <c r="D26" s="202" t="str">
        <f t="shared" si="2"/>
        <v> </v>
      </c>
      <c r="E26" s="202" t="str">
        <f t="shared" si="3"/>
        <v> </v>
      </c>
      <c r="F26" s="55" t="str">
        <f t="shared" si="4"/>
        <v/>
      </c>
      <c r="G26" s="202" t="str">
        <f t="shared" si="5"/>
        <v/>
      </c>
      <c r="H26" s="202" t="str">
        <f t="shared" si="6"/>
        <v> </v>
      </c>
      <c r="I26" s="205" t="str">
        <f t="shared" si="7"/>
        <v/>
      </c>
      <c r="J26" s="205"/>
      <c r="K26" s="205"/>
    </row>
    <row r="27" ht="14.25" customHeight="1">
      <c r="A27" s="55">
        <v>45682.0</v>
      </c>
      <c r="B27" s="55" t="str">
        <f t="shared" si="8"/>
        <v> </v>
      </c>
      <c r="C27" s="202">
        <f t="shared" si="1"/>
        <v>25</v>
      </c>
      <c r="D27" s="202" t="str">
        <f t="shared" si="2"/>
        <v> </v>
      </c>
      <c r="E27" s="202" t="str">
        <f t="shared" si="3"/>
        <v> </v>
      </c>
      <c r="F27" s="55" t="str">
        <f t="shared" si="4"/>
        <v/>
      </c>
      <c r="G27" s="202" t="str">
        <f t="shared" si="5"/>
        <v/>
      </c>
      <c r="H27" s="202" t="str">
        <f t="shared" si="6"/>
        <v> </v>
      </c>
      <c r="I27" s="205" t="str">
        <f t="shared" si="7"/>
        <v/>
      </c>
      <c r="J27" s="205"/>
      <c r="K27" s="205"/>
    </row>
    <row r="28" ht="14.25" customHeight="1">
      <c r="A28" s="55">
        <v>45683.0</v>
      </c>
      <c r="B28" s="55" t="str">
        <f t="shared" si="8"/>
        <v> </v>
      </c>
      <c r="C28" s="202">
        <f t="shared" si="1"/>
        <v>26</v>
      </c>
      <c r="D28" s="202" t="str">
        <f t="shared" si="2"/>
        <v> </v>
      </c>
      <c r="E28" s="202" t="str">
        <f t="shared" si="3"/>
        <v> </v>
      </c>
      <c r="F28" s="55" t="str">
        <f t="shared" si="4"/>
        <v/>
      </c>
      <c r="G28" s="202" t="str">
        <f t="shared" si="5"/>
        <v/>
      </c>
      <c r="H28" s="202" t="str">
        <f t="shared" si="6"/>
        <v> </v>
      </c>
      <c r="I28" s="205" t="str">
        <f t="shared" si="7"/>
        <v/>
      </c>
      <c r="J28" s="205"/>
      <c r="K28" s="205"/>
    </row>
    <row r="29" ht="14.25" customHeight="1">
      <c r="A29" s="55">
        <v>45684.0</v>
      </c>
      <c r="B29" s="55" t="str">
        <f t="shared" si="8"/>
        <v> </v>
      </c>
      <c r="C29" s="202">
        <f t="shared" si="1"/>
        <v>27</v>
      </c>
      <c r="D29" s="202" t="str">
        <f t="shared" si="2"/>
        <v> </v>
      </c>
      <c r="E29" s="202" t="str">
        <f t="shared" si="3"/>
        <v> </v>
      </c>
      <c r="F29" s="55" t="str">
        <f t="shared" si="4"/>
        <v/>
      </c>
      <c r="G29" s="202" t="str">
        <f t="shared" si="5"/>
        <v/>
      </c>
      <c r="H29" s="202" t="str">
        <f t="shared" si="6"/>
        <v> </v>
      </c>
      <c r="I29" s="205" t="str">
        <f t="shared" si="7"/>
        <v/>
      </c>
      <c r="J29" s="205"/>
      <c r="K29" s="205"/>
    </row>
    <row r="30" ht="14.25" customHeight="1">
      <c r="A30" s="55">
        <v>45685.0</v>
      </c>
      <c r="B30" s="55" t="str">
        <f t="shared" si="8"/>
        <v> </v>
      </c>
      <c r="C30" s="202">
        <f t="shared" si="1"/>
        <v>28</v>
      </c>
      <c r="D30" s="202" t="str">
        <f t="shared" si="2"/>
        <v> </v>
      </c>
      <c r="E30" s="202" t="str">
        <f t="shared" si="3"/>
        <v> </v>
      </c>
      <c r="F30" s="55" t="str">
        <f t="shared" si="4"/>
        <v/>
      </c>
      <c r="G30" s="202" t="str">
        <f t="shared" si="5"/>
        <v/>
      </c>
      <c r="H30" s="202" t="str">
        <f t="shared" si="6"/>
        <v> </v>
      </c>
      <c r="I30" s="205" t="str">
        <f t="shared" si="7"/>
        <v/>
      </c>
      <c r="J30" s="205"/>
      <c r="K30" s="205"/>
    </row>
    <row r="31" ht="14.25" customHeight="1">
      <c r="A31" s="55">
        <v>45686.0</v>
      </c>
      <c r="B31" s="55" t="str">
        <f t="shared" si="8"/>
        <v> </v>
      </c>
      <c r="C31" s="202">
        <f t="shared" si="1"/>
        <v>29</v>
      </c>
      <c r="D31" s="202" t="str">
        <f t="shared" si="2"/>
        <v> </v>
      </c>
      <c r="E31" s="202" t="str">
        <f t="shared" si="3"/>
        <v> </v>
      </c>
      <c r="F31" s="55" t="str">
        <f t="shared" si="4"/>
        <v/>
      </c>
      <c r="G31" s="202" t="str">
        <f t="shared" si="5"/>
        <v/>
      </c>
      <c r="H31" s="202" t="str">
        <f t="shared" si="6"/>
        <v> </v>
      </c>
      <c r="I31" s="205" t="str">
        <f t="shared" si="7"/>
        <v/>
      </c>
      <c r="J31" s="205"/>
      <c r="K31" s="205"/>
    </row>
    <row r="32" ht="14.25" customHeight="1">
      <c r="A32" s="55">
        <v>45687.0</v>
      </c>
      <c r="B32" s="55" t="str">
        <f t="shared" si="8"/>
        <v> </v>
      </c>
      <c r="C32" s="202">
        <f t="shared" si="1"/>
        <v>30</v>
      </c>
      <c r="D32" s="202" t="str">
        <f t="shared" si="2"/>
        <v> </v>
      </c>
      <c r="E32" s="202" t="str">
        <f t="shared" si="3"/>
        <v> </v>
      </c>
      <c r="F32" s="55" t="str">
        <f t="shared" si="4"/>
        <v/>
      </c>
      <c r="G32" s="202" t="str">
        <f t="shared" si="5"/>
        <v/>
      </c>
      <c r="H32" s="202" t="str">
        <f t="shared" si="6"/>
        <v> </v>
      </c>
      <c r="I32" s="205" t="str">
        <f t="shared" si="7"/>
        <v/>
      </c>
      <c r="J32" s="205"/>
      <c r="K32" s="205"/>
    </row>
    <row r="33" ht="14.25" customHeight="1">
      <c r="A33" s="55">
        <v>45688.0</v>
      </c>
      <c r="B33" s="55" t="str">
        <f t="shared" si="8"/>
        <v> </v>
      </c>
      <c r="C33" s="202">
        <f t="shared" si="1"/>
        <v>31</v>
      </c>
      <c r="D33" s="202" t="str">
        <f t="shared" si="2"/>
        <v> </v>
      </c>
      <c r="E33" s="202" t="str">
        <f t="shared" si="3"/>
        <v> </v>
      </c>
      <c r="F33" s="55" t="str">
        <f t="shared" si="4"/>
        <v/>
      </c>
      <c r="G33" s="202" t="str">
        <f t="shared" si="5"/>
        <v/>
      </c>
      <c r="H33" s="202">
        <f t="shared" si="6"/>
        <v>31</v>
      </c>
      <c r="I33" s="205" t="str">
        <f t="shared" si="7"/>
        <v/>
      </c>
      <c r="J33" s="205"/>
      <c r="K33" s="205"/>
    </row>
    <row r="34" ht="14.25" customHeight="1">
      <c r="A34" s="55">
        <v>45689.0</v>
      </c>
      <c r="B34" s="55" t="str">
        <f t="shared" si="8"/>
        <v> </v>
      </c>
      <c r="C34" s="202">
        <f t="shared" si="1"/>
        <v>1</v>
      </c>
      <c r="D34" s="202" t="str">
        <f t="shared" si="2"/>
        <v> </v>
      </c>
      <c r="E34" s="202" t="str">
        <f t="shared" si="3"/>
        <v> </v>
      </c>
      <c r="F34" s="55" t="str">
        <f t="shared" si="4"/>
        <v/>
      </c>
      <c r="G34" s="202" t="str">
        <f t="shared" si="5"/>
        <v/>
      </c>
      <c r="H34" s="202" t="str">
        <f t="shared" si="6"/>
        <v> </v>
      </c>
      <c r="I34" s="205" t="str">
        <f t="shared" si="7"/>
        <v/>
      </c>
      <c r="J34" s="205"/>
      <c r="K34" s="205"/>
    </row>
    <row r="35" ht="14.25" customHeight="1">
      <c r="A35" s="55">
        <v>45690.0</v>
      </c>
      <c r="B35" s="55" t="str">
        <f t="shared" si="8"/>
        <v> </v>
      </c>
      <c r="C35" s="202">
        <f t="shared" si="1"/>
        <v>2</v>
      </c>
      <c r="D35" s="202" t="str">
        <f t="shared" si="2"/>
        <v> </v>
      </c>
      <c r="E35" s="202" t="str">
        <f t="shared" si="3"/>
        <v> </v>
      </c>
      <c r="F35" s="55" t="str">
        <f t="shared" si="4"/>
        <v/>
      </c>
      <c r="G35" s="202" t="str">
        <f t="shared" si="5"/>
        <v/>
      </c>
      <c r="H35" s="202" t="str">
        <f t="shared" si="6"/>
        <v> </v>
      </c>
      <c r="I35" s="205" t="str">
        <f t="shared" si="7"/>
        <v/>
      </c>
      <c r="J35" s="205"/>
      <c r="K35" s="205"/>
    </row>
    <row r="36" ht="14.25" customHeight="1">
      <c r="A36" s="55">
        <v>45691.0</v>
      </c>
      <c r="B36" s="55" t="str">
        <f t="shared" si="8"/>
        <v> </v>
      </c>
      <c r="C36" s="202">
        <f t="shared" si="1"/>
        <v>3</v>
      </c>
      <c r="D36" s="202" t="str">
        <f t="shared" si="2"/>
        <v> </v>
      </c>
      <c r="E36" s="202" t="str">
        <f t="shared" si="3"/>
        <v> </v>
      </c>
      <c r="F36" s="55" t="str">
        <f t="shared" si="4"/>
        <v/>
      </c>
      <c r="G36" s="202" t="str">
        <f t="shared" si="5"/>
        <v/>
      </c>
      <c r="H36" s="202" t="str">
        <f t="shared" si="6"/>
        <v> </v>
      </c>
      <c r="I36" s="205" t="str">
        <f t="shared" si="7"/>
        <v/>
      </c>
      <c r="J36" s="205"/>
      <c r="K36" s="205"/>
    </row>
    <row r="37" ht="14.25" customHeight="1">
      <c r="A37" s="55">
        <v>45692.0</v>
      </c>
      <c r="B37" s="55" t="str">
        <f t="shared" si="8"/>
        <v> </v>
      </c>
      <c r="C37" s="202">
        <f t="shared" si="1"/>
        <v>4</v>
      </c>
      <c r="D37" s="202" t="str">
        <f t="shared" si="2"/>
        <v> </v>
      </c>
      <c r="E37" s="202" t="str">
        <f t="shared" si="3"/>
        <v> </v>
      </c>
      <c r="F37" s="55" t="str">
        <f t="shared" si="4"/>
        <v/>
      </c>
      <c r="G37" s="202" t="str">
        <f t="shared" si="5"/>
        <v/>
      </c>
      <c r="H37" s="202" t="str">
        <f t="shared" si="6"/>
        <v> </v>
      </c>
      <c r="I37" s="205" t="str">
        <f t="shared" si="7"/>
        <v/>
      </c>
      <c r="J37" s="205"/>
      <c r="K37" s="205"/>
    </row>
    <row r="38" ht="14.25" customHeight="1">
      <c r="A38" s="55">
        <v>45693.0</v>
      </c>
      <c r="B38" s="55" t="str">
        <f t="shared" si="8"/>
        <v> </v>
      </c>
      <c r="C38" s="202">
        <f t="shared" si="1"/>
        <v>5</v>
      </c>
      <c r="D38" s="202" t="str">
        <f t="shared" si="2"/>
        <v> </v>
      </c>
      <c r="E38" s="202" t="str">
        <f t="shared" si="3"/>
        <v> </v>
      </c>
      <c r="F38" s="55" t="str">
        <f t="shared" si="4"/>
        <v/>
      </c>
      <c r="G38" s="202" t="str">
        <f t="shared" si="5"/>
        <v/>
      </c>
      <c r="H38" s="202" t="str">
        <f t="shared" si="6"/>
        <v> </v>
      </c>
      <c r="I38" s="205" t="str">
        <f t="shared" si="7"/>
        <v/>
      </c>
      <c r="J38" s="205"/>
      <c r="K38" s="205"/>
    </row>
    <row r="39" ht="14.25" customHeight="1">
      <c r="A39" s="55">
        <v>45694.0</v>
      </c>
      <c r="B39" s="55" t="str">
        <f t="shared" si="8"/>
        <v> </v>
      </c>
      <c r="C39" s="202">
        <f t="shared" si="1"/>
        <v>6</v>
      </c>
      <c r="D39" s="202" t="str">
        <f t="shared" si="2"/>
        <v> </v>
      </c>
      <c r="E39" s="202" t="str">
        <f t="shared" si="3"/>
        <v> </v>
      </c>
      <c r="F39" s="55" t="str">
        <f t="shared" si="4"/>
        <v/>
      </c>
      <c r="G39" s="202" t="str">
        <f t="shared" si="5"/>
        <v/>
      </c>
      <c r="H39" s="202" t="str">
        <f t="shared" si="6"/>
        <v> </v>
      </c>
      <c r="I39" s="205" t="str">
        <f t="shared" si="7"/>
        <v/>
      </c>
      <c r="J39" s="205"/>
      <c r="K39" s="205"/>
    </row>
    <row r="40" ht="14.25" customHeight="1">
      <c r="A40" s="55">
        <v>45695.0</v>
      </c>
      <c r="B40" s="55" t="str">
        <f t="shared" si="8"/>
        <v> </v>
      </c>
      <c r="C40" s="202">
        <f t="shared" si="1"/>
        <v>7</v>
      </c>
      <c r="D40" s="202" t="str">
        <f t="shared" si="2"/>
        <v> </v>
      </c>
      <c r="E40" s="202" t="str">
        <f t="shared" si="3"/>
        <v> </v>
      </c>
      <c r="F40" s="55" t="str">
        <f t="shared" si="4"/>
        <v/>
      </c>
      <c r="G40" s="202" t="str">
        <f t="shared" si="5"/>
        <v/>
      </c>
      <c r="H40" s="202" t="str">
        <f t="shared" si="6"/>
        <v> </v>
      </c>
      <c r="I40" s="205" t="str">
        <f t="shared" si="7"/>
        <v/>
      </c>
      <c r="J40" s="205"/>
      <c r="K40" s="205"/>
    </row>
    <row r="41" ht="14.25" customHeight="1">
      <c r="A41" s="55">
        <v>45696.0</v>
      </c>
      <c r="B41" s="55" t="str">
        <f t="shared" si="8"/>
        <v> </v>
      </c>
      <c r="C41" s="202">
        <f t="shared" si="1"/>
        <v>8</v>
      </c>
      <c r="D41" s="202" t="str">
        <f t="shared" si="2"/>
        <v> </v>
      </c>
      <c r="E41" s="202" t="str">
        <f t="shared" si="3"/>
        <v> </v>
      </c>
      <c r="F41" s="55" t="str">
        <f t="shared" si="4"/>
        <v/>
      </c>
      <c r="G41" s="202" t="str">
        <f t="shared" si="5"/>
        <v/>
      </c>
      <c r="H41" s="202" t="str">
        <f t="shared" si="6"/>
        <v> </v>
      </c>
      <c r="I41" s="205" t="str">
        <f t="shared" si="7"/>
        <v/>
      </c>
      <c r="J41" s="205"/>
      <c r="K41" s="205"/>
    </row>
    <row r="42" ht="14.25" customHeight="1">
      <c r="A42" s="55">
        <v>45697.0</v>
      </c>
      <c r="B42" s="55" t="str">
        <f t="shared" si="8"/>
        <v> </v>
      </c>
      <c r="C42" s="202">
        <f t="shared" si="1"/>
        <v>9</v>
      </c>
      <c r="D42" s="202" t="str">
        <f t="shared" si="2"/>
        <v> </v>
      </c>
      <c r="E42" s="202" t="str">
        <f t="shared" si="3"/>
        <v> </v>
      </c>
      <c r="F42" s="55" t="str">
        <f t="shared" si="4"/>
        <v/>
      </c>
      <c r="G42" s="202" t="str">
        <f t="shared" si="5"/>
        <v/>
      </c>
      <c r="H42" s="202" t="str">
        <f t="shared" si="6"/>
        <v> </v>
      </c>
      <c r="I42" s="205" t="str">
        <f t="shared" si="7"/>
        <v/>
      </c>
      <c r="J42" s="205"/>
      <c r="K42" s="205"/>
    </row>
    <row r="43" ht="14.25" customHeight="1">
      <c r="A43" s="55">
        <v>45698.0</v>
      </c>
      <c r="B43" s="55" t="str">
        <f t="shared" si="8"/>
        <v> </v>
      </c>
      <c r="C43" s="202">
        <f t="shared" si="1"/>
        <v>10</v>
      </c>
      <c r="D43" s="202" t="str">
        <f t="shared" si="2"/>
        <v> </v>
      </c>
      <c r="E43" s="202" t="str">
        <f t="shared" si="3"/>
        <v> </v>
      </c>
      <c r="F43" s="55" t="str">
        <f t="shared" si="4"/>
        <v/>
      </c>
      <c r="G43" s="202" t="str">
        <f t="shared" si="5"/>
        <v/>
      </c>
      <c r="H43" s="202" t="str">
        <f t="shared" si="6"/>
        <v> </v>
      </c>
      <c r="I43" s="205" t="str">
        <f t="shared" si="7"/>
        <v/>
      </c>
      <c r="J43" s="205"/>
      <c r="K43" s="205"/>
    </row>
    <row r="44" ht="14.25" customHeight="1">
      <c r="A44" s="55">
        <v>45699.0</v>
      </c>
      <c r="B44" s="55" t="str">
        <f t="shared" si="8"/>
        <v> </v>
      </c>
      <c r="C44" s="202">
        <f t="shared" si="1"/>
        <v>11</v>
      </c>
      <c r="D44" s="202" t="str">
        <f t="shared" si="2"/>
        <v> </v>
      </c>
      <c r="E44" s="202" t="str">
        <f t="shared" si="3"/>
        <v> </v>
      </c>
      <c r="F44" s="55" t="str">
        <f t="shared" si="4"/>
        <v/>
      </c>
      <c r="G44" s="202" t="str">
        <f t="shared" si="5"/>
        <v/>
      </c>
      <c r="H44" s="202" t="str">
        <f t="shared" si="6"/>
        <v> </v>
      </c>
      <c r="I44" s="205" t="str">
        <f t="shared" si="7"/>
        <v/>
      </c>
      <c r="J44" s="205"/>
      <c r="K44" s="205"/>
    </row>
    <row r="45" ht="14.25" customHeight="1">
      <c r="A45" s="55">
        <v>45700.0</v>
      </c>
      <c r="B45" s="55" t="str">
        <f t="shared" si="8"/>
        <v> </v>
      </c>
      <c r="C45" s="202">
        <f t="shared" si="1"/>
        <v>12</v>
      </c>
      <c r="D45" s="202" t="str">
        <f t="shared" si="2"/>
        <v> </v>
      </c>
      <c r="E45" s="202" t="str">
        <f t="shared" si="3"/>
        <v> </v>
      </c>
      <c r="F45" s="55" t="str">
        <f t="shared" si="4"/>
        <v/>
      </c>
      <c r="G45" s="202" t="str">
        <f t="shared" si="5"/>
        <v/>
      </c>
      <c r="H45" s="202" t="str">
        <f t="shared" si="6"/>
        <v> </v>
      </c>
      <c r="I45" s="205" t="str">
        <f t="shared" si="7"/>
        <v/>
      </c>
      <c r="J45" s="205"/>
      <c r="K45" s="205"/>
    </row>
    <row r="46" ht="14.25" customHeight="1">
      <c r="A46" s="55">
        <v>45701.0</v>
      </c>
      <c r="B46" s="55" t="str">
        <f t="shared" si="8"/>
        <v> </v>
      </c>
      <c r="C46" s="202">
        <f t="shared" si="1"/>
        <v>13</v>
      </c>
      <c r="D46" s="202" t="str">
        <f t="shared" si="2"/>
        <v> </v>
      </c>
      <c r="E46" s="202" t="str">
        <f t="shared" si="3"/>
        <v> </v>
      </c>
      <c r="F46" s="55" t="str">
        <f t="shared" si="4"/>
        <v/>
      </c>
      <c r="G46" s="202" t="str">
        <f t="shared" si="5"/>
        <v/>
      </c>
      <c r="H46" s="202" t="str">
        <f t="shared" si="6"/>
        <v> </v>
      </c>
      <c r="I46" s="205" t="str">
        <f t="shared" si="7"/>
        <v/>
      </c>
      <c r="J46" s="205"/>
      <c r="K46" s="205"/>
    </row>
    <row r="47" ht="14.25" customHeight="1">
      <c r="A47" s="55">
        <v>45702.0</v>
      </c>
      <c r="B47" s="55" t="str">
        <f t="shared" si="8"/>
        <v> </v>
      </c>
      <c r="C47" s="202">
        <f t="shared" si="1"/>
        <v>14</v>
      </c>
      <c r="D47" s="202" t="str">
        <f t="shared" si="2"/>
        <v> </v>
      </c>
      <c r="E47" s="202" t="str">
        <f t="shared" si="3"/>
        <v> </v>
      </c>
      <c r="F47" s="55" t="str">
        <f t="shared" si="4"/>
        <v/>
      </c>
      <c r="G47" s="202" t="str">
        <f t="shared" si="5"/>
        <v/>
      </c>
      <c r="H47" s="202" t="str">
        <f t="shared" si="6"/>
        <v> </v>
      </c>
      <c r="I47" s="205" t="str">
        <f t="shared" si="7"/>
        <v/>
      </c>
      <c r="J47" s="205"/>
      <c r="K47" s="205"/>
    </row>
    <row r="48" ht="14.25" customHeight="1">
      <c r="A48" s="55">
        <v>45703.0</v>
      </c>
      <c r="B48" s="55" t="str">
        <f t="shared" si="8"/>
        <v> </v>
      </c>
      <c r="C48" s="202">
        <f t="shared" si="1"/>
        <v>15</v>
      </c>
      <c r="D48" s="202" t="str">
        <f t="shared" si="2"/>
        <v> </v>
      </c>
      <c r="E48" s="202" t="str">
        <f t="shared" si="3"/>
        <v> </v>
      </c>
      <c r="F48" s="55" t="str">
        <f t="shared" si="4"/>
        <v/>
      </c>
      <c r="G48" s="202" t="str">
        <f t="shared" si="5"/>
        <v/>
      </c>
      <c r="H48" s="202" t="str">
        <f t="shared" si="6"/>
        <v> </v>
      </c>
      <c r="I48" s="205" t="str">
        <f t="shared" si="7"/>
        <v/>
      </c>
      <c r="J48" s="205"/>
      <c r="K48" s="205"/>
    </row>
    <row r="49" ht="14.25" customHeight="1">
      <c r="A49" s="55">
        <v>45704.0</v>
      </c>
      <c r="B49" s="55" t="str">
        <f t="shared" si="8"/>
        <v> </v>
      </c>
      <c r="C49" s="202">
        <f t="shared" si="1"/>
        <v>16</v>
      </c>
      <c r="D49" s="202" t="str">
        <f t="shared" si="2"/>
        <v> </v>
      </c>
      <c r="E49" s="202" t="str">
        <f t="shared" si="3"/>
        <v> </v>
      </c>
      <c r="F49" s="55" t="str">
        <f t="shared" si="4"/>
        <v/>
      </c>
      <c r="G49" s="202" t="str">
        <f t="shared" si="5"/>
        <v/>
      </c>
      <c r="H49" s="202" t="str">
        <f t="shared" si="6"/>
        <v> </v>
      </c>
      <c r="I49" s="205" t="str">
        <f t="shared" si="7"/>
        <v/>
      </c>
      <c r="J49" s="205"/>
      <c r="K49" s="205"/>
    </row>
    <row r="50" ht="14.25" customHeight="1">
      <c r="A50" s="55">
        <v>45705.0</v>
      </c>
      <c r="B50" s="55" t="str">
        <f t="shared" si="8"/>
        <v> </v>
      </c>
      <c r="C50" s="202">
        <f t="shared" si="1"/>
        <v>17</v>
      </c>
      <c r="D50" s="202" t="str">
        <f t="shared" si="2"/>
        <v> </v>
      </c>
      <c r="E50" s="202" t="str">
        <f t="shared" si="3"/>
        <v> </v>
      </c>
      <c r="F50" s="55" t="str">
        <f t="shared" si="4"/>
        <v/>
      </c>
      <c r="G50" s="202" t="str">
        <f t="shared" si="5"/>
        <v/>
      </c>
      <c r="H50" s="202" t="str">
        <f t="shared" si="6"/>
        <v> </v>
      </c>
      <c r="I50" s="205" t="str">
        <f t="shared" si="7"/>
        <v/>
      </c>
      <c r="J50" s="205"/>
      <c r="K50" s="205"/>
    </row>
    <row r="51" ht="14.25" customHeight="1">
      <c r="A51" s="55">
        <v>45706.0</v>
      </c>
      <c r="B51" s="55" t="str">
        <f t="shared" si="8"/>
        <v> </v>
      </c>
      <c r="C51" s="202">
        <f t="shared" si="1"/>
        <v>18</v>
      </c>
      <c r="D51" s="202" t="str">
        <f t="shared" si="2"/>
        <v> </v>
      </c>
      <c r="E51" s="202" t="str">
        <f t="shared" si="3"/>
        <v> </v>
      </c>
      <c r="F51" s="55" t="str">
        <f t="shared" si="4"/>
        <v/>
      </c>
      <c r="G51" s="202" t="str">
        <f t="shared" si="5"/>
        <v/>
      </c>
      <c r="H51" s="202" t="str">
        <f t="shared" si="6"/>
        <v> </v>
      </c>
      <c r="I51" s="205" t="str">
        <f t="shared" si="7"/>
        <v/>
      </c>
      <c r="J51" s="205"/>
      <c r="K51" s="205"/>
    </row>
    <row r="52" ht="14.25" customHeight="1">
      <c r="A52" s="55">
        <v>45707.0</v>
      </c>
      <c r="B52" s="55" t="str">
        <f t="shared" si="8"/>
        <v> </v>
      </c>
      <c r="C52" s="202">
        <f t="shared" si="1"/>
        <v>19</v>
      </c>
      <c r="D52" s="202" t="str">
        <f t="shared" si="2"/>
        <v> </v>
      </c>
      <c r="E52" s="202" t="str">
        <f t="shared" si="3"/>
        <v> </v>
      </c>
      <c r="F52" s="55" t="str">
        <f t="shared" si="4"/>
        <v/>
      </c>
      <c r="G52" s="202" t="str">
        <f t="shared" si="5"/>
        <v/>
      </c>
      <c r="H52" s="202" t="str">
        <f t="shared" si="6"/>
        <v> </v>
      </c>
      <c r="I52" s="205" t="str">
        <f t="shared" si="7"/>
        <v/>
      </c>
      <c r="J52" s="205"/>
      <c r="K52" s="205"/>
    </row>
    <row r="53" ht="14.25" customHeight="1">
      <c r="A53" s="55">
        <v>45708.0</v>
      </c>
      <c r="B53" s="55" t="str">
        <f t="shared" si="8"/>
        <v> </v>
      </c>
      <c r="C53" s="202">
        <f t="shared" si="1"/>
        <v>20</v>
      </c>
      <c r="D53" s="202" t="str">
        <f t="shared" si="2"/>
        <v> </v>
      </c>
      <c r="E53" s="202" t="str">
        <f t="shared" si="3"/>
        <v> </v>
      </c>
      <c r="F53" s="55" t="str">
        <f t="shared" si="4"/>
        <v/>
      </c>
      <c r="G53" s="202" t="str">
        <f t="shared" si="5"/>
        <v/>
      </c>
      <c r="H53" s="202" t="str">
        <f t="shared" si="6"/>
        <v> </v>
      </c>
      <c r="I53" s="205" t="str">
        <f t="shared" si="7"/>
        <v/>
      </c>
      <c r="J53" s="205"/>
      <c r="K53" s="205"/>
    </row>
    <row r="54" ht="14.25" customHeight="1">
      <c r="A54" s="55">
        <v>45709.0</v>
      </c>
      <c r="B54" s="55" t="str">
        <f t="shared" si="8"/>
        <v> </v>
      </c>
      <c r="C54" s="202">
        <f t="shared" si="1"/>
        <v>21</v>
      </c>
      <c r="D54" s="202" t="str">
        <f t="shared" si="2"/>
        <v> </v>
      </c>
      <c r="E54" s="202" t="str">
        <f t="shared" si="3"/>
        <v> </v>
      </c>
      <c r="F54" s="55" t="str">
        <f t="shared" si="4"/>
        <v/>
      </c>
      <c r="G54" s="202" t="str">
        <f t="shared" si="5"/>
        <v/>
      </c>
      <c r="H54" s="202" t="str">
        <f t="shared" si="6"/>
        <v> </v>
      </c>
      <c r="I54" s="205" t="str">
        <f t="shared" si="7"/>
        <v/>
      </c>
      <c r="J54" s="205"/>
      <c r="K54" s="205"/>
    </row>
    <row r="55" ht="14.25" customHeight="1">
      <c r="A55" s="55">
        <v>45710.0</v>
      </c>
      <c r="B55" s="55" t="str">
        <f t="shared" si="8"/>
        <v> </v>
      </c>
      <c r="C55" s="202">
        <f t="shared" si="1"/>
        <v>22</v>
      </c>
      <c r="D55" s="202" t="str">
        <f t="shared" si="2"/>
        <v> </v>
      </c>
      <c r="E55" s="202" t="str">
        <f t="shared" si="3"/>
        <v> </v>
      </c>
      <c r="F55" s="55" t="str">
        <f t="shared" si="4"/>
        <v/>
      </c>
      <c r="G55" s="202" t="str">
        <f t="shared" si="5"/>
        <v/>
      </c>
      <c r="H55" s="202" t="str">
        <f t="shared" si="6"/>
        <v> </v>
      </c>
      <c r="I55" s="205" t="str">
        <f t="shared" si="7"/>
        <v/>
      </c>
      <c r="J55" s="205"/>
      <c r="K55" s="205"/>
    </row>
    <row r="56" ht="14.25" customHeight="1">
      <c r="A56" s="55">
        <v>45711.0</v>
      </c>
      <c r="B56" s="55" t="str">
        <f t="shared" si="8"/>
        <v> </v>
      </c>
      <c r="C56" s="202">
        <f t="shared" si="1"/>
        <v>23</v>
      </c>
      <c r="D56" s="202" t="str">
        <f t="shared" si="2"/>
        <v> </v>
      </c>
      <c r="E56" s="202" t="str">
        <f t="shared" si="3"/>
        <v> </v>
      </c>
      <c r="F56" s="55" t="str">
        <f t="shared" si="4"/>
        <v/>
      </c>
      <c r="G56" s="202" t="str">
        <f t="shared" si="5"/>
        <v/>
      </c>
      <c r="H56" s="202" t="str">
        <f t="shared" si="6"/>
        <v> </v>
      </c>
      <c r="I56" s="205" t="str">
        <f t="shared" si="7"/>
        <v/>
      </c>
      <c r="J56" s="205"/>
      <c r="K56" s="205"/>
    </row>
    <row r="57" ht="14.25" customHeight="1">
      <c r="A57" s="55">
        <v>45712.0</v>
      </c>
      <c r="B57" s="55" t="str">
        <f t="shared" si="8"/>
        <v> </v>
      </c>
      <c r="C57" s="202">
        <f t="shared" si="1"/>
        <v>24</v>
      </c>
      <c r="D57" s="202" t="str">
        <f t="shared" si="2"/>
        <v> </v>
      </c>
      <c r="E57" s="202" t="str">
        <f t="shared" si="3"/>
        <v> </v>
      </c>
      <c r="F57" s="55" t="str">
        <f t="shared" si="4"/>
        <v/>
      </c>
      <c r="G57" s="202" t="str">
        <f t="shared" si="5"/>
        <v/>
      </c>
      <c r="H57" s="202" t="str">
        <f t="shared" si="6"/>
        <v> </v>
      </c>
      <c r="I57" s="205" t="str">
        <f t="shared" si="7"/>
        <v/>
      </c>
      <c r="J57" s="205"/>
      <c r="K57" s="205"/>
    </row>
    <row r="58" ht="14.25" customHeight="1">
      <c r="A58" s="55">
        <v>45713.0</v>
      </c>
      <c r="B58" s="55" t="str">
        <f t="shared" si="8"/>
        <v> </v>
      </c>
      <c r="C58" s="202">
        <f t="shared" si="1"/>
        <v>25</v>
      </c>
      <c r="D58" s="202" t="str">
        <f t="shared" si="2"/>
        <v> </v>
      </c>
      <c r="E58" s="202" t="str">
        <f t="shared" si="3"/>
        <v> </v>
      </c>
      <c r="F58" s="55" t="str">
        <f t="shared" si="4"/>
        <v/>
      </c>
      <c r="G58" s="202" t="str">
        <f t="shared" si="5"/>
        <v/>
      </c>
      <c r="H58" s="202" t="str">
        <f t="shared" si="6"/>
        <v> </v>
      </c>
      <c r="I58" s="205" t="str">
        <f t="shared" si="7"/>
        <v/>
      </c>
      <c r="J58" s="205"/>
      <c r="K58" s="205"/>
    </row>
    <row r="59" ht="14.25" customHeight="1">
      <c r="A59" s="55">
        <v>45714.0</v>
      </c>
      <c r="B59" s="55" t="str">
        <f t="shared" si="8"/>
        <v> </v>
      </c>
      <c r="C59" s="202">
        <f t="shared" si="1"/>
        <v>26</v>
      </c>
      <c r="D59" s="202" t="str">
        <f t="shared" si="2"/>
        <v> </v>
      </c>
      <c r="E59" s="202" t="str">
        <f t="shared" si="3"/>
        <v> </v>
      </c>
      <c r="F59" s="55" t="str">
        <f t="shared" si="4"/>
        <v/>
      </c>
      <c r="G59" s="202" t="str">
        <f t="shared" si="5"/>
        <v/>
      </c>
      <c r="H59" s="202" t="str">
        <f t="shared" si="6"/>
        <v> </v>
      </c>
      <c r="I59" s="205" t="str">
        <f t="shared" si="7"/>
        <v/>
      </c>
      <c r="J59" s="205"/>
      <c r="K59" s="205"/>
    </row>
    <row r="60" ht="14.25" customHeight="1">
      <c r="A60" s="55">
        <v>45715.0</v>
      </c>
      <c r="B60" s="55" t="str">
        <f t="shared" si="8"/>
        <v> </v>
      </c>
      <c r="C60" s="202">
        <f t="shared" si="1"/>
        <v>27</v>
      </c>
      <c r="D60" s="202" t="str">
        <f t="shared" si="2"/>
        <v> </v>
      </c>
      <c r="E60" s="202" t="str">
        <f t="shared" si="3"/>
        <v> </v>
      </c>
      <c r="F60" s="55" t="str">
        <f t="shared" si="4"/>
        <v/>
      </c>
      <c r="G60" s="202" t="str">
        <f t="shared" si="5"/>
        <v/>
      </c>
      <c r="H60" s="202" t="str">
        <f t="shared" si="6"/>
        <v> </v>
      </c>
      <c r="I60" s="205" t="str">
        <f t="shared" si="7"/>
        <v/>
      </c>
      <c r="J60" s="205"/>
      <c r="K60" s="205"/>
    </row>
    <row r="61" ht="14.25" customHeight="1">
      <c r="A61" s="55">
        <v>45716.0</v>
      </c>
      <c r="B61" s="55" t="str">
        <f t="shared" si="8"/>
        <v> </v>
      </c>
      <c r="C61" s="202">
        <f t="shared" si="1"/>
        <v>28</v>
      </c>
      <c r="D61" s="202" t="str">
        <f t="shared" si="2"/>
        <v> </v>
      </c>
      <c r="E61" s="202" t="str">
        <f t="shared" si="3"/>
        <v> </v>
      </c>
      <c r="F61" s="55" t="str">
        <f t="shared" si="4"/>
        <v/>
      </c>
      <c r="G61" s="202" t="str">
        <f t="shared" si="5"/>
        <v/>
      </c>
      <c r="H61" s="202">
        <f t="shared" si="6"/>
        <v>28</v>
      </c>
      <c r="I61" s="205" t="str">
        <f t="shared" si="7"/>
        <v/>
      </c>
      <c r="J61" s="205"/>
      <c r="K61" s="205"/>
    </row>
    <row r="62" ht="14.25" customHeight="1">
      <c r="A62" s="55">
        <v>45717.0</v>
      </c>
      <c r="B62" s="55" t="str">
        <f t="shared" si="8"/>
        <v> </v>
      </c>
      <c r="C62" s="202">
        <f t="shared" si="1"/>
        <v>1</v>
      </c>
      <c r="D62" s="202" t="str">
        <f t="shared" si="2"/>
        <v> </v>
      </c>
      <c r="E62" s="202" t="str">
        <f t="shared" si="3"/>
        <v> </v>
      </c>
      <c r="F62" s="55" t="str">
        <f t="shared" si="4"/>
        <v/>
      </c>
      <c r="G62" s="202" t="str">
        <f t="shared" si="5"/>
        <v/>
      </c>
      <c r="H62" s="202" t="str">
        <f t="shared" si="6"/>
        <v> </v>
      </c>
      <c r="I62" s="205" t="str">
        <f t="shared" si="7"/>
        <v/>
      </c>
      <c r="J62" s="205"/>
      <c r="K62" s="205"/>
    </row>
    <row r="63" ht="14.25" customHeight="1">
      <c r="A63" s="55">
        <v>45718.0</v>
      </c>
      <c r="B63" s="55" t="str">
        <f t="shared" si="8"/>
        <v> </v>
      </c>
      <c r="C63" s="202">
        <f t="shared" si="1"/>
        <v>2</v>
      </c>
      <c r="D63" s="202" t="str">
        <f t="shared" si="2"/>
        <v> </v>
      </c>
      <c r="E63" s="202" t="str">
        <f t="shared" si="3"/>
        <v> </v>
      </c>
      <c r="F63" s="55" t="str">
        <f t="shared" si="4"/>
        <v/>
      </c>
      <c r="G63" s="202" t="str">
        <f t="shared" si="5"/>
        <v/>
      </c>
      <c r="H63" s="202" t="str">
        <f t="shared" si="6"/>
        <v> </v>
      </c>
      <c r="I63" s="205" t="str">
        <f t="shared" si="7"/>
        <v/>
      </c>
      <c r="J63" s="205"/>
      <c r="K63" s="205"/>
    </row>
    <row r="64" ht="14.25" customHeight="1">
      <c r="A64" s="55">
        <v>45719.0</v>
      </c>
      <c r="B64" s="55" t="str">
        <f t="shared" si="8"/>
        <v> </v>
      </c>
      <c r="C64" s="202">
        <f t="shared" si="1"/>
        <v>3</v>
      </c>
      <c r="D64" s="202" t="str">
        <f t="shared" si="2"/>
        <v> </v>
      </c>
      <c r="E64" s="202" t="str">
        <f t="shared" si="3"/>
        <v> </v>
      </c>
      <c r="F64" s="55" t="str">
        <f t="shared" si="4"/>
        <v/>
      </c>
      <c r="G64" s="202" t="str">
        <f t="shared" si="5"/>
        <v/>
      </c>
      <c r="H64" s="202" t="str">
        <f t="shared" si="6"/>
        <v> </v>
      </c>
      <c r="I64" s="205" t="str">
        <f t="shared" si="7"/>
        <v/>
      </c>
      <c r="J64" s="205"/>
      <c r="K64" s="205"/>
    </row>
    <row r="65" ht="14.25" customHeight="1">
      <c r="A65" s="55">
        <v>45720.0</v>
      </c>
      <c r="B65" s="55" t="str">
        <f t="shared" si="8"/>
        <v> </v>
      </c>
      <c r="C65" s="202">
        <f t="shared" si="1"/>
        <v>4</v>
      </c>
      <c r="D65" s="202" t="str">
        <f t="shared" si="2"/>
        <v> </v>
      </c>
      <c r="E65" s="202" t="str">
        <f t="shared" si="3"/>
        <v> </v>
      </c>
      <c r="F65" s="55" t="str">
        <f t="shared" si="4"/>
        <v/>
      </c>
      <c r="G65" s="202" t="str">
        <f t="shared" si="5"/>
        <v/>
      </c>
      <c r="H65" s="202" t="str">
        <f t="shared" si="6"/>
        <v> </v>
      </c>
      <c r="I65" s="205" t="str">
        <f t="shared" si="7"/>
        <v/>
      </c>
      <c r="J65" s="205"/>
      <c r="K65" s="205"/>
    </row>
    <row r="66" ht="14.25" customHeight="1">
      <c r="A66" s="55">
        <v>45721.0</v>
      </c>
      <c r="B66" s="55" t="str">
        <f t="shared" si="8"/>
        <v> </v>
      </c>
      <c r="C66" s="202">
        <f t="shared" si="1"/>
        <v>5</v>
      </c>
      <c r="D66" s="202" t="str">
        <f t="shared" si="2"/>
        <v> </v>
      </c>
      <c r="E66" s="202" t="str">
        <f t="shared" si="3"/>
        <v> </v>
      </c>
      <c r="F66" s="55" t="str">
        <f t="shared" si="4"/>
        <v/>
      </c>
      <c r="G66" s="202" t="str">
        <f t="shared" si="5"/>
        <v/>
      </c>
      <c r="H66" s="202" t="str">
        <f t="shared" si="6"/>
        <v> </v>
      </c>
      <c r="I66" s="205" t="str">
        <f t="shared" si="7"/>
        <v/>
      </c>
      <c r="J66" s="205"/>
      <c r="K66" s="205"/>
    </row>
    <row r="67" ht="14.25" customHeight="1">
      <c r="A67" s="55">
        <v>45722.0</v>
      </c>
      <c r="B67" s="55" t="str">
        <f t="shared" si="8"/>
        <v> </v>
      </c>
      <c r="C67" s="202">
        <f t="shared" si="1"/>
        <v>6</v>
      </c>
      <c r="D67" s="202" t="str">
        <f t="shared" si="2"/>
        <v> </v>
      </c>
      <c r="E67" s="202" t="str">
        <f t="shared" si="3"/>
        <v> </v>
      </c>
      <c r="F67" s="55" t="str">
        <f t="shared" si="4"/>
        <v/>
      </c>
      <c r="G67" s="202" t="str">
        <f t="shared" si="5"/>
        <v/>
      </c>
      <c r="H67" s="202" t="str">
        <f t="shared" si="6"/>
        <v> </v>
      </c>
      <c r="I67" s="205" t="str">
        <f t="shared" si="7"/>
        <v/>
      </c>
      <c r="J67" s="205"/>
      <c r="K67" s="205"/>
    </row>
    <row r="68" ht="14.25" customHeight="1">
      <c r="A68" s="55">
        <v>45723.0</v>
      </c>
      <c r="B68" s="55" t="str">
        <f t="shared" si="8"/>
        <v> </v>
      </c>
      <c r="C68" s="202">
        <f t="shared" si="1"/>
        <v>7</v>
      </c>
      <c r="D68" s="202" t="str">
        <f t="shared" si="2"/>
        <v> </v>
      </c>
      <c r="E68" s="202" t="str">
        <f t="shared" si="3"/>
        <v> </v>
      </c>
      <c r="F68" s="55" t="str">
        <f t="shared" si="4"/>
        <v/>
      </c>
      <c r="G68" s="202" t="str">
        <f t="shared" si="5"/>
        <v/>
      </c>
      <c r="H68" s="202" t="str">
        <f t="shared" si="6"/>
        <v> </v>
      </c>
      <c r="I68" s="205" t="str">
        <f t="shared" si="7"/>
        <v/>
      </c>
      <c r="J68" s="205"/>
      <c r="K68" s="205"/>
    </row>
    <row r="69" ht="14.25" customHeight="1">
      <c r="A69" s="55">
        <v>45724.0</v>
      </c>
      <c r="B69" s="55" t="str">
        <f t="shared" si="8"/>
        <v> </v>
      </c>
      <c r="C69" s="202">
        <f t="shared" si="1"/>
        <v>8</v>
      </c>
      <c r="D69" s="202" t="str">
        <f t="shared" si="2"/>
        <v> </v>
      </c>
      <c r="E69" s="202" t="str">
        <f t="shared" si="3"/>
        <v> </v>
      </c>
      <c r="F69" s="55" t="str">
        <f t="shared" si="4"/>
        <v/>
      </c>
      <c r="G69" s="202" t="str">
        <f t="shared" si="5"/>
        <v/>
      </c>
      <c r="H69" s="202" t="str">
        <f t="shared" si="6"/>
        <v> </v>
      </c>
      <c r="I69" s="205" t="str">
        <f t="shared" si="7"/>
        <v/>
      </c>
      <c r="J69" s="205"/>
      <c r="K69" s="205"/>
    </row>
    <row r="70" ht="14.25" customHeight="1">
      <c r="A70" s="55">
        <v>45725.0</v>
      </c>
      <c r="B70" s="55" t="str">
        <f t="shared" si="8"/>
        <v> </v>
      </c>
      <c r="C70" s="202">
        <f t="shared" si="1"/>
        <v>9</v>
      </c>
      <c r="D70" s="202" t="str">
        <f t="shared" si="2"/>
        <v> </v>
      </c>
      <c r="E70" s="202" t="str">
        <f t="shared" si="3"/>
        <v> </v>
      </c>
      <c r="F70" s="55" t="str">
        <f t="shared" si="4"/>
        <v/>
      </c>
      <c r="G70" s="202" t="str">
        <f t="shared" si="5"/>
        <v/>
      </c>
      <c r="H70" s="202" t="str">
        <f t="shared" si="6"/>
        <v> </v>
      </c>
      <c r="I70" s="205" t="str">
        <f t="shared" si="7"/>
        <v/>
      </c>
      <c r="J70" s="205"/>
      <c r="K70" s="205"/>
    </row>
    <row r="71" ht="14.25" customHeight="1">
      <c r="A71" s="55">
        <v>45726.0</v>
      </c>
      <c r="B71" s="55" t="str">
        <f t="shared" si="8"/>
        <v> </v>
      </c>
      <c r="C71" s="202">
        <f t="shared" si="1"/>
        <v>10</v>
      </c>
      <c r="D71" s="202" t="str">
        <f t="shared" si="2"/>
        <v> </v>
      </c>
      <c r="E71" s="202" t="str">
        <f t="shared" si="3"/>
        <v> </v>
      </c>
      <c r="F71" s="55" t="str">
        <f t="shared" si="4"/>
        <v/>
      </c>
      <c r="G71" s="202" t="str">
        <f t="shared" si="5"/>
        <v/>
      </c>
      <c r="H71" s="202" t="str">
        <f t="shared" si="6"/>
        <v> </v>
      </c>
      <c r="I71" s="205" t="str">
        <f t="shared" si="7"/>
        <v/>
      </c>
      <c r="J71" s="205"/>
      <c r="K71" s="205"/>
    </row>
    <row r="72" ht="14.25" customHeight="1">
      <c r="A72" s="55">
        <v>45727.0</v>
      </c>
      <c r="B72" s="55" t="str">
        <f t="shared" si="8"/>
        <v> </v>
      </c>
      <c r="C72" s="202">
        <f t="shared" si="1"/>
        <v>11</v>
      </c>
      <c r="D72" s="202" t="str">
        <f t="shared" si="2"/>
        <v> </v>
      </c>
      <c r="E72" s="202" t="str">
        <f t="shared" si="3"/>
        <v> </v>
      </c>
      <c r="F72" s="55" t="str">
        <f t="shared" si="4"/>
        <v/>
      </c>
      <c r="G72" s="202" t="str">
        <f t="shared" si="5"/>
        <v/>
      </c>
      <c r="H72" s="202" t="str">
        <f t="shared" si="6"/>
        <v> </v>
      </c>
      <c r="I72" s="205" t="str">
        <f t="shared" si="7"/>
        <v/>
      </c>
      <c r="J72" s="205"/>
      <c r="K72" s="205"/>
    </row>
    <row r="73" ht="14.25" customHeight="1">
      <c r="A73" s="55">
        <v>45728.0</v>
      </c>
      <c r="B73" s="55" t="str">
        <f t="shared" si="8"/>
        <v> </v>
      </c>
      <c r="C73" s="202">
        <f t="shared" si="1"/>
        <v>12</v>
      </c>
      <c r="D73" s="202" t="str">
        <f t="shared" si="2"/>
        <v> </v>
      </c>
      <c r="E73" s="202" t="str">
        <f t="shared" si="3"/>
        <v> </v>
      </c>
      <c r="F73" s="55" t="str">
        <f t="shared" si="4"/>
        <v/>
      </c>
      <c r="G73" s="202" t="str">
        <f t="shared" si="5"/>
        <v/>
      </c>
      <c r="H73" s="202" t="str">
        <f t="shared" si="6"/>
        <v> </v>
      </c>
      <c r="I73" s="205" t="str">
        <f t="shared" si="7"/>
        <v/>
      </c>
      <c r="J73" s="205"/>
      <c r="K73" s="205"/>
    </row>
    <row r="74" ht="14.25" customHeight="1">
      <c r="A74" s="55">
        <v>45729.0</v>
      </c>
      <c r="B74" s="55" t="str">
        <f t="shared" si="8"/>
        <v> </v>
      </c>
      <c r="C74" s="202">
        <f t="shared" si="1"/>
        <v>13</v>
      </c>
      <c r="D74" s="202" t="str">
        <f t="shared" si="2"/>
        <v> </v>
      </c>
      <c r="E74" s="202" t="str">
        <f t="shared" si="3"/>
        <v> </v>
      </c>
      <c r="F74" s="55" t="str">
        <f t="shared" si="4"/>
        <v/>
      </c>
      <c r="G74" s="202" t="str">
        <f t="shared" si="5"/>
        <v/>
      </c>
      <c r="H74" s="202" t="str">
        <f t="shared" si="6"/>
        <v> </v>
      </c>
      <c r="I74" s="205" t="str">
        <f t="shared" si="7"/>
        <v/>
      </c>
      <c r="J74" s="205"/>
      <c r="K74" s="205"/>
    </row>
    <row r="75" ht="14.25" customHeight="1">
      <c r="A75" s="55">
        <v>45730.0</v>
      </c>
      <c r="B75" s="55" t="str">
        <f t="shared" si="8"/>
        <v> </v>
      </c>
      <c r="C75" s="202">
        <f t="shared" si="1"/>
        <v>14</v>
      </c>
      <c r="D75" s="202" t="str">
        <f t="shared" si="2"/>
        <v> </v>
      </c>
      <c r="E75" s="202" t="str">
        <f t="shared" si="3"/>
        <v> </v>
      </c>
      <c r="F75" s="55" t="str">
        <f t="shared" si="4"/>
        <v/>
      </c>
      <c r="G75" s="202" t="str">
        <f t="shared" si="5"/>
        <v/>
      </c>
      <c r="H75" s="202" t="str">
        <f t="shared" si="6"/>
        <v> </v>
      </c>
      <c r="I75" s="205" t="str">
        <f t="shared" si="7"/>
        <v/>
      </c>
      <c r="J75" s="205"/>
      <c r="K75" s="205"/>
    </row>
    <row r="76" ht="14.25" customHeight="1">
      <c r="A76" s="55">
        <v>45731.0</v>
      </c>
      <c r="B76" s="55" t="str">
        <f t="shared" si="8"/>
        <v> </v>
      </c>
      <c r="C76" s="202">
        <f t="shared" si="1"/>
        <v>15</v>
      </c>
      <c r="D76" s="202" t="str">
        <f t="shared" si="2"/>
        <v> </v>
      </c>
      <c r="E76" s="202" t="str">
        <f t="shared" si="3"/>
        <v> </v>
      </c>
      <c r="F76" s="55" t="str">
        <f t="shared" si="4"/>
        <v/>
      </c>
      <c r="G76" s="202" t="str">
        <f t="shared" si="5"/>
        <v/>
      </c>
      <c r="H76" s="202" t="str">
        <f t="shared" si="6"/>
        <v> </v>
      </c>
      <c r="I76" s="205" t="str">
        <f t="shared" si="7"/>
        <v/>
      </c>
      <c r="J76" s="205"/>
      <c r="K76" s="205"/>
    </row>
    <row r="77" ht="14.25" customHeight="1">
      <c r="A77" s="55">
        <v>45732.0</v>
      </c>
      <c r="B77" s="55" t="str">
        <f t="shared" si="8"/>
        <v> </v>
      </c>
      <c r="C77" s="202">
        <f t="shared" si="1"/>
        <v>16</v>
      </c>
      <c r="D77" s="202" t="str">
        <f t="shared" si="2"/>
        <v> </v>
      </c>
      <c r="E77" s="202" t="str">
        <f t="shared" si="3"/>
        <v> </v>
      </c>
      <c r="F77" s="55" t="str">
        <f t="shared" si="4"/>
        <v/>
      </c>
      <c r="G77" s="202" t="str">
        <f t="shared" si="5"/>
        <v/>
      </c>
      <c r="H77" s="202" t="str">
        <f t="shared" si="6"/>
        <v> </v>
      </c>
      <c r="I77" s="205" t="str">
        <f t="shared" si="7"/>
        <v/>
      </c>
      <c r="J77" s="205"/>
      <c r="K77" s="205"/>
    </row>
    <row r="78" ht="14.25" customHeight="1">
      <c r="A78" s="55">
        <v>45733.0</v>
      </c>
      <c r="B78" s="55" t="str">
        <f t="shared" si="8"/>
        <v> </v>
      </c>
      <c r="C78" s="202">
        <f t="shared" si="1"/>
        <v>17</v>
      </c>
      <c r="D78" s="202" t="str">
        <f t="shared" si="2"/>
        <v> </v>
      </c>
      <c r="E78" s="202" t="str">
        <f t="shared" si="3"/>
        <v> </v>
      </c>
      <c r="F78" s="55" t="str">
        <f t="shared" si="4"/>
        <v/>
      </c>
      <c r="G78" s="202" t="str">
        <f t="shared" si="5"/>
        <v/>
      </c>
      <c r="H78" s="202" t="str">
        <f t="shared" si="6"/>
        <v> </v>
      </c>
      <c r="I78" s="205" t="str">
        <f t="shared" si="7"/>
        <v/>
      </c>
      <c r="J78" s="205"/>
      <c r="K78" s="205"/>
    </row>
    <row r="79" ht="14.25" customHeight="1">
      <c r="A79" s="55">
        <v>45734.0</v>
      </c>
      <c r="B79" s="55" t="str">
        <f t="shared" si="8"/>
        <v> </v>
      </c>
      <c r="C79" s="202">
        <f t="shared" si="1"/>
        <v>18</v>
      </c>
      <c r="D79" s="202" t="str">
        <f t="shared" si="2"/>
        <v> </v>
      </c>
      <c r="E79" s="202" t="str">
        <f t="shared" si="3"/>
        <v> </v>
      </c>
      <c r="F79" s="55" t="str">
        <f t="shared" si="4"/>
        <v/>
      </c>
      <c r="G79" s="202" t="str">
        <f t="shared" si="5"/>
        <v/>
      </c>
      <c r="H79" s="202" t="str">
        <f t="shared" si="6"/>
        <v> </v>
      </c>
      <c r="I79" s="205" t="str">
        <f t="shared" si="7"/>
        <v/>
      </c>
      <c r="J79" s="205"/>
      <c r="K79" s="205"/>
    </row>
    <row r="80" ht="14.25" customHeight="1">
      <c r="A80" s="55">
        <v>45735.0</v>
      </c>
      <c r="B80" s="55" t="str">
        <f t="shared" si="8"/>
        <v> </v>
      </c>
      <c r="C80" s="202">
        <f t="shared" si="1"/>
        <v>19</v>
      </c>
      <c r="D80" s="202" t="str">
        <f t="shared" si="2"/>
        <v> </v>
      </c>
      <c r="E80" s="202" t="str">
        <f t="shared" si="3"/>
        <v> </v>
      </c>
      <c r="F80" s="55" t="str">
        <f t="shared" si="4"/>
        <v/>
      </c>
      <c r="G80" s="202" t="str">
        <f t="shared" si="5"/>
        <v/>
      </c>
      <c r="H80" s="202" t="str">
        <f t="shared" si="6"/>
        <v> </v>
      </c>
      <c r="I80" s="205" t="str">
        <f t="shared" si="7"/>
        <v/>
      </c>
      <c r="J80" s="205"/>
      <c r="K80" s="205"/>
    </row>
    <row r="81" ht="14.25" customHeight="1">
      <c r="A81" s="55">
        <v>45736.0</v>
      </c>
      <c r="B81" s="55" t="str">
        <f t="shared" si="8"/>
        <v> </v>
      </c>
      <c r="C81" s="202">
        <f t="shared" si="1"/>
        <v>20</v>
      </c>
      <c r="D81" s="202" t="str">
        <f t="shared" si="2"/>
        <v> </v>
      </c>
      <c r="E81" s="202" t="str">
        <f t="shared" si="3"/>
        <v> </v>
      </c>
      <c r="F81" s="55" t="str">
        <f t="shared" si="4"/>
        <v/>
      </c>
      <c r="G81" s="202" t="str">
        <f t="shared" si="5"/>
        <v/>
      </c>
      <c r="H81" s="202" t="str">
        <f t="shared" si="6"/>
        <v> </v>
      </c>
      <c r="I81" s="205" t="str">
        <f t="shared" si="7"/>
        <v/>
      </c>
      <c r="J81" s="205"/>
      <c r="K81" s="205"/>
    </row>
    <row r="82" ht="14.25" customHeight="1">
      <c r="A82" s="55">
        <v>45737.0</v>
      </c>
      <c r="B82" s="55" t="str">
        <f t="shared" si="8"/>
        <v> </v>
      </c>
      <c r="C82" s="202">
        <f t="shared" si="1"/>
        <v>21</v>
      </c>
      <c r="D82" s="202" t="str">
        <f t="shared" si="2"/>
        <v> </v>
      </c>
      <c r="E82" s="202" t="str">
        <f t="shared" si="3"/>
        <v> </v>
      </c>
      <c r="F82" s="55" t="str">
        <f t="shared" si="4"/>
        <v/>
      </c>
      <c r="G82" s="202" t="str">
        <f t="shared" si="5"/>
        <v/>
      </c>
      <c r="H82" s="202" t="str">
        <f t="shared" si="6"/>
        <v> </v>
      </c>
      <c r="I82" s="205" t="str">
        <f t="shared" si="7"/>
        <v/>
      </c>
      <c r="J82" s="205"/>
      <c r="K82" s="205"/>
    </row>
    <row r="83" ht="14.25" customHeight="1">
      <c r="A83" s="55">
        <v>45738.0</v>
      </c>
      <c r="B83" s="55" t="str">
        <f t="shared" si="8"/>
        <v> </v>
      </c>
      <c r="C83" s="202">
        <f t="shared" si="1"/>
        <v>22</v>
      </c>
      <c r="D83" s="202" t="str">
        <f t="shared" si="2"/>
        <v> </v>
      </c>
      <c r="E83" s="202" t="str">
        <f t="shared" si="3"/>
        <v> </v>
      </c>
      <c r="F83" s="55" t="str">
        <f t="shared" si="4"/>
        <v/>
      </c>
      <c r="G83" s="202" t="str">
        <f t="shared" si="5"/>
        <v/>
      </c>
      <c r="H83" s="202" t="str">
        <f t="shared" si="6"/>
        <v> </v>
      </c>
      <c r="I83" s="205" t="str">
        <f t="shared" si="7"/>
        <v/>
      </c>
      <c r="J83" s="205"/>
      <c r="K83" s="205"/>
    </row>
    <row r="84" ht="14.25" customHeight="1">
      <c r="A84" s="55">
        <v>45739.0</v>
      </c>
      <c r="B84" s="55" t="str">
        <f t="shared" si="8"/>
        <v> </v>
      </c>
      <c r="C84" s="202">
        <f t="shared" si="1"/>
        <v>23</v>
      </c>
      <c r="D84" s="202" t="str">
        <f t="shared" si="2"/>
        <v> </v>
      </c>
      <c r="E84" s="202" t="str">
        <f t="shared" si="3"/>
        <v> </v>
      </c>
      <c r="F84" s="55" t="str">
        <f t="shared" si="4"/>
        <v/>
      </c>
      <c r="G84" s="202" t="str">
        <f t="shared" si="5"/>
        <v/>
      </c>
      <c r="H84" s="202" t="str">
        <f t="shared" si="6"/>
        <v> </v>
      </c>
      <c r="I84" s="205" t="str">
        <f t="shared" si="7"/>
        <v/>
      </c>
      <c r="J84" s="205"/>
      <c r="K84" s="205"/>
    </row>
    <row r="85" ht="14.25" customHeight="1">
      <c r="A85" s="55">
        <v>45740.0</v>
      </c>
      <c r="B85" s="55" t="str">
        <f t="shared" si="8"/>
        <v> </v>
      </c>
      <c r="C85" s="202">
        <f t="shared" si="1"/>
        <v>24</v>
      </c>
      <c r="D85" s="202" t="str">
        <f t="shared" si="2"/>
        <v> </v>
      </c>
      <c r="E85" s="202" t="str">
        <f t="shared" si="3"/>
        <v> </v>
      </c>
      <c r="F85" s="55" t="str">
        <f t="shared" si="4"/>
        <v/>
      </c>
      <c r="G85" s="202" t="str">
        <f t="shared" si="5"/>
        <v/>
      </c>
      <c r="H85" s="202" t="str">
        <f t="shared" si="6"/>
        <v> </v>
      </c>
      <c r="I85" s="205" t="str">
        <f t="shared" si="7"/>
        <v/>
      </c>
      <c r="J85" s="205"/>
      <c r="K85" s="205"/>
    </row>
    <row r="86" ht="14.25" customHeight="1">
      <c r="A86" s="55">
        <v>45741.0</v>
      </c>
      <c r="B86" s="55" t="str">
        <f t="shared" si="8"/>
        <v> </v>
      </c>
      <c r="C86" s="202">
        <f t="shared" si="1"/>
        <v>25</v>
      </c>
      <c r="D86" s="202" t="str">
        <f t="shared" si="2"/>
        <v> </v>
      </c>
      <c r="E86" s="202" t="str">
        <f t="shared" si="3"/>
        <v> </v>
      </c>
      <c r="F86" s="55" t="str">
        <f t="shared" si="4"/>
        <v/>
      </c>
      <c r="G86" s="202" t="str">
        <f t="shared" si="5"/>
        <v/>
      </c>
      <c r="H86" s="202" t="str">
        <f t="shared" si="6"/>
        <v> </v>
      </c>
      <c r="I86" s="205" t="str">
        <f t="shared" si="7"/>
        <v/>
      </c>
      <c r="J86" s="205"/>
      <c r="K86" s="205"/>
    </row>
    <row r="87" ht="14.25" customHeight="1">
      <c r="A87" s="55">
        <v>45742.0</v>
      </c>
      <c r="B87" s="55" t="str">
        <f t="shared" si="8"/>
        <v> </v>
      </c>
      <c r="C87" s="202">
        <f t="shared" si="1"/>
        <v>26</v>
      </c>
      <c r="D87" s="202" t="str">
        <f t="shared" si="2"/>
        <v> </v>
      </c>
      <c r="E87" s="202" t="str">
        <f t="shared" si="3"/>
        <v> </v>
      </c>
      <c r="F87" s="55" t="str">
        <f t="shared" si="4"/>
        <v/>
      </c>
      <c r="G87" s="202" t="str">
        <f t="shared" si="5"/>
        <v/>
      </c>
      <c r="H87" s="202" t="str">
        <f t="shared" si="6"/>
        <v> </v>
      </c>
      <c r="I87" s="205" t="str">
        <f t="shared" si="7"/>
        <v/>
      </c>
      <c r="J87" s="205"/>
      <c r="K87" s="205"/>
    </row>
    <row r="88" ht="14.25" customHeight="1">
      <c r="A88" s="55">
        <v>45743.0</v>
      </c>
      <c r="B88" s="55" t="str">
        <f t="shared" si="8"/>
        <v> </v>
      </c>
      <c r="C88" s="202">
        <f t="shared" si="1"/>
        <v>27</v>
      </c>
      <c r="D88" s="202" t="str">
        <f t="shared" si="2"/>
        <v> </v>
      </c>
      <c r="E88" s="202" t="str">
        <f t="shared" si="3"/>
        <v> </v>
      </c>
      <c r="F88" s="55" t="str">
        <f t="shared" si="4"/>
        <v/>
      </c>
      <c r="G88" s="202" t="str">
        <f t="shared" si="5"/>
        <v/>
      </c>
      <c r="H88" s="202" t="str">
        <f t="shared" si="6"/>
        <v> </v>
      </c>
      <c r="I88" s="205" t="str">
        <f t="shared" si="7"/>
        <v/>
      </c>
      <c r="J88" s="205"/>
      <c r="K88" s="205"/>
    </row>
    <row r="89" ht="14.25" customHeight="1">
      <c r="A89" s="55">
        <v>45744.0</v>
      </c>
      <c r="B89" s="55" t="str">
        <f t="shared" si="8"/>
        <v> </v>
      </c>
      <c r="C89" s="202">
        <f t="shared" si="1"/>
        <v>28</v>
      </c>
      <c r="D89" s="202" t="str">
        <f t="shared" si="2"/>
        <v> </v>
      </c>
      <c r="E89" s="202" t="str">
        <f t="shared" si="3"/>
        <v> </v>
      </c>
      <c r="F89" s="55" t="str">
        <f t="shared" si="4"/>
        <v/>
      </c>
      <c r="G89" s="202" t="str">
        <f t="shared" si="5"/>
        <v/>
      </c>
      <c r="H89" s="202" t="str">
        <f t="shared" si="6"/>
        <v> </v>
      </c>
      <c r="I89" s="205" t="str">
        <f t="shared" si="7"/>
        <v/>
      </c>
      <c r="J89" s="205"/>
      <c r="K89" s="205"/>
    </row>
    <row r="90" ht="14.25" customHeight="1">
      <c r="A90" s="55">
        <v>45745.0</v>
      </c>
      <c r="B90" s="55" t="str">
        <f t="shared" si="8"/>
        <v> </v>
      </c>
      <c r="C90" s="202">
        <f t="shared" si="1"/>
        <v>29</v>
      </c>
      <c r="D90" s="202" t="str">
        <f t="shared" si="2"/>
        <v> </v>
      </c>
      <c r="E90" s="202" t="str">
        <f t="shared" si="3"/>
        <v> </v>
      </c>
      <c r="F90" s="55" t="str">
        <f t="shared" si="4"/>
        <v/>
      </c>
      <c r="G90" s="202" t="str">
        <f t="shared" si="5"/>
        <v/>
      </c>
      <c r="H90" s="202" t="str">
        <f t="shared" si="6"/>
        <v> </v>
      </c>
      <c r="I90" s="205" t="str">
        <f t="shared" si="7"/>
        <v/>
      </c>
      <c r="J90" s="205"/>
      <c r="K90" s="205"/>
    </row>
    <row r="91" ht="14.25" customHeight="1">
      <c r="A91" s="55">
        <v>45746.0</v>
      </c>
      <c r="B91" s="55" t="str">
        <f t="shared" si="8"/>
        <v> </v>
      </c>
      <c r="C91" s="202">
        <f t="shared" si="1"/>
        <v>30</v>
      </c>
      <c r="D91" s="202" t="str">
        <f t="shared" si="2"/>
        <v> </v>
      </c>
      <c r="E91" s="202" t="str">
        <f t="shared" si="3"/>
        <v> </v>
      </c>
      <c r="F91" s="55" t="str">
        <f t="shared" si="4"/>
        <v/>
      </c>
      <c r="G91" s="202" t="str">
        <f t="shared" si="5"/>
        <v/>
      </c>
      <c r="H91" s="202" t="str">
        <f t="shared" si="6"/>
        <v> </v>
      </c>
      <c r="I91" s="205" t="str">
        <f t="shared" si="7"/>
        <v/>
      </c>
      <c r="J91" s="205"/>
      <c r="K91" s="205"/>
    </row>
    <row r="92" ht="14.25" customHeight="1">
      <c r="A92" s="55">
        <v>45747.0</v>
      </c>
      <c r="B92" s="55" t="str">
        <f t="shared" si="8"/>
        <v> </v>
      </c>
      <c r="C92" s="202">
        <f t="shared" si="1"/>
        <v>31</v>
      </c>
      <c r="D92" s="202" t="str">
        <f t="shared" si="2"/>
        <v> </v>
      </c>
      <c r="E92" s="202" t="str">
        <f t="shared" si="3"/>
        <v> </v>
      </c>
      <c r="F92" s="55" t="str">
        <f t="shared" si="4"/>
        <v/>
      </c>
      <c r="G92" s="202" t="str">
        <f t="shared" si="5"/>
        <v/>
      </c>
      <c r="H92" s="202">
        <f t="shared" si="6"/>
        <v>31</v>
      </c>
      <c r="I92" s="205" t="str">
        <f t="shared" si="7"/>
        <v/>
      </c>
      <c r="J92" s="205"/>
      <c r="K92" s="205"/>
    </row>
    <row r="93" ht="14.25" customHeight="1">
      <c r="A93" s="55">
        <v>45748.0</v>
      </c>
      <c r="B93" s="55" t="str">
        <f t="shared" si="8"/>
        <v> </v>
      </c>
      <c r="C93" s="202">
        <f t="shared" si="1"/>
        <v>1</v>
      </c>
      <c r="D93" s="202" t="str">
        <f t="shared" si="2"/>
        <v> </v>
      </c>
      <c r="E93" s="202" t="str">
        <f t="shared" si="3"/>
        <v> </v>
      </c>
      <c r="F93" s="55" t="str">
        <f t="shared" si="4"/>
        <v/>
      </c>
      <c r="G93" s="202" t="str">
        <f t="shared" si="5"/>
        <v/>
      </c>
      <c r="H93" s="202" t="str">
        <f t="shared" si="6"/>
        <v> </v>
      </c>
      <c r="I93" s="205" t="str">
        <f t="shared" si="7"/>
        <v/>
      </c>
      <c r="J93" s="205"/>
      <c r="K93" s="205"/>
    </row>
    <row r="94" ht="14.25" customHeight="1">
      <c r="A94" s="55">
        <v>45749.0</v>
      </c>
      <c r="B94" s="55" t="str">
        <f t="shared" si="8"/>
        <v> </v>
      </c>
      <c r="C94" s="202">
        <f t="shared" si="1"/>
        <v>2</v>
      </c>
      <c r="D94" s="202" t="str">
        <f t="shared" si="2"/>
        <v> </v>
      </c>
      <c r="E94" s="202" t="str">
        <f t="shared" si="3"/>
        <v> </v>
      </c>
      <c r="F94" s="55" t="str">
        <f t="shared" si="4"/>
        <v/>
      </c>
      <c r="G94" s="202" t="str">
        <f t="shared" si="5"/>
        <v/>
      </c>
      <c r="H94" s="202" t="str">
        <f t="shared" si="6"/>
        <v> </v>
      </c>
      <c r="I94" s="205" t="str">
        <f t="shared" si="7"/>
        <v/>
      </c>
      <c r="J94" s="205"/>
      <c r="K94" s="205"/>
    </row>
    <row r="95" ht="14.25" customHeight="1">
      <c r="A95" s="55">
        <v>45750.0</v>
      </c>
      <c r="B95" s="55" t="str">
        <f t="shared" si="8"/>
        <v> </v>
      </c>
      <c r="C95" s="202">
        <f t="shared" si="1"/>
        <v>3</v>
      </c>
      <c r="D95" s="202" t="str">
        <f t="shared" si="2"/>
        <v> </v>
      </c>
      <c r="E95" s="202" t="str">
        <f t="shared" si="3"/>
        <v> </v>
      </c>
      <c r="F95" s="55" t="str">
        <f t="shared" si="4"/>
        <v/>
      </c>
      <c r="G95" s="202" t="str">
        <f t="shared" si="5"/>
        <v/>
      </c>
      <c r="H95" s="202" t="str">
        <f t="shared" si="6"/>
        <v> </v>
      </c>
      <c r="I95" s="205" t="str">
        <f t="shared" si="7"/>
        <v/>
      </c>
      <c r="J95" s="205"/>
      <c r="K95" s="205"/>
    </row>
    <row r="96" ht="14.25" customHeight="1">
      <c r="A96" s="55">
        <v>45751.0</v>
      </c>
      <c r="B96" s="55" t="str">
        <f t="shared" si="8"/>
        <v> </v>
      </c>
      <c r="C96" s="202">
        <f t="shared" si="1"/>
        <v>4</v>
      </c>
      <c r="D96" s="202" t="str">
        <f t="shared" si="2"/>
        <v> </v>
      </c>
      <c r="E96" s="202" t="str">
        <f t="shared" si="3"/>
        <v> </v>
      </c>
      <c r="F96" s="55" t="str">
        <f t="shared" si="4"/>
        <v/>
      </c>
      <c r="G96" s="202" t="str">
        <f t="shared" si="5"/>
        <v/>
      </c>
      <c r="H96" s="202" t="str">
        <f t="shared" si="6"/>
        <v> </v>
      </c>
      <c r="I96" s="205" t="str">
        <f t="shared" si="7"/>
        <v/>
      </c>
      <c r="J96" s="205"/>
      <c r="K96" s="205"/>
    </row>
    <row r="97" ht="14.25" customHeight="1">
      <c r="A97" s="55">
        <v>45752.0</v>
      </c>
      <c r="B97" s="55" t="str">
        <f t="shared" si="8"/>
        <v> </v>
      </c>
      <c r="C97" s="202">
        <f t="shared" si="1"/>
        <v>5</v>
      </c>
      <c r="D97" s="202" t="str">
        <f t="shared" si="2"/>
        <v> </v>
      </c>
      <c r="E97" s="202" t="str">
        <f t="shared" si="3"/>
        <v> </v>
      </c>
      <c r="F97" s="55" t="str">
        <f t="shared" si="4"/>
        <v/>
      </c>
      <c r="G97" s="202" t="str">
        <f t="shared" si="5"/>
        <v/>
      </c>
      <c r="H97" s="202" t="str">
        <f t="shared" si="6"/>
        <v> </v>
      </c>
      <c r="I97" s="205" t="str">
        <f t="shared" si="7"/>
        <v/>
      </c>
      <c r="J97" s="205"/>
      <c r="K97" s="205"/>
    </row>
    <row r="98" ht="14.25" customHeight="1">
      <c r="A98" s="55">
        <v>45753.0</v>
      </c>
      <c r="B98" s="55" t="str">
        <f t="shared" si="8"/>
        <v> </v>
      </c>
      <c r="C98" s="202">
        <f t="shared" si="1"/>
        <v>6</v>
      </c>
      <c r="D98" s="202" t="str">
        <f t="shared" si="2"/>
        <v> </v>
      </c>
      <c r="E98" s="202" t="str">
        <f t="shared" si="3"/>
        <v> </v>
      </c>
      <c r="F98" s="55" t="str">
        <f t="shared" si="4"/>
        <v/>
      </c>
      <c r="G98" s="202" t="str">
        <f t="shared" si="5"/>
        <v/>
      </c>
      <c r="H98" s="202" t="str">
        <f t="shared" si="6"/>
        <v> </v>
      </c>
      <c r="I98" s="205" t="str">
        <f t="shared" si="7"/>
        <v/>
      </c>
      <c r="J98" s="205"/>
      <c r="K98" s="205"/>
    </row>
    <row r="99" ht="14.25" customHeight="1">
      <c r="A99" s="55">
        <v>45754.0</v>
      </c>
      <c r="B99" s="55" t="str">
        <f t="shared" si="8"/>
        <v> </v>
      </c>
      <c r="C99" s="202">
        <f t="shared" si="1"/>
        <v>7</v>
      </c>
      <c r="D99" s="202" t="str">
        <f t="shared" si="2"/>
        <v> </v>
      </c>
      <c r="E99" s="202" t="str">
        <f t="shared" si="3"/>
        <v> </v>
      </c>
      <c r="F99" s="55" t="str">
        <f t="shared" si="4"/>
        <v/>
      </c>
      <c r="G99" s="202" t="str">
        <f t="shared" si="5"/>
        <v/>
      </c>
      <c r="H99" s="202" t="str">
        <f t="shared" si="6"/>
        <v> </v>
      </c>
      <c r="I99" s="205" t="str">
        <f t="shared" si="7"/>
        <v/>
      </c>
      <c r="J99" s="205"/>
      <c r="K99" s="205"/>
    </row>
    <row r="100" ht="14.25" customHeight="1">
      <c r="A100" s="55">
        <v>45755.0</v>
      </c>
      <c r="B100" s="55" t="str">
        <f t="shared" si="8"/>
        <v> </v>
      </c>
      <c r="C100" s="202">
        <f t="shared" si="1"/>
        <v>8</v>
      </c>
      <c r="D100" s="202" t="str">
        <f t="shared" si="2"/>
        <v> </v>
      </c>
      <c r="E100" s="202" t="str">
        <f t="shared" si="3"/>
        <v> </v>
      </c>
      <c r="F100" s="55" t="str">
        <f t="shared" si="4"/>
        <v/>
      </c>
      <c r="G100" s="202" t="str">
        <f t="shared" si="5"/>
        <v/>
      </c>
      <c r="H100" s="202" t="str">
        <f t="shared" si="6"/>
        <v> </v>
      </c>
      <c r="I100" s="205" t="str">
        <f t="shared" si="7"/>
        <v/>
      </c>
      <c r="J100" s="205"/>
      <c r="K100" s="205"/>
    </row>
    <row r="101" ht="14.25" customHeight="1">
      <c r="A101" s="55">
        <v>45756.0</v>
      </c>
      <c r="B101" s="55" t="str">
        <f t="shared" si="8"/>
        <v> </v>
      </c>
      <c r="C101" s="202">
        <f t="shared" si="1"/>
        <v>9</v>
      </c>
      <c r="D101" s="202" t="str">
        <f t="shared" si="2"/>
        <v> </v>
      </c>
      <c r="E101" s="202" t="str">
        <f t="shared" si="3"/>
        <v> </v>
      </c>
      <c r="F101" s="55" t="str">
        <f t="shared" si="4"/>
        <v/>
      </c>
      <c r="G101" s="202" t="str">
        <f t="shared" si="5"/>
        <v/>
      </c>
      <c r="H101" s="202" t="str">
        <f t="shared" si="6"/>
        <v> </v>
      </c>
      <c r="I101" s="205" t="str">
        <f t="shared" si="7"/>
        <v/>
      </c>
      <c r="J101" s="205"/>
      <c r="K101" s="205"/>
    </row>
    <row r="102" ht="14.25" customHeight="1">
      <c r="A102" s="55">
        <v>45757.0</v>
      </c>
      <c r="B102" s="55" t="str">
        <f t="shared" si="8"/>
        <v> </v>
      </c>
      <c r="C102" s="202">
        <f t="shared" si="1"/>
        <v>10</v>
      </c>
      <c r="D102" s="202" t="str">
        <f t="shared" si="2"/>
        <v> </v>
      </c>
      <c r="E102" s="202" t="str">
        <f t="shared" si="3"/>
        <v> </v>
      </c>
      <c r="F102" s="55" t="str">
        <f t="shared" si="4"/>
        <v/>
      </c>
      <c r="G102" s="202" t="str">
        <f t="shared" si="5"/>
        <v/>
      </c>
      <c r="H102" s="202" t="str">
        <f t="shared" si="6"/>
        <v> </v>
      </c>
      <c r="I102" s="205" t="str">
        <f t="shared" si="7"/>
        <v/>
      </c>
      <c r="J102" s="205"/>
      <c r="K102" s="205"/>
    </row>
    <row r="103" ht="14.25" customHeight="1">
      <c r="A103" s="55">
        <v>45758.0</v>
      </c>
      <c r="B103" s="55" t="str">
        <f t="shared" si="8"/>
        <v> </v>
      </c>
      <c r="C103" s="202">
        <f t="shared" si="1"/>
        <v>11</v>
      </c>
      <c r="D103" s="202" t="str">
        <f t="shared" si="2"/>
        <v> </v>
      </c>
      <c r="E103" s="202" t="str">
        <f t="shared" si="3"/>
        <v> </v>
      </c>
      <c r="F103" s="55" t="str">
        <f t="shared" si="4"/>
        <v/>
      </c>
      <c r="G103" s="202" t="str">
        <f t="shared" si="5"/>
        <v/>
      </c>
      <c r="H103" s="202" t="str">
        <f t="shared" si="6"/>
        <v> </v>
      </c>
      <c r="I103" s="205" t="str">
        <f t="shared" si="7"/>
        <v/>
      </c>
      <c r="J103" s="205"/>
      <c r="K103" s="205"/>
    </row>
    <row r="104" ht="14.25" customHeight="1">
      <c r="A104" s="55">
        <v>45759.0</v>
      </c>
      <c r="B104" s="55" t="str">
        <f t="shared" si="8"/>
        <v> </v>
      </c>
      <c r="C104" s="202">
        <f t="shared" si="1"/>
        <v>12</v>
      </c>
      <c r="D104" s="202" t="str">
        <f t="shared" si="2"/>
        <v> </v>
      </c>
      <c r="E104" s="202" t="str">
        <f t="shared" si="3"/>
        <v> </v>
      </c>
      <c r="F104" s="55" t="str">
        <f t="shared" si="4"/>
        <v/>
      </c>
      <c r="G104" s="202" t="str">
        <f t="shared" si="5"/>
        <v/>
      </c>
      <c r="H104" s="202" t="str">
        <f t="shared" si="6"/>
        <v> </v>
      </c>
      <c r="I104" s="205" t="str">
        <f t="shared" si="7"/>
        <v/>
      </c>
      <c r="J104" s="205"/>
      <c r="K104" s="205"/>
    </row>
    <row r="105" ht="14.25" customHeight="1">
      <c r="A105" s="55">
        <v>45760.0</v>
      </c>
      <c r="B105" s="55" t="str">
        <f t="shared" si="8"/>
        <v> </v>
      </c>
      <c r="C105" s="202">
        <f t="shared" si="1"/>
        <v>13</v>
      </c>
      <c r="D105" s="202" t="str">
        <f t="shared" si="2"/>
        <v> </v>
      </c>
      <c r="E105" s="202" t="str">
        <f t="shared" si="3"/>
        <v> </v>
      </c>
      <c r="F105" s="55" t="str">
        <f t="shared" si="4"/>
        <v/>
      </c>
      <c r="G105" s="202" t="str">
        <f t="shared" si="5"/>
        <v/>
      </c>
      <c r="H105" s="202" t="str">
        <f t="shared" si="6"/>
        <v> </v>
      </c>
      <c r="I105" s="205" t="str">
        <f t="shared" si="7"/>
        <v/>
      </c>
      <c r="J105" s="205"/>
      <c r="K105" s="205"/>
    </row>
    <row r="106" ht="14.25" customHeight="1">
      <c r="A106" s="55">
        <v>45761.0</v>
      </c>
      <c r="B106" s="55" t="str">
        <f t="shared" si="8"/>
        <v> </v>
      </c>
      <c r="C106" s="202">
        <f t="shared" si="1"/>
        <v>14</v>
      </c>
      <c r="D106" s="202" t="str">
        <f t="shared" si="2"/>
        <v> </v>
      </c>
      <c r="E106" s="202" t="str">
        <f t="shared" si="3"/>
        <v> </v>
      </c>
      <c r="F106" s="55" t="str">
        <f t="shared" si="4"/>
        <v/>
      </c>
      <c r="G106" s="202" t="str">
        <f t="shared" si="5"/>
        <v/>
      </c>
      <c r="H106" s="202" t="str">
        <f t="shared" si="6"/>
        <v> </v>
      </c>
      <c r="I106" s="205" t="str">
        <f t="shared" si="7"/>
        <v/>
      </c>
      <c r="J106" s="205"/>
      <c r="K106" s="205"/>
    </row>
    <row r="107" ht="14.25" customHeight="1">
      <c r="A107" s="55">
        <v>45762.0</v>
      </c>
      <c r="B107" s="55" t="str">
        <f t="shared" si="8"/>
        <v> </v>
      </c>
      <c r="C107" s="202">
        <f t="shared" si="1"/>
        <v>15</v>
      </c>
      <c r="D107" s="202" t="str">
        <f t="shared" si="2"/>
        <v> </v>
      </c>
      <c r="E107" s="202" t="str">
        <f t="shared" si="3"/>
        <v> </v>
      </c>
      <c r="F107" s="55" t="str">
        <f t="shared" si="4"/>
        <v/>
      </c>
      <c r="G107" s="202" t="str">
        <f t="shared" si="5"/>
        <v/>
      </c>
      <c r="H107" s="202" t="str">
        <f t="shared" si="6"/>
        <v> </v>
      </c>
      <c r="I107" s="205" t="str">
        <f t="shared" si="7"/>
        <v/>
      </c>
      <c r="J107" s="205"/>
      <c r="K107" s="205"/>
    </row>
    <row r="108" ht="14.25" customHeight="1">
      <c r="A108" s="55">
        <v>45763.0</v>
      </c>
      <c r="B108" s="55" t="str">
        <f t="shared" si="8"/>
        <v> </v>
      </c>
      <c r="C108" s="202">
        <f t="shared" si="1"/>
        <v>16</v>
      </c>
      <c r="D108" s="202" t="str">
        <f t="shared" si="2"/>
        <v> </v>
      </c>
      <c r="E108" s="202" t="str">
        <f t="shared" si="3"/>
        <v> </v>
      </c>
      <c r="F108" s="55" t="str">
        <f t="shared" si="4"/>
        <v/>
      </c>
      <c r="G108" s="202" t="str">
        <f t="shared" si="5"/>
        <v/>
      </c>
      <c r="H108" s="202" t="str">
        <f t="shared" si="6"/>
        <v> </v>
      </c>
      <c r="I108" s="205" t="str">
        <f t="shared" si="7"/>
        <v/>
      </c>
      <c r="J108" s="205"/>
      <c r="K108" s="205"/>
    </row>
    <row r="109" ht="14.25" customHeight="1">
      <c r="A109" s="55">
        <v>45764.0</v>
      </c>
      <c r="B109" s="55" t="str">
        <f t="shared" si="8"/>
        <v> </v>
      </c>
      <c r="C109" s="202">
        <f t="shared" si="1"/>
        <v>17</v>
      </c>
      <c r="D109" s="202" t="str">
        <f t="shared" si="2"/>
        <v> </v>
      </c>
      <c r="E109" s="202" t="str">
        <f t="shared" si="3"/>
        <v> </v>
      </c>
      <c r="F109" s="55" t="str">
        <f t="shared" si="4"/>
        <v/>
      </c>
      <c r="G109" s="202" t="str">
        <f t="shared" si="5"/>
        <v/>
      </c>
      <c r="H109" s="202" t="str">
        <f t="shared" si="6"/>
        <v> </v>
      </c>
      <c r="I109" s="205" t="str">
        <f t="shared" si="7"/>
        <v/>
      </c>
      <c r="J109" s="205"/>
      <c r="K109" s="205"/>
    </row>
    <row r="110" ht="14.25" customHeight="1">
      <c r="A110" s="55">
        <v>45765.0</v>
      </c>
      <c r="B110" s="55" t="str">
        <f t="shared" si="8"/>
        <v> </v>
      </c>
      <c r="C110" s="202">
        <f t="shared" si="1"/>
        <v>18</v>
      </c>
      <c r="D110" s="202" t="str">
        <f t="shared" si="2"/>
        <v> </v>
      </c>
      <c r="E110" s="202" t="str">
        <f t="shared" si="3"/>
        <v> </v>
      </c>
      <c r="F110" s="55" t="str">
        <f t="shared" si="4"/>
        <v/>
      </c>
      <c r="G110" s="202" t="str">
        <f t="shared" si="5"/>
        <v/>
      </c>
      <c r="H110" s="202" t="str">
        <f t="shared" si="6"/>
        <v> </v>
      </c>
      <c r="I110" s="205" t="str">
        <f t="shared" si="7"/>
        <v/>
      </c>
      <c r="J110" s="205"/>
      <c r="K110" s="205"/>
    </row>
    <row r="111" ht="14.25" customHeight="1">
      <c r="A111" s="55">
        <v>45766.0</v>
      </c>
      <c r="B111" s="55" t="str">
        <f t="shared" si="8"/>
        <v> </v>
      </c>
      <c r="C111" s="202">
        <f t="shared" si="1"/>
        <v>19</v>
      </c>
      <c r="D111" s="202" t="str">
        <f t="shared" si="2"/>
        <v> </v>
      </c>
      <c r="E111" s="202" t="str">
        <f t="shared" si="3"/>
        <v> </v>
      </c>
      <c r="F111" s="55" t="str">
        <f t="shared" si="4"/>
        <v/>
      </c>
      <c r="G111" s="202" t="str">
        <f t="shared" si="5"/>
        <v/>
      </c>
      <c r="H111" s="202" t="str">
        <f t="shared" si="6"/>
        <v> </v>
      </c>
      <c r="I111" s="205" t="str">
        <f t="shared" si="7"/>
        <v/>
      </c>
      <c r="J111" s="205"/>
      <c r="K111" s="205"/>
    </row>
    <row r="112" ht="14.25" customHeight="1">
      <c r="A112" s="55">
        <v>45767.0</v>
      </c>
      <c r="B112" s="55" t="str">
        <f t="shared" si="8"/>
        <v> </v>
      </c>
      <c r="C112" s="202">
        <f t="shared" si="1"/>
        <v>20</v>
      </c>
      <c r="D112" s="202" t="str">
        <f t="shared" si="2"/>
        <v> </v>
      </c>
      <c r="E112" s="202" t="str">
        <f t="shared" si="3"/>
        <v> </v>
      </c>
      <c r="F112" s="55" t="str">
        <f t="shared" si="4"/>
        <v/>
      </c>
      <c r="G112" s="202" t="str">
        <f t="shared" si="5"/>
        <v/>
      </c>
      <c r="H112" s="202" t="str">
        <f t="shared" si="6"/>
        <v> </v>
      </c>
      <c r="I112" s="205" t="str">
        <f t="shared" si="7"/>
        <v/>
      </c>
      <c r="J112" s="205"/>
      <c r="K112" s="205"/>
    </row>
    <row r="113" ht="14.25" customHeight="1">
      <c r="A113" s="55">
        <v>45768.0</v>
      </c>
      <c r="B113" s="55" t="str">
        <f t="shared" si="8"/>
        <v> </v>
      </c>
      <c r="C113" s="202">
        <f t="shared" si="1"/>
        <v>21</v>
      </c>
      <c r="D113" s="202" t="str">
        <f t="shared" si="2"/>
        <v> </v>
      </c>
      <c r="E113" s="202" t="str">
        <f t="shared" si="3"/>
        <v> </v>
      </c>
      <c r="F113" s="55" t="str">
        <f t="shared" si="4"/>
        <v/>
      </c>
      <c r="G113" s="202" t="str">
        <f t="shared" si="5"/>
        <v/>
      </c>
      <c r="H113" s="202" t="str">
        <f t="shared" si="6"/>
        <v> </v>
      </c>
      <c r="I113" s="205" t="str">
        <f t="shared" si="7"/>
        <v/>
      </c>
      <c r="J113" s="205"/>
      <c r="K113" s="205"/>
    </row>
    <row r="114" ht="14.25" customHeight="1">
      <c r="A114" s="55">
        <v>45769.0</v>
      </c>
      <c r="B114" s="55" t="str">
        <f t="shared" si="8"/>
        <v> </v>
      </c>
      <c r="C114" s="202">
        <f t="shared" si="1"/>
        <v>22</v>
      </c>
      <c r="D114" s="202" t="str">
        <f t="shared" si="2"/>
        <v> </v>
      </c>
      <c r="E114" s="202" t="str">
        <f t="shared" si="3"/>
        <v> </v>
      </c>
      <c r="F114" s="55" t="str">
        <f t="shared" si="4"/>
        <v/>
      </c>
      <c r="G114" s="202" t="str">
        <f t="shared" si="5"/>
        <v/>
      </c>
      <c r="H114" s="202" t="str">
        <f t="shared" si="6"/>
        <v> </v>
      </c>
      <c r="I114" s="205" t="str">
        <f t="shared" si="7"/>
        <v/>
      </c>
      <c r="J114" s="205"/>
      <c r="K114" s="205"/>
    </row>
    <row r="115" ht="14.25" customHeight="1">
      <c r="A115" s="55">
        <v>45770.0</v>
      </c>
      <c r="B115" s="55" t="str">
        <f t="shared" si="8"/>
        <v> </v>
      </c>
      <c r="C115" s="202">
        <f t="shared" si="1"/>
        <v>23</v>
      </c>
      <c r="D115" s="202" t="str">
        <f t="shared" si="2"/>
        <v> </v>
      </c>
      <c r="E115" s="202" t="str">
        <f t="shared" si="3"/>
        <v> </v>
      </c>
      <c r="F115" s="55" t="str">
        <f t="shared" si="4"/>
        <v/>
      </c>
      <c r="G115" s="202" t="str">
        <f t="shared" si="5"/>
        <v/>
      </c>
      <c r="H115" s="202" t="str">
        <f t="shared" si="6"/>
        <v> </v>
      </c>
      <c r="I115" s="205" t="str">
        <f t="shared" si="7"/>
        <v/>
      </c>
      <c r="J115" s="205"/>
      <c r="K115" s="205"/>
    </row>
    <row r="116" ht="14.25" customHeight="1">
      <c r="A116" s="55">
        <v>45771.0</v>
      </c>
      <c r="B116" s="55" t="str">
        <f t="shared" si="8"/>
        <v> </v>
      </c>
      <c r="C116" s="202">
        <f t="shared" si="1"/>
        <v>24</v>
      </c>
      <c r="D116" s="202" t="str">
        <f t="shared" si="2"/>
        <v> </v>
      </c>
      <c r="E116" s="202" t="str">
        <f t="shared" si="3"/>
        <v> </v>
      </c>
      <c r="F116" s="55" t="str">
        <f t="shared" si="4"/>
        <v/>
      </c>
      <c r="G116" s="202" t="str">
        <f t="shared" si="5"/>
        <v/>
      </c>
      <c r="H116" s="202" t="str">
        <f t="shared" si="6"/>
        <v> </v>
      </c>
      <c r="I116" s="205" t="str">
        <f t="shared" si="7"/>
        <v/>
      </c>
      <c r="J116" s="205"/>
      <c r="K116" s="205"/>
    </row>
    <row r="117" ht="14.25" customHeight="1">
      <c r="A117" s="55">
        <v>45772.0</v>
      </c>
      <c r="B117" s="55" t="str">
        <f t="shared" si="8"/>
        <v> </v>
      </c>
      <c r="C117" s="202">
        <f t="shared" si="1"/>
        <v>25</v>
      </c>
      <c r="D117" s="202" t="str">
        <f t="shared" si="2"/>
        <v> </v>
      </c>
      <c r="E117" s="202" t="str">
        <f t="shared" si="3"/>
        <v> </v>
      </c>
      <c r="F117" s="55" t="str">
        <f t="shared" si="4"/>
        <v/>
      </c>
      <c r="G117" s="202" t="str">
        <f t="shared" si="5"/>
        <v/>
      </c>
      <c r="H117" s="202" t="str">
        <f t="shared" si="6"/>
        <v> </v>
      </c>
      <c r="I117" s="205" t="str">
        <f t="shared" si="7"/>
        <v/>
      </c>
      <c r="J117" s="205"/>
      <c r="K117" s="205"/>
    </row>
    <row r="118" ht="14.25" customHeight="1">
      <c r="A118" s="55">
        <v>45773.0</v>
      </c>
      <c r="B118" s="55" t="str">
        <f t="shared" si="8"/>
        <v> </v>
      </c>
      <c r="C118" s="202">
        <f t="shared" si="1"/>
        <v>26</v>
      </c>
      <c r="D118" s="202" t="str">
        <f t="shared" si="2"/>
        <v> </v>
      </c>
      <c r="E118" s="202" t="str">
        <f t="shared" si="3"/>
        <v> </v>
      </c>
      <c r="F118" s="55" t="str">
        <f t="shared" si="4"/>
        <v/>
      </c>
      <c r="G118" s="202" t="str">
        <f t="shared" si="5"/>
        <v/>
      </c>
      <c r="H118" s="202" t="str">
        <f t="shared" si="6"/>
        <v> </v>
      </c>
      <c r="I118" s="205" t="str">
        <f t="shared" si="7"/>
        <v/>
      </c>
      <c r="J118" s="205"/>
      <c r="K118" s="205"/>
    </row>
    <row r="119" ht="14.25" customHeight="1">
      <c r="A119" s="55">
        <v>45774.0</v>
      </c>
      <c r="B119" s="55" t="str">
        <f t="shared" si="8"/>
        <v> </v>
      </c>
      <c r="C119" s="202">
        <f t="shared" si="1"/>
        <v>27</v>
      </c>
      <c r="D119" s="202" t="str">
        <f t="shared" si="2"/>
        <v> </v>
      </c>
      <c r="E119" s="202" t="str">
        <f t="shared" si="3"/>
        <v> </v>
      </c>
      <c r="F119" s="55" t="str">
        <f t="shared" si="4"/>
        <v/>
      </c>
      <c r="G119" s="202" t="str">
        <f t="shared" si="5"/>
        <v/>
      </c>
      <c r="H119" s="202" t="str">
        <f t="shared" si="6"/>
        <v> </v>
      </c>
      <c r="I119" s="205" t="str">
        <f t="shared" si="7"/>
        <v/>
      </c>
      <c r="J119" s="205"/>
      <c r="K119" s="205"/>
    </row>
    <row r="120" ht="14.25" customHeight="1">
      <c r="A120" s="55">
        <v>45775.0</v>
      </c>
      <c r="B120" s="55" t="str">
        <f t="shared" si="8"/>
        <v> </v>
      </c>
      <c r="C120" s="202">
        <f t="shared" si="1"/>
        <v>28</v>
      </c>
      <c r="D120" s="202" t="str">
        <f t="shared" si="2"/>
        <v> </v>
      </c>
      <c r="E120" s="202" t="str">
        <f t="shared" si="3"/>
        <v> </v>
      </c>
      <c r="F120" s="55" t="str">
        <f t="shared" si="4"/>
        <v/>
      </c>
      <c r="G120" s="202" t="str">
        <f t="shared" si="5"/>
        <v/>
      </c>
      <c r="H120" s="202" t="str">
        <f t="shared" si="6"/>
        <v> </v>
      </c>
      <c r="I120" s="205" t="str">
        <f t="shared" si="7"/>
        <v/>
      </c>
      <c r="J120" s="205"/>
      <c r="K120" s="205"/>
    </row>
    <row r="121" ht="14.25" customHeight="1">
      <c r="A121" s="55">
        <v>45776.0</v>
      </c>
      <c r="B121" s="55" t="str">
        <f t="shared" si="8"/>
        <v> </v>
      </c>
      <c r="C121" s="202">
        <f t="shared" si="1"/>
        <v>29</v>
      </c>
      <c r="D121" s="202" t="str">
        <f t="shared" si="2"/>
        <v> </v>
      </c>
      <c r="E121" s="202" t="str">
        <f t="shared" si="3"/>
        <v> </v>
      </c>
      <c r="F121" s="55" t="str">
        <f t="shared" si="4"/>
        <v/>
      </c>
      <c r="G121" s="202" t="str">
        <f t="shared" si="5"/>
        <v/>
      </c>
      <c r="H121" s="202" t="str">
        <f t="shared" si="6"/>
        <v> </v>
      </c>
      <c r="I121" s="205" t="str">
        <f t="shared" si="7"/>
        <v/>
      </c>
      <c r="J121" s="205"/>
      <c r="K121" s="205"/>
    </row>
    <row r="122" ht="14.25" customHeight="1">
      <c r="A122" s="55">
        <v>45777.0</v>
      </c>
      <c r="B122" s="55" t="str">
        <f t="shared" si="8"/>
        <v> </v>
      </c>
      <c r="C122" s="202">
        <f t="shared" si="1"/>
        <v>30</v>
      </c>
      <c r="D122" s="202" t="str">
        <f t="shared" si="2"/>
        <v> </v>
      </c>
      <c r="E122" s="202" t="str">
        <f t="shared" si="3"/>
        <v> </v>
      </c>
      <c r="F122" s="55" t="str">
        <f t="shared" si="4"/>
        <v/>
      </c>
      <c r="G122" s="202" t="str">
        <f t="shared" si="5"/>
        <v/>
      </c>
      <c r="H122" s="202">
        <f t="shared" si="6"/>
        <v>30</v>
      </c>
      <c r="I122" s="205" t="str">
        <f t="shared" si="7"/>
        <v/>
      </c>
      <c r="J122" s="205"/>
      <c r="K122" s="205"/>
    </row>
    <row r="123" ht="14.25" customHeight="1">
      <c r="A123" s="55">
        <v>45778.0</v>
      </c>
      <c r="B123" s="55" t="str">
        <f t="shared" si="8"/>
        <v> </v>
      </c>
      <c r="C123" s="202">
        <f t="shared" si="1"/>
        <v>1</v>
      </c>
      <c r="D123" s="202" t="str">
        <f t="shared" si="2"/>
        <v> </v>
      </c>
      <c r="E123" s="202" t="str">
        <f t="shared" si="3"/>
        <v> </v>
      </c>
      <c r="F123" s="55" t="str">
        <f t="shared" si="4"/>
        <v/>
      </c>
      <c r="G123" s="202" t="str">
        <f t="shared" si="5"/>
        <v/>
      </c>
      <c r="H123" s="202" t="str">
        <f t="shared" si="6"/>
        <v> </v>
      </c>
      <c r="I123" s="205" t="str">
        <f t="shared" si="7"/>
        <v/>
      </c>
      <c r="J123" s="205"/>
      <c r="K123" s="205"/>
    </row>
    <row r="124" ht="14.25" customHeight="1">
      <c r="A124" s="55">
        <v>45779.0</v>
      </c>
      <c r="B124" s="55" t="str">
        <f t="shared" si="8"/>
        <v> </v>
      </c>
      <c r="C124" s="202">
        <f t="shared" si="1"/>
        <v>2</v>
      </c>
      <c r="D124" s="202" t="str">
        <f t="shared" si="2"/>
        <v> </v>
      </c>
      <c r="E124" s="202" t="str">
        <f t="shared" si="3"/>
        <v> </v>
      </c>
      <c r="F124" s="55" t="str">
        <f t="shared" si="4"/>
        <v/>
      </c>
      <c r="G124" s="202" t="str">
        <f t="shared" si="5"/>
        <v/>
      </c>
      <c r="H124" s="202" t="str">
        <f t="shared" si="6"/>
        <v> </v>
      </c>
      <c r="I124" s="205" t="str">
        <f t="shared" si="7"/>
        <v/>
      </c>
      <c r="J124" s="205"/>
      <c r="K124" s="205"/>
    </row>
    <row r="125" ht="14.25" customHeight="1">
      <c r="A125" s="55">
        <v>45780.0</v>
      </c>
      <c r="B125" s="55" t="str">
        <f t="shared" si="8"/>
        <v> </v>
      </c>
      <c r="C125" s="202">
        <f t="shared" si="1"/>
        <v>3</v>
      </c>
      <c r="D125" s="202" t="str">
        <f t="shared" si="2"/>
        <v> </v>
      </c>
      <c r="E125" s="202" t="str">
        <f t="shared" si="3"/>
        <v> </v>
      </c>
      <c r="F125" s="55" t="str">
        <f t="shared" si="4"/>
        <v/>
      </c>
      <c r="G125" s="202" t="str">
        <f t="shared" si="5"/>
        <v/>
      </c>
      <c r="H125" s="202" t="str">
        <f t="shared" si="6"/>
        <v> </v>
      </c>
      <c r="I125" s="205" t="str">
        <f t="shared" si="7"/>
        <v/>
      </c>
      <c r="J125" s="205"/>
      <c r="K125" s="205"/>
    </row>
    <row r="126" ht="14.25" customHeight="1">
      <c r="A126" s="55">
        <v>45781.0</v>
      </c>
      <c r="B126" s="55" t="str">
        <f t="shared" si="8"/>
        <v> </v>
      </c>
      <c r="C126" s="202">
        <f t="shared" si="1"/>
        <v>4</v>
      </c>
      <c r="D126" s="202" t="str">
        <f t="shared" si="2"/>
        <v> </v>
      </c>
      <c r="E126" s="202" t="str">
        <f t="shared" si="3"/>
        <v> </v>
      </c>
      <c r="F126" s="55" t="str">
        <f t="shared" si="4"/>
        <v/>
      </c>
      <c r="G126" s="202" t="str">
        <f t="shared" si="5"/>
        <v/>
      </c>
      <c r="H126" s="202" t="str">
        <f t="shared" si="6"/>
        <v> </v>
      </c>
      <c r="I126" s="205" t="str">
        <f t="shared" si="7"/>
        <v/>
      </c>
      <c r="J126" s="205"/>
      <c r="K126" s="205"/>
    </row>
    <row r="127" ht="14.25" customHeight="1">
      <c r="A127" s="55">
        <v>45782.0</v>
      </c>
      <c r="B127" s="55" t="str">
        <f t="shared" si="8"/>
        <v> </v>
      </c>
      <c r="C127" s="202">
        <f t="shared" si="1"/>
        <v>5</v>
      </c>
      <c r="D127" s="202" t="str">
        <f t="shared" si="2"/>
        <v> </v>
      </c>
      <c r="E127" s="202" t="str">
        <f t="shared" si="3"/>
        <v> </v>
      </c>
      <c r="F127" s="55" t="str">
        <f t="shared" si="4"/>
        <v/>
      </c>
      <c r="G127" s="202" t="str">
        <f t="shared" si="5"/>
        <v/>
      </c>
      <c r="H127" s="202" t="str">
        <f t="shared" si="6"/>
        <v> </v>
      </c>
      <c r="I127" s="205" t="str">
        <f t="shared" si="7"/>
        <v/>
      </c>
      <c r="J127" s="205"/>
      <c r="K127" s="205"/>
    </row>
    <row r="128" ht="14.25" customHeight="1">
      <c r="A128" s="55">
        <v>45783.0</v>
      </c>
      <c r="B128" s="55" t="str">
        <f t="shared" si="8"/>
        <v> </v>
      </c>
      <c r="C128" s="202">
        <f t="shared" si="1"/>
        <v>6</v>
      </c>
      <c r="D128" s="202" t="str">
        <f t="shared" si="2"/>
        <v> </v>
      </c>
      <c r="E128" s="202" t="str">
        <f t="shared" si="3"/>
        <v> </v>
      </c>
      <c r="F128" s="55" t="str">
        <f t="shared" si="4"/>
        <v/>
      </c>
      <c r="G128" s="202" t="str">
        <f t="shared" si="5"/>
        <v/>
      </c>
      <c r="H128" s="202" t="str">
        <f t="shared" si="6"/>
        <v> </v>
      </c>
      <c r="I128" s="205" t="str">
        <f t="shared" si="7"/>
        <v/>
      </c>
      <c r="J128" s="205"/>
      <c r="K128" s="205"/>
    </row>
    <row r="129" ht="14.25" customHeight="1">
      <c r="A129" s="55">
        <v>45784.0</v>
      </c>
      <c r="B129" s="55" t="str">
        <f t="shared" si="8"/>
        <v> </v>
      </c>
      <c r="C129" s="202">
        <f t="shared" si="1"/>
        <v>7</v>
      </c>
      <c r="D129" s="202" t="str">
        <f t="shared" si="2"/>
        <v> </v>
      </c>
      <c r="E129" s="202" t="str">
        <f t="shared" si="3"/>
        <v> </v>
      </c>
      <c r="F129" s="55" t="str">
        <f t="shared" si="4"/>
        <v/>
      </c>
      <c r="G129" s="202" t="str">
        <f t="shared" si="5"/>
        <v/>
      </c>
      <c r="H129" s="202" t="str">
        <f t="shared" si="6"/>
        <v> </v>
      </c>
      <c r="I129" s="205" t="str">
        <f t="shared" si="7"/>
        <v/>
      </c>
      <c r="J129" s="205"/>
      <c r="K129" s="205"/>
    </row>
    <row r="130" ht="14.25" customHeight="1">
      <c r="A130" s="55">
        <v>45785.0</v>
      </c>
      <c r="B130" s="55" t="str">
        <f t="shared" si="8"/>
        <v> </v>
      </c>
      <c r="C130" s="202">
        <f t="shared" si="1"/>
        <v>8</v>
      </c>
      <c r="D130" s="202" t="str">
        <f t="shared" si="2"/>
        <v> </v>
      </c>
      <c r="E130" s="202" t="str">
        <f t="shared" si="3"/>
        <v> </v>
      </c>
      <c r="F130" s="55" t="str">
        <f t="shared" si="4"/>
        <v/>
      </c>
      <c r="G130" s="202" t="str">
        <f t="shared" si="5"/>
        <v/>
      </c>
      <c r="H130" s="202" t="str">
        <f t="shared" si="6"/>
        <v> </v>
      </c>
      <c r="I130" s="205" t="str">
        <f t="shared" si="7"/>
        <v/>
      </c>
      <c r="J130" s="205"/>
      <c r="K130" s="205"/>
    </row>
    <row r="131" ht="14.25" customHeight="1">
      <c r="A131" s="55">
        <v>45786.0</v>
      </c>
      <c r="B131" s="55" t="str">
        <f t="shared" si="8"/>
        <v> </v>
      </c>
      <c r="C131" s="202">
        <f t="shared" si="1"/>
        <v>9</v>
      </c>
      <c r="D131" s="202" t="str">
        <f t="shared" si="2"/>
        <v> </v>
      </c>
      <c r="E131" s="202" t="str">
        <f t="shared" si="3"/>
        <v> </v>
      </c>
      <c r="F131" s="55" t="str">
        <f t="shared" si="4"/>
        <v/>
      </c>
      <c r="G131" s="202" t="str">
        <f t="shared" si="5"/>
        <v/>
      </c>
      <c r="H131" s="202" t="str">
        <f t="shared" si="6"/>
        <v> </v>
      </c>
      <c r="I131" s="205" t="str">
        <f t="shared" si="7"/>
        <v/>
      </c>
      <c r="J131" s="205"/>
      <c r="K131" s="205"/>
    </row>
    <row r="132" ht="14.25" customHeight="1">
      <c r="A132" s="55">
        <v>45787.0</v>
      </c>
      <c r="B132" s="55" t="str">
        <f t="shared" si="8"/>
        <v> </v>
      </c>
      <c r="C132" s="202">
        <f t="shared" si="1"/>
        <v>10</v>
      </c>
      <c r="D132" s="202" t="str">
        <f t="shared" si="2"/>
        <v> </v>
      </c>
      <c r="E132" s="202" t="str">
        <f t="shared" si="3"/>
        <v> </v>
      </c>
      <c r="F132" s="55" t="str">
        <f t="shared" si="4"/>
        <v/>
      </c>
      <c r="G132" s="202" t="str">
        <f t="shared" si="5"/>
        <v/>
      </c>
      <c r="H132" s="202" t="str">
        <f t="shared" si="6"/>
        <v> </v>
      </c>
      <c r="I132" s="205" t="str">
        <f t="shared" si="7"/>
        <v/>
      </c>
      <c r="J132" s="205"/>
      <c r="K132" s="205"/>
    </row>
    <row r="133" ht="14.25" customHeight="1">
      <c r="A133" s="55">
        <v>45788.0</v>
      </c>
      <c r="B133" s="55" t="str">
        <f t="shared" si="8"/>
        <v> </v>
      </c>
      <c r="C133" s="202">
        <f t="shared" si="1"/>
        <v>11</v>
      </c>
      <c r="D133" s="202" t="str">
        <f t="shared" si="2"/>
        <v> </v>
      </c>
      <c r="E133" s="202" t="str">
        <f t="shared" si="3"/>
        <v> </v>
      </c>
      <c r="F133" s="55" t="str">
        <f t="shared" si="4"/>
        <v/>
      </c>
      <c r="G133" s="202" t="str">
        <f t="shared" si="5"/>
        <v/>
      </c>
      <c r="H133" s="202" t="str">
        <f t="shared" si="6"/>
        <v> </v>
      </c>
      <c r="I133" s="205" t="str">
        <f t="shared" si="7"/>
        <v/>
      </c>
      <c r="J133" s="205"/>
      <c r="K133" s="205"/>
    </row>
    <row r="134" ht="14.25" customHeight="1">
      <c r="A134" s="55">
        <v>45789.0</v>
      </c>
      <c r="B134" s="55" t="str">
        <f t="shared" si="8"/>
        <v> </v>
      </c>
      <c r="C134" s="202">
        <f t="shared" si="1"/>
        <v>12</v>
      </c>
      <c r="D134" s="202" t="str">
        <f t="shared" si="2"/>
        <v> </v>
      </c>
      <c r="E134" s="202" t="str">
        <f t="shared" si="3"/>
        <v> </v>
      </c>
      <c r="F134" s="55" t="str">
        <f t="shared" si="4"/>
        <v/>
      </c>
      <c r="G134" s="202" t="str">
        <f t="shared" si="5"/>
        <v/>
      </c>
      <c r="H134" s="202" t="str">
        <f t="shared" si="6"/>
        <v> </v>
      </c>
      <c r="I134" s="205" t="str">
        <f t="shared" si="7"/>
        <v/>
      </c>
      <c r="J134" s="205"/>
      <c r="K134" s="205"/>
    </row>
    <row r="135" ht="14.25" customHeight="1">
      <c r="A135" s="55">
        <v>45790.0</v>
      </c>
      <c r="B135" s="55" t="str">
        <f t="shared" si="8"/>
        <v> </v>
      </c>
      <c r="C135" s="202">
        <f t="shared" si="1"/>
        <v>13</v>
      </c>
      <c r="D135" s="202" t="str">
        <f t="shared" si="2"/>
        <v> </v>
      </c>
      <c r="E135" s="202" t="str">
        <f t="shared" si="3"/>
        <v> </v>
      </c>
      <c r="F135" s="55" t="str">
        <f t="shared" si="4"/>
        <v/>
      </c>
      <c r="G135" s="202" t="str">
        <f t="shared" si="5"/>
        <v/>
      </c>
      <c r="H135" s="202" t="str">
        <f t="shared" si="6"/>
        <v> </v>
      </c>
      <c r="I135" s="205" t="str">
        <f t="shared" si="7"/>
        <v/>
      </c>
      <c r="J135" s="205"/>
      <c r="K135" s="205"/>
    </row>
    <row r="136" ht="14.25" customHeight="1">
      <c r="A136" s="55">
        <v>45791.0</v>
      </c>
      <c r="B136" s="55" t="str">
        <f t="shared" si="8"/>
        <v> </v>
      </c>
      <c r="C136" s="202">
        <f t="shared" si="1"/>
        <v>14</v>
      </c>
      <c r="D136" s="202" t="str">
        <f t="shared" si="2"/>
        <v> </v>
      </c>
      <c r="E136" s="202" t="str">
        <f t="shared" si="3"/>
        <v> </v>
      </c>
      <c r="F136" s="55" t="str">
        <f t="shared" si="4"/>
        <v/>
      </c>
      <c r="G136" s="202" t="str">
        <f t="shared" si="5"/>
        <v/>
      </c>
      <c r="H136" s="202" t="str">
        <f t="shared" si="6"/>
        <v> </v>
      </c>
      <c r="I136" s="205" t="str">
        <f t="shared" si="7"/>
        <v/>
      </c>
      <c r="J136" s="205"/>
      <c r="K136" s="205"/>
    </row>
    <row r="137" ht="14.25" customHeight="1">
      <c r="A137" s="55">
        <v>45792.0</v>
      </c>
      <c r="B137" s="55" t="str">
        <f t="shared" si="8"/>
        <v> </v>
      </c>
      <c r="C137" s="202">
        <f t="shared" si="1"/>
        <v>15</v>
      </c>
      <c r="D137" s="202" t="str">
        <f t="shared" si="2"/>
        <v> </v>
      </c>
      <c r="E137" s="202" t="str">
        <f t="shared" si="3"/>
        <v> </v>
      </c>
      <c r="F137" s="55" t="str">
        <f t="shared" si="4"/>
        <v/>
      </c>
      <c r="G137" s="202" t="str">
        <f t="shared" si="5"/>
        <v/>
      </c>
      <c r="H137" s="202" t="str">
        <f t="shared" si="6"/>
        <v> </v>
      </c>
      <c r="I137" s="205" t="str">
        <f t="shared" si="7"/>
        <v/>
      </c>
      <c r="J137" s="205"/>
      <c r="K137" s="205"/>
    </row>
    <row r="138" ht="14.25" customHeight="1">
      <c r="A138" s="55">
        <v>45793.0</v>
      </c>
      <c r="B138" s="55" t="str">
        <f t="shared" si="8"/>
        <v> </v>
      </c>
      <c r="C138" s="202">
        <f t="shared" si="1"/>
        <v>16</v>
      </c>
      <c r="D138" s="202" t="str">
        <f t="shared" si="2"/>
        <v> </v>
      </c>
      <c r="E138" s="202" t="str">
        <f t="shared" si="3"/>
        <v> </v>
      </c>
      <c r="F138" s="55" t="str">
        <f t="shared" si="4"/>
        <v/>
      </c>
      <c r="G138" s="202" t="str">
        <f t="shared" si="5"/>
        <v/>
      </c>
      <c r="H138" s="202" t="str">
        <f t="shared" si="6"/>
        <v> </v>
      </c>
      <c r="I138" s="205" t="str">
        <f t="shared" si="7"/>
        <v/>
      </c>
      <c r="J138" s="205"/>
      <c r="K138" s="205"/>
    </row>
    <row r="139" ht="14.25" customHeight="1">
      <c r="A139" s="55">
        <v>45794.0</v>
      </c>
      <c r="B139" s="55" t="str">
        <f t="shared" si="8"/>
        <v> </v>
      </c>
      <c r="C139" s="202">
        <f t="shared" si="1"/>
        <v>17</v>
      </c>
      <c r="D139" s="202" t="str">
        <f t="shared" si="2"/>
        <v> </v>
      </c>
      <c r="E139" s="202" t="str">
        <f t="shared" si="3"/>
        <v> </v>
      </c>
      <c r="F139" s="55" t="str">
        <f t="shared" si="4"/>
        <v/>
      </c>
      <c r="G139" s="202" t="str">
        <f t="shared" si="5"/>
        <v/>
      </c>
      <c r="H139" s="202" t="str">
        <f t="shared" si="6"/>
        <v> </v>
      </c>
      <c r="I139" s="205" t="str">
        <f t="shared" si="7"/>
        <v/>
      </c>
      <c r="J139" s="205"/>
      <c r="K139" s="205"/>
    </row>
    <row r="140" ht="14.25" customHeight="1">
      <c r="A140" s="55">
        <v>45795.0</v>
      </c>
      <c r="B140" s="55" t="str">
        <f t="shared" si="8"/>
        <v> </v>
      </c>
      <c r="C140" s="202">
        <f t="shared" si="1"/>
        <v>18</v>
      </c>
      <c r="D140" s="202" t="str">
        <f t="shared" si="2"/>
        <v> </v>
      </c>
      <c r="E140" s="202" t="str">
        <f t="shared" si="3"/>
        <v> </v>
      </c>
      <c r="F140" s="55" t="str">
        <f t="shared" si="4"/>
        <v/>
      </c>
      <c r="G140" s="202" t="str">
        <f t="shared" si="5"/>
        <v/>
      </c>
      <c r="H140" s="202" t="str">
        <f t="shared" si="6"/>
        <v> </v>
      </c>
      <c r="I140" s="205" t="str">
        <f t="shared" si="7"/>
        <v/>
      </c>
      <c r="J140" s="205"/>
      <c r="K140" s="205"/>
    </row>
    <row r="141" ht="14.25" customHeight="1">
      <c r="A141" s="55">
        <v>45796.0</v>
      </c>
      <c r="B141" s="55" t="str">
        <f t="shared" si="8"/>
        <v> </v>
      </c>
      <c r="C141" s="202">
        <f t="shared" si="1"/>
        <v>19</v>
      </c>
      <c r="D141" s="202" t="str">
        <f t="shared" si="2"/>
        <v> </v>
      </c>
      <c r="E141" s="202" t="str">
        <f t="shared" si="3"/>
        <v> </v>
      </c>
      <c r="F141" s="55" t="str">
        <f t="shared" si="4"/>
        <v/>
      </c>
      <c r="G141" s="202" t="str">
        <f t="shared" si="5"/>
        <v/>
      </c>
      <c r="H141" s="202" t="str">
        <f t="shared" si="6"/>
        <v> </v>
      </c>
      <c r="I141" s="205" t="str">
        <f t="shared" si="7"/>
        <v/>
      </c>
      <c r="J141" s="205"/>
      <c r="K141" s="205"/>
    </row>
    <row r="142" ht="14.25" customHeight="1">
      <c r="A142" s="55">
        <v>45797.0</v>
      </c>
      <c r="B142" s="55" t="str">
        <f t="shared" si="8"/>
        <v> </v>
      </c>
      <c r="C142" s="202">
        <f t="shared" si="1"/>
        <v>20</v>
      </c>
      <c r="D142" s="202" t="str">
        <f t="shared" si="2"/>
        <v> </v>
      </c>
      <c r="E142" s="202" t="str">
        <f t="shared" si="3"/>
        <v> </v>
      </c>
      <c r="F142" s="55" t="str">
        <f t="shared" si="4"/>
        <v/>
      </c>
      <c r="G142" s="202" t="str">
        <f t="shared" si="5"/>
        <v/>
      </c>
      <c r="H142" s="202" t="str">
        <f t="shared" si="6"/>
        <v> </v>
      </c>
      <c r="I142" s="205" t="str">
        <f t="shared" si="7"/>
        <v/>
      </c>
      <c r="J142" s="205"/>
      <c r="K142" s="205"/>
    </row>
    <row r="143" ht="14.25" customHeight="1">
      <c r="A143" s="55">
        <v>45798.0</v>
      </c>
      <c r="B143" s="55" t="str">
        <f t="shared" si="8"/>
        <v> </v>
      </c>
      <c r="C143" s="202">
        <f t="shared" si="1"/>
        <v>21</v>
      </c>
      <c r="D143" s="202" t="str">
        <f t="shared" si="2"/>
        <v> </v>
      </c>
      <c r="E143" s="202" t="str">
        <f t="shared" si="3"/>
        <v> </v>
      </c>
      <c r="F143" s="55" t="str">
        <f t="shared" si="4"/>
        <v/>
      </c>
      <c r="G143" s="202" t="str">
        <f t="shared" si="5"/>
        <v/>
      </c>
      <c r="H143" s="202" t="str">
        <f t="shared" si="6"/>
        <v> </v>
      </c>
      <c r="I143" s="205" t="str">
        <f t="shared" si="7"/>
        <v/>
      </c>
      <c r="J143" s="205"/>
      <c r="K143" s="205"/>
    </row>
    <row r="144" ht="14.25" customHeight="1">
      <c r="A144" s="55">
        <v>45799.0</v>
      </c>
      <c r="B144" s="55" t="str">
        <f t="shared" si="8"/>
        <v> </v>
      </c>
      <c r="C144" s="202">
        <f t="shared" si="1"/>
        <v>22</v>
      </c>
      <c r="D144" s="202" t="str">
        <f t="shared" si="2"/>
        <v> </v>
      </c>
      <c r="E144" s="202" t="str">
        <f t="shared" si="3"/>
        <v> </v>
      </c>
      <c r="F144" s="55" t="str">
        <f t="shared" si="4"/>
        <v/>
      </c>
      <c r="G144" s="202" t="str">
        <f t="shared" si="5"/>
        <v/>
      </c>
      <c r="H144" s="202" t="str">
        <f t="shared" si="6"/>
        <v> </v>
      </c>
      <c r="I144" s="205" t="str">
        <f t="shared" si="7"/>
        <v/>
      </c>
      <c r="J144" s="205"/>
      <c r="K144" s="205"/>
    </row>
    <row r="145" ht="14.25" customHeight="1">
      <c r="A145" s="55">
        <v>45800.0</v>
      </c>
      <c r="B145" s="55" t="str">
        <f t="shared" si="8"/>
        <v> </v>
      </c>
      <c r="C145" s="202">
        <f t="shared" si="1"/>
        <v>23</v>
      </c>
      <c r="D145" s="202" t="str">
        <f t="shared" si="2"/>
        <v> </v>
      </c>
      <c r="E145" s="202" t="str">
        <f t="shared" si="3"/>
        <v> </v>
      </c>
      <c r="F145" s="55" t="str">
        <f t="shared" si="4"/>
        <v/>
      </c>
      <c r="G145" s="202" t="str">
        <f t="shared" si="5"/>
        <v/>
      </c>
      <c r="H145" s="202" t="str">
        <f t="shared" si="6"/>
        <v> </v>
      </c>
      <c r="I145" s="205" t="str">
        <f t="shared" si="7"/>
        <v/>
      </c>
      <c r="J145" s="205"/>
      <c r="K145" s="205"/>
    </row>
    <row r="146" ht="14.25" customHeight="1">
      <c r="A146" s="55">
        <v>45801.0</v>
      </c>
      <c r="B146" s="55" t="str">
        <f t="shared" si="8"/>
        <v> </v>
      </c>
      <c r="C146" s="202">
        <f t="shared" si="1"/>
        <v>24</v>
      </c>
      <c r="D146" s="202" t="str">
        <f t="shared" si="2"/>
        <v> </v>
      </c>
      <c r="E146" s="202" t="str">
        <f t="shared" si="3"/>
        <v> </v>
      </c>
      <c r="F146" s="55" t="str">
        <f t="shared" si="4"/>
        <v/>
      </c>
      <c r="G146" s="202" t="str">
        <f t="shared" si="5"/>
        <v/>
      </c>
      <c r="H146" s="202" t="str">
        <f t="shared" si="6"/>
        <v> </v>
      </c>
      <c r="I146" s="205" t="str">
        <f t="shared" si="7"/>
        <v/>
      </c>
      <c r="J146" s="205"/>
      <c r="K146" s="205"/>
    </row>
    <row r="147" ht="14.25" customHeight="1">
      <c r="A147" s="55">
        <v>45802.0</v>
      </c>
      <c r="B147" s="55" t="str">
        <f t="shared" si="8"/>
        <v> </v>
      </c>
      <c r="C147" s="202">
        <f t="shared" si="1"/>
        <v>25</v>
      </c>
      <c r="D147" s="202" t="str">
        <f t="shared" si="2"/>
        <v> </v>
      </c>
      <c r="E147" s="202" t="str">
        <f t="shared" si="3"/>
        <v> </v>
      </c>
      <c r="F147" s="55" t="str">
        <f t="shared" si="4"/>
        <v/>
      </c>
      <c r="G147" s="202" t="str">
        <f t="shared" si="5"/>
        <v/>
      </c>
      <c r="H147" s="202" t="str">
        <f t="shared" si="6"/>
        <v> </v>
      </c>
      <c r="I147" s="205" t="str">
        <f t="shared" si="7"/>
        <v/>
      </c>
      <c r="J147" s="205"/>
      <c r="K147" s="205"/>
    </row>
    <row r="148" ht="14.25" customHeight="1">
      <c r="A148" s="55">
        <v>45803.0</v>
      </c>
      <c r="B148" s="55" t="str">
        <f t="shared" si="8"/>
        <v> </v>
      </c>
      <c r="C148" s="202">
        <f t="shared" si="1"/>
        <v>26</v>
      </c>
      <c r="D148" s="202" t="str">
        <f t="shared" si="2"/>
        <v> </v>
      </c>
      <c r="E148" s="202" t="str">
        <f t="shared" si="3"/>
        <v> </v>
      </c>
      <c r="F148" s="55" t="str">
        <f t="shared" si="4"/>
        <v/>
      </c>
      <c r="G148" s="202" t="str">
        <f t="shared" si="5"/>
        <v/>
      </c>
      <c r="H148" s="202" t="str">
        <f t="shared" si="6"/>
        <v> </v>
      </c>
      <c r="I148" s="205" t="str">
        <f t="shared" si="7"/>
        <v/>
      </c>
      <c r="J148" s="205"/>
      <c r="K148" s="205"/>
    </row>
    <row r="149" ht="14.25" customHeight="1">
      <c r="A149" s="55">
        <v>45804.0</v>
      </c>
      <c r="B149" s="55" t="str">
        <f t="shared" si="8"/>
        <v> </v>
      </c>
      <c r="C149" s="202">
        <f t="shared" si="1"/>
        <v>27</v>
      </c>
      <c r="D149" s="202" t="str">
        <f t="shared" si="2"/>
        <v> </v>
      </c>
      <c r="E149" s="202" t="str">
        <f t="shared" si="3"/>
        <v> </v>
      </c>
      <c r="F149" s="55" t="str">
        <f t="shared" si="4"/>
        <v/>
      </c>
      <c r="G149" s="202" t="str">
        <f t="shared" si="5"/>
        <v/>
      </c>
      <c r="H149" s="202" t="str">
        <f t="shared" si="6"/>
        <v> </v>
      </c>
      <c r="I149" s="205" t="str">
        <f t="shared" si="7"/>
        <v/>
      </c>
      <c r="J149" s="205"/>
      <c r="K149" s="205"/>
    </row>
    <row r="150" ht="14.25" customHeight="1">
      <c r="A150" s="55">
        <v>45805.0</v>
      </c>
      <c r="B150" s="55" t="str">
        <f t="shared" si="8"/>
        <v> </v>
      </c>
      <c r="C150" s="202">
        <f t="shared" si="1"/>
        <v>28</v>
      </c>
      <c r="D150" s="202" t="str">
        <f t="shared" si="2"/>
        <v> </v>
      </c>
      <c r="E150" s="202" t="str">
        <f t="shared" si="3"/>
        <v> </v>
      </c>
      <c r="F150" s="55" t="str">
        <f t="shared" si="4"/>
        <v/>
      </c>
      <c r="G150" s="202" t="str">
        <f t="shared" si="5"/>
        <v/>
      </c>
      <c r="H150" s="202" t="str">
        <f t="shared" si="6"/>
        <v> </v>
      </c>
      <c r="I150" s="205" t="str">
        <f t="shared" si="7"/>
        <v/>
      </c>
      <c r="J150" s="205"/>
      <c r="K150" s="205"/>
    </row>
    <row r="151" ht="14.25" customHeight="1">
      <c r="A151" s="55">
        <v>45806.0</v>
      </c>
      <c r="B151" s="55" t="str">
        <f t="shared" si="8"/>
        <v> </v>
      </c>
      <c r="C151" s="202">
        <f t="shared" si="1"/>
        <v>29</v>
      </c>
      <c r="D151" s="202" t="str">
        <f t="shared" si="2"/>
        <v> </v>
      </c>
      <c r="E151" s="202" t="str">
        <f t="shared" si="3"/>
        <v> </v>
      </c>
      <c r="F151" s="55" t="str">
        <f t="shared" si="4"/>
        <v/>
      </c>
      <c r="G151" s="202" t="str">
        <f t="shared" si="5"/>
        <v/>
      </c>
      <c r="H151" s="202" t="str">
        <f t="shared" si="6"/>
        <v> </v>
      </c>
      <c r="I151" s="205" t="str">
        <f t="shared" si="7"/>
        <v/>
      </c>
      <c r="J151" s="205"/>
      <c r="K151" s="205"/>
    </row>
    <row r="152" ht="14.25" customHeight="1">
      <c r="A152" s="55">
        <v>45807.0</v>
      </c>
      <c r="B152" s="55" t="str">
        <f t="shared" si="8"/>
        <v> </v>
      </c>
      <c r="C152" s="202">
        <f t="shared" si="1"/>
        <v>30</v>
      </c>
      <c r="D152" s="202" t="str">
        <f t="shared" si="2"/>
        <v> </v>
      </c>
      <c r="E152" s="202" t="str">
        <f t="shared" si="3"/>
        <v> </v>
      </c>
      <c r="F152" s="55" t="str">
        <f t="shared" si="4"/>
        <v/>
      </c>
      <c r="G152" s="202" t="str">
        <f t="shared" si="5"/>
        <v/>
      </c>
      <c r="H152" s="202" t="str">
        <f t="shared" si="6"/>
        <v> </v>
      </c>
      <c r="I152" s="205" t="str">
        <f t="shared" si="7"/>
        <v/>
      </c>
      <c r="J152" s="205"/>
      <c r="K152" s="205"/>
    </row>
    <row r="153" ht="14.25" customHeight="1">
      <c r="A153" s="55">
        <v>45808.0</v>
      </c>
      <c r="B153" s="55" t="str">
        <f t="shared" si="8"/>
        <v> </v>
      </c>
      <c r="C153" s="202">
        <f t="shared" si="1"/>
        <v>31</v>
      </c>
      <c r="D153" s="202" t="str">
        <f t="shared" si="2"/>
        <v> </v>
      </c>
      <c r="E153" s="202" t="str">
        <f t="shared" si="3"/>
        <v> </v>
      </c>
      <c r="F153" s="55" t="str">
        <f t="shared" si="4"/>
        <v/>
      </c>
      <c r="G153" s="202" t="str">
        <f t="shared" si="5"/>
        <v/>
      </c>
      <c r="H153" s="202">
        <f t="shared" si="6"/>
        <v>31</v>
      </c>
      <c r="I153" s="205" t="str">
        <f t="shared" si="7"/>
        <v/>
      </c>
      <c r="J153" s="205"/>
      <c r="K153" s="205"/>
    </row>
    <row r="154" ht="14.25" customHeight="1">
      <c r="A154" s="55">
        <v>45809.0</v>
      </c>
      <c r="B154" s="55" t="str">
        <f t="shared" si="8"/>
        <v> </v>
      </c>
      <c r="C154" s="202">
        <f t="shared" si="1"/>
        <v>1</v>
      </c>
      <c r="D154" s="202" t="str">
        <f t="shared" si="2"/>
        <v> </v>
      </c>
      <c r="E154" s="202" t="str">
        <f t="shared" si="3"/>
        <v> </v>
      </c>
      <c r="F154" s="55" t="str">
        <f t="shared" si="4"/>
        <v/>
      </c>
      <c r="G154" s="202" t="str">
        <f t="shared" si="5"/>
        <v/>
      </c>
      <c r="H154" s="202" t="str">
        <f t="shared" si="6"/>
        <v> </v>
      </c>
      <c r="I154" s="205" t="str">
        <f t="shared" si="7"/>
        <v/>
      </c>
      <c r="J154" s="205"/>
      <c r="K154" s="205"/>
    </row>
    <row r="155" ht="14.25" customHeight="1">
      <c r="A155" s="55">
        <v>45810.0</v>
      </c>
      <c r="B155" s="55" t="str">
        <f t="shared" si="8"/>
        <v> </v>
      </c>
      <c r="C155" s="202">
        <f t="shared" si="1"/>
        <v>2</v>
      </c>
      <c r="D155" s="202" t="str">
        <f t="shared" si="2"/>
        <v> </v>
      </c>
      <c r="E155" s="202" t="str">
        <f t="shared" si="3"/>
        <v> </v>
      </c>
      <c r="F155" s="55" t="str">
        <f t="shared" si="4"/>
        <v/>
      </c>
      <c r="G155" s="202" t="str">
        <f t="shared" si="5"/>
        <v/>
      </c>
      <c r="H155" s="202" t="str">
        <f t="shared" si="6"/>
        <v> </v>
      </c>
      <c r="I155" s="205" t="str">
        <f t="shared" si="7"/>
        <v/>
      </c>
      <c r="J155" s="205"/>
      <c r="K155" s="205"/>
    </row>
    <row r="156" ht="14.25" customHeight="1">
      <c r="A156" s="55">
        <v>45811.0</v>
      </c>
      <c r="B156" s="55" t="str">
        <f t="shared" si="8"/>
        <v> </v>
      </c>
      <c r="C156" s="202">
        <f t="shared" si="1"/>
        <v>3</v>
      </c>
      <c r="D156" s="202" t="str">
        <f t="shared" si="2"/>
        <v> </v>
      </c>
      <c r="E156" s="202" t="str">
        <f t="shared" si="3"/>
        <v> </v>
      </c>
      <c r="F156" s="55" t="str">
        <f t="shared" si="4"/>
        <v/>
      </c>
      <c r="G156" s="202" t="str">
        <f t="shared" si="5"/>
        <v/>
      </c>
      <c r="H156" s="202" t="str">
        <f t="shared" si="6"/>
        <v> </v>
      </c>
      <c r="I156" s="205" t="str">
        <f t="shared" si="7"/>
        <v/>
      </c>
      <c r="J156" s="205"/>
      <c r="K156" s="205"/>
    </row>
    <row r="157" ht="14.25" customHeight="1">
      <c r="A157" s="55">
        <v>45812.0</v>
      </c>
      <c r="B157" s="55" t="str">
        <f t="shared" si="8"/>
        <v> </v>
      </c>
      <c r="C157" s="202">
        <f t="shared" si="1"/>
        <v>4</v>
      </c>
      <c r="D157" s="202" t="str">
        <f t="shared" si="2"/>
        <v> </v>
      </c>
      <c r="E157" s="202" t="str">
        <f t="shared" si="3"/>
        <v> </v>
      </c>
      <c r="F157" s="55" t="str">
        <f t="shared" si="4"/>
        <v/>
      </c>
      <c r="G157" s="202" t="str">
        <f t="shared" si="5"/>
        <v/>
      </c>
      <c r="H157" s="202" t="str">
        <f t="shared" si="6"/>
        <v> </v>
      </c>
      <c r="I157" s="205" t="str">
        <f t="shared" si="7"/>
        <v/>
      </c>
      <c r="J157" s="205"/>
      <c r="K157" s="205"/>
    </row>
    <row r="158" ht="14.25" customHeight="1">
      <c r="A158" s="55">
        <v>45813.0</v>
      </c>
      <c r="B158" s="55" t="str">
        <f t="shared" si="8"/>
        <v> </v>
      </c>
      <c r="C158" s="202">
        <f t="shared" si="1"/>
        <v>5</v>
      </c>
      <c r="D158" s="202" t="str">
        <f t="shared" si="2"/>
        <v> </v>
      </c>
      <c r="E158" s="202" t="str">
        <f t="shared" si="3"/>
        <v> </v>
      </c>
      <c r="F158" s="55" t="str">
        <f t="shared" si="4"/>
        <v/>
      </c>
      <c r="G158" s="202" t="str">
        <f t="shared" si="5"/>
        <v/>
      </c>
      <c r="H158" s="202" t="str">
        <f t="shared" si="6"/>
        <v> </v>
      </c>
      <c r="I158" s="205" t="str">
        <f t="shared" si="7"/>
        <v/>
      </c>
      <c r="J158" s="205"/>
      <c r="K158" s="205"/>
    </row>
    <row r="159" ht="14.25" customHeight="1">
      <c r="A159" s="55">
        <v>45814.0</v>
      </c>
      <c r="B159" s="55" t="str">
        <f t="shared" si="8"/>
        <v> </v>
      </c>
      <c r="C159" s="202">
        <f t="shared" si="1"/>
        <v>6</v>
      </c>
      <c r="D159" s="202" t="str">
        <f t="shared" si="2"/>
        <v> </v>
      </c>
      <c r="E159" s="202" t="str">
        <f t="shared" si="3"/>
        <v> </v>
      </c>
      <c r="F159" s="55" t="str">
        <f t="shared" si="4"/>
        <v/>
      </c>
      <c r="G159" s="202" t="str">
        <f t="shared" si="5"/>
        <v/>
      </c>
      <c r="H159" s="202" t="str">
        <f t="shared" si="6"/>
        <v> </v>
      </c>
      <c r="I159" s="205" t="str">
        <f t="shared" si="7"/>
        <v/>
      </c>
      <c r="J159" s="205"/>
      <c r="K159" s="205"/>
    </row>
    <row r="160" ht="14.25" customHeight="1">
      <c r="A160" s="55">
        <v>45815.0</v>
      </c>
      <c r="B160" s="55" t="str">
        <f t="shared" si="8"/>
        <v> </v>
      </c>
      <c r="C160" s="202">
        <f t="shared" si="1"/>
        <v>7</v>
      </c>
      <c r="D160" s="202" t="str">
        <f t="shared" si="2"/>
        <v> </v>
      </c>
      <c r="E160" s="202" t="str">
        <f t="shared" si="3"/>
        <v> </v>
      </c>
      <c r="F160" s="55" t="str">
        <f t="shared" si="4"/>
        <v/>
      </c>
      <c r="G160" s="202" t="str">
        <f t="shared" si="5"/>
        <v/>
      </c>
      <c r="H160" s="202" t="str">
        <f t="shared" si="6"/>
        <v> </v>
      </c>
      <c r="I160" s="205" t="str">
        <f t="shared" si="7"/>
        <v/>
      </c>
      <c r="J160" s="205"/>
      <c r="K160" s="205"/>
    </row>
    <row r="161" ht="14.25" customHeight="1">
      <c r="A161" s="55">
        <v>45816.0</v>
      </c>
      <c r="B161" s="55" t="str">
        <f t="shared" si="8"/>
        <v> </v>
      </c>
      <c r="C161" s="202">
        <f t="shared" si="1"/>
        <v>8</v>
      </c>
      <c r="D161" s="202" t="str">
        <f t="shared" si="2"/>
        <v> </v>
      </c>
      <c r="E161" s="202" t="str">
        <f t="shared" si="3"/>
        <v> </v>
      </c>
      <c r="F161" s="55" t="str">
        <f t="shared" si="4"/>
        <v/>
      </c>
      <c r="G161" s="202" t="str">
        <f t="shared" si="5"/>
        <v/>
      </c>
      <c r="H161" s="202" t="str">
        <f t="shared" si="6"/>
        <v> </v>
      </c>
      <c r="I161" s="205" t="str">
        <f t="shared" si="7"/>
        <v/>
      </c>
      <c r="J161" s="205"/>
      <c r="K161" s="205"/>
    </row>
    <row r="162" ht="14.25" customHeight="1">
      <c r="A162" s="55">
        <v>45817.0</v>
      </c>
      <c r="B162" s="55" t="str">
        <f t="shared" si="8"/>
        <v> </v>
      </c>
      <c r="C162" s="202">
        <f t="shared" si="1"/>
        <v>9</v>
      </c>
      <c r="D162" s="202" t="str">
        <f t="shared" si="2"/>
        <v> </v>
      </c>
      <c r="E162" s="202" t="str">
        <f t="shared" si="3"/>
        <v> </v>
      </c>
      <c r="F162" s="55" t="str">
        <f t="shared" si="4"/>
        <v/>
      </c>
      <c r="G162" s="202" t="str">
        <f t="shared" si="5"/>
        <v/>
      </c>
      <c r="H162" s="202" t="str">
        <f t="shared" si="6"/>
        <v> </v>
      </c>
      <c r="I162" s="205" t="str">
        <f t="shared" si="7"/>
        <v/>
      </c>
      <c r="J162" s="205"/>
      <c r="K162" s="205"/>
    </row>
    <row r="163" ht="14.25" customHeight="1">
      <c r="A163" s="55">
        <v>45818.0</v>
      </c>
      <c r="B163" s="55" t="str">
        <f t="shared" si="8"/>
        <v> </v>
      </c>
      <c r="C163" s="202">
        <f t="shared" si="1"/>
        <v>10</v>
      </c>
      <c r="D163" s="202" t="str">
        <f t="shared" si="2"/>
        <v> </v>
      </c>
      <c r="E163" s="202" t="str">
        <f t="shared" si="3"/>
        <v> </v>
      </c>
      <c r="F163" s="55" t="str">
        <f t="shared" si="4"/>
        <v/>
      </c>
      <c r="G163" s="202" t="str">
        <f t="shared" si="5"/>
        <v/>
      </c>
      <c r="H163" s="202" t="str">
        <f t="shared" si="6"/>
        <v> </v>
      </c>
      <c r="I163" s="205" t="str">
        <f t="shared" si="7"/>
        <v/>
      </c>
      <c r="J163" s="205"/>
      <c r="K163" s="205"/>
    </row>
    <row r="164" ht="14.25" customHeight="1">
      <c r="A164" s="55">
        <v>45819.0</v>
      </c>
      <c r="B164" s="55" t="str">
        <f t="shared" si="8"/>
        <v> </v>
      </c>
      <c r="C164" s="202">
        <f t="shared" si="1"/>
        <v>11</v>
      </c>
      <c r="D164" s="202" t="str">
        <f t="shared" si="2"/>
        <v> </v>
      </c>
      <c r="E164" s="202" t="str">
        <f t="shared" si="3"/>
        <v> </v>
      </c>
      <c r="F164" s="55" t="str">
        <f t="shared" si="4"/>
        <v/>
      </c>
      <c r="G164" s="202" t="str">
        <f t="shared" si="5"/>
        <v/>
      </c>
      <c r="H164" s="202" t="str">
        <f t="shared" si="6"/>
        <v> </v>
      </c>
      <c r="I164" s="205" t="str">
        <f t="shared" si="7"/>
        <v/>
      </c>
      <c r="J164" s="205"/>
      <c r="K164" s="205"/>
    </row>
    <row r="165" ht="14.25" customHeight="1">
      <c r="A165" s="55">
        <v>45820.0</v>
      </c>
      <c r="B165" s="55" t="str">
        <f t="shared" si="8"/>
        <v> </v>
      </c>
      <c r="C165" s="202">
        <f t="shared" si="1"/>
        <v>12</v>
      </c>
      <c r="D165" s="202" t="str">
        <f t="shared" si="2"/>
        <v> </v>
      </c>
      <c r="E165" s="202" t="str">
        <f t="shared" si="3"/>
        <v> </v>
      </c>
      <c r="F165" s="55" t="str">
        <f t="shared" si="4"/>
        <v/>
      </c>
      <c r="G165" s="202" t="str">
        <f t="shared" si="5"/>
        <v/>
      </c>
      <c r="H165" s="202" t="str">
        <f t="shared" si="6"/>
        <v> </v>
      </c>
      <c r="I165" s="205" t="str">
        <f t="shared" si="7"/>
        <v/>
      </c>
      <c r="J165" s="205"/>
      <c r="K165" s="205"/>
    </row>
    <row r="166" ht="14.25" customHeight="1">
      <c r="A166" s="55">
        <v>45821.0</v>
      </c>
      <c r="B166" s="55" t="str">
        <f t="shared" si="8"/>
        <v> </v>
      </c>
      <c r="C166" s="202">
        <f t="shared" si="1"/>
        <v>13</v>
      </c>
      <c r="D166" s="202" t="str">
        <f t="shared" si="2"/>
        <v> </v>
      </c>
      <c r="E166" s="202" t="str">
        <f t="shared" si="3"/>
        <v> </v>
      </c>
      <c r="F166" s="55" t="str">
        <f t="shared" si="4"/>
        <v/>
      </c>
      <c r="G166" s="202" t="str">
        <f t="shared" si="5"/>
        <v/>
      </c>
      <c r="H166" s="202" t="str">
        <f t="shared" si="6"/>
        <v> </v>
      </c>
      <c r="I166" s="205" t="str">
        <f t="shared" si="7"/>
        <v/>
      </c>
      <c r="J166" s="205"/>
      <c r="K166" s="205"/>
    </row>
    <row r="167" ht="14.25" customHeight="1">
      <c r="A167" s="55">
        <v>45822.0</v>
      </c>
      <c r="B167" s="55" t="str">
        <f t="shared" si="8"/>
        <v> </v>
      </c>
      <c r="C167" s="202">
        <f t="shared" si="1"/>
        <v>14</v>
      </c>
      <c r="D167" s="202" t="str">
        <f t="shared" si="2"/>
        <v> </v>
      </c>
      <c r="E167" s="202" t="str">
        <f t="shared" si="3"/>
        <v> </v>
      </c>
      <c r="F167" s="55" t="str">
        <f t="shared" si="4"/>
        <v/>
      </c>
      <c r="G167" s="202" t="str">
        <f t="shared" si="5"/>
        <v/>
      </c>
      <c r="H167" s="202" t="str">
        <f t="shared" si="6"/>
        <v> </v>
      </c>
      <c r="I167" s="205" t="str">
        <f t="shared" si="7"/>
        <v/>
      </c>
      <c r="J167" s="205"/>
      <c r="K167" s="205"/>
    </row>
    <row r="168" ht="14.25" customHeight="1">
      <c r="A168" s="55">
        <v>45823.0</v>
      </c>
      <c r="B168" s="55" t="str">
        <f t="shared" si="8"/>
        <v> </v>
      </c>
      <c r="C168" s="202">
        <f t="shared" si="1"/>
        <v>15</v>
      </c>
      <c r="D168" s="202" t="str">
        <f t="shared" si="2"/>
        <v> </v>
      </c>
      <c r="E168" s="202" t="str">
        <f t="shared" si="3"/>
        <v> </v>
      </c>
      <c r="F168" s="55" t="str">
        <f t="shared" si="4"/>
        <v/>
      </c>
      <c r="G168" s="202" t="str">
        <f t="shared" si="5"/>
        <v/>
      </c>
      <c r="H168" s="202" t="str">
        <f t="shared" si="6"/>
        <v> </v>
      </c>
      <c r="I168" s="205" t="str">
        <f t="shared" si="7"/>
        <v/>
      </c>
      <c r="J168" s="205"/>
      <c r="K168" s="205"/>
    </row>
    <row r="169" ht="14.25" customHeight="1">
      <c r="A169" s="55">
        <v>45824.0</v>
      </c>
      <c r="B169" s="55" t="str">
        <f t="shared" si="8"/>
        <v> </v>
      </c>
      <c r="C169" s="202">
        <f t="shared" si="1"/>
        <v>16</v>
      </c>
      <c r="D169" s="202" t="str">
        <f t="shared" si="2"/>
        <v> </v>
      </c>
      <c r="E169" s="202" t="str">
        <f t="shared" si="3"/>
        <v> </v>
      </c>
      <c r="F169" s="55" t="str">
        <f t="shared" si="4"/>
        <v/>
      </c>
      <c r="G169" s="202" t="str">
        <f t="shared" si="5"/>
        <v/>
      </c>
      <c r="H169" s="202" t="str">
        <f t="shared" si="6"/>
        <v> </v>
      </c>
      <c r="I169" s="205" t="str">
        <f t="shared" si="7"/>
        <v/>
      </c>
      <c r="J169" s="205"/>
      <c r="K169" s="205"/>
    </row>
    <row r="170" ht="14.25" customHeight="1">
      <c r="A170" s="55">
        <v>45825.0</v>
      </c>
      <c r="B170" s="55" t="str">
        <f t="shared" si="8"/>
        <v> </v>
      </c>
      <c r="C170" s="202">
        <f t="shared" si="1"/>
        <v>17</v>
      </c>
      <c r="D170" s="202" t="str">
        <f t="shared" si="2"/>
        <v> </v>
      </c>
      <c r="E170" s="202" t="str">
        <f t="shared" si="3"/>
        <v> </v>
      </c>
      <c r="F170" s="55" t="str">
        <f t="shared" si="4"/>
        <v/>
      </c>
      <c r="G170" s="202" t="str">
        <f t="shared" si="5"/>
        <v/>
      </c>
      <c r="H170" s="202" t="str">
        <f t="shared" si="6"/>
        <v> </v>
      </c>
      <c r="I170" s="205" t="str">
        <f t="shared" si="7"/>
        <v/>
      </c>
      <c r="J170" s="205"/>
      <c r="K170" s="205"/>
    </row>
    <row r="171" ht="14.25" customHeight="1">
      <c r="A171" s="55">
        <v>45826.0</v>
      </c>
      <c r="B171" s="55" t="str">
        <f t="shared" si="8"/>
        <v> </v>
      </c>
      <c r="C171" s="202">
        <f t="shared" si="1"/>
        <v>18</v>
      </c>
      <c r="D171" s="202" t="str">
        <f t="shared" si="2"/>
        <v> </v>
      </c>
      <c r="E171" s="202" t="str">
        <f t="shared" si="3"/>
        <v> </v>
      </c>
      <c r="F171" s="55" t="str">
        <f t="shared" si="4"/>
        <v/>
      </c>
      <c r="G171" s="202" t="str">
        <f t="shared" si="5"/>
        <v/>
      </c>
      <c r="H171" s="202" t="str">
        <f t="shared" si="6"/>
        <v> </v>
      </c>
      <c r="I171" s="205" t="str">
        <f t="shared" si="7"/>
        <v/>
      </c>
      <c r="J171" s="205"/>
      <c r="K171" s="205"/>
    </row>
    <row r="172" ht="14.25" customHeight="1">
      <c r="A172" s="55">
        <v>45827.0</v>
      </c>
      <c r="B172" s="55" t="str">
        <f t="shared" si="8"/>
        <v> </v>
      </c>
      <c r="C172" s="202">
        <f t="shared" si="1"/>
        <v>19</v>
      </c>
      <c r="D172" s="202" t="str">
        <f t="shared" si="2"/>
        <v> </v>
      </c>
      <c r="E172" s="202" t="str">
        <f t="shared" si="3"/>
        <v> </v>
      </c>
      <c r="F172" s="55" t="str">
        <f t="shared" si="4"/>
        <v/>
      </c>
      <c r="G172" s="202" t="str">
        <f t="shared" si="5"/>
        <v/>
      </c>
      <c r="H172" s="202" t="str">
        <f t="shared" si="6"/>
        <v> </v>
      </c>
      <c r="I172" s="205" t="str">
        <f t="shared" si="7"/>
        <v/>
      </c>
      <c r="J172" s="205"/>
      <c r="K172" s="205"/>
    </row>
    <row r="173" ht="14.25" customHeight="1">
      <c r="A173" s="55">
        <v>45828.0</v>
      </c>
      <c r="B173" s="55" t="str">
        <f t="shared" si="8"/>
        <v> </v>
      </c>
      <c r="C173" s="202">
        <f t="shared" si="1"/>
        <v>20</v>
      </c>
      <c r="D173" s="202" t="str">
        <f t="shared" si="2"/>
        <v> </v>
      </c>
      <c r="E173" s="202" t="str">
        <f t="shared" si="3"/>
        <v> </v>
      </c>
      <c r="F173" s="55" t="str">
        <f t="shared" si="4"/>
        <v/>
      </c>
      <c r="G173" s="202" t="str">
        <f t="shared" si="5"/>
        <v/>
      </c>
      <c r="H173" s="202" t="str">
        <f t="shared" si="6"/>
        <v> </v>
      </c>
      <c r="I173" s="205" t="str">
        <f t="shared" si="7"/>
        <v/>
      </c>
      <c r="J173" s="205"/>
      <c r="K173" s="205"/>
    </row>
    <row r="174" ht="14.25" customHeight="1">
      <c r="A174" s="55">
        <v>45829.0</v>
      </c>
      <c r="B174" s="55" t="str">
        <f t="shared" si="8"/>
        <v> </v>
      </c>
      <c r="C174" s="202">
        <f t="shared" si="1"/>
        <v>21</v>
      </c>
      <c r="D174" s="202" t="str">
        <f t="shared" si="2"/>
        <v> </v>
      </c>
      <c r="E174" s="202" t="str">
        <f t="shared" si="3"/>
        <v> </v>
      </c>
      <c r="F174" s="55" t="str">
        <f t="shared" si="4"/>
        <v/>
      </c>
      <c r="G174" s="202" t="str">
        <f t="shared" si="5"/>
        <v/>
      </c>
      <c r="H174" s="202" t="str">
        <f t="shared" si="6"/>
        <v> </v>
      </c>
      <c r="I174" s="205" t="str">
        <f t="shared" si="7"/>
        <v/>
      </c>
      <c r="J174" s="205"/>
      <c r="K174" s="205"/>
    </row>
    <row r="175" ht="14.25" customHeight="1">
      <c r="A175" s="55">
        <v>45830.0</v>
      </c>
      <c r="B175" s="55" t="str">
        <f t="shared" si="8"/>
        <v> </v>
      </c>
      <c r="C175" s="202">
        <f t="shared" si="1"/>
        <v>22</v>
      </c>
      <c r="D175" s="202" t="str">
        <f t="shared" si="2"/>
        <v> </v>
      </c>
      <c r="E175" s="202" t="str">
        <f t="shared" si="3"/>
        <v> </v>
      </c>
      <c r="F175" s="55" t="str">
        <f t="shared" si="4"/>
        <v/>
      </c>
      <c r="G175" s="202" t="str">
        <f t="shared" si="5"/>
        <v/>
      </c>
      <c r="H175" s="202" t="str">
        <f t="shared" si="6"/>
        <v> </v>
      </c>
      <c r="I175" s="205" t="str">
        <f t="shared" si="7"/>
        <v/>
      </c>
      <c r="J175" s="205"/>
      <c r="K175" s="205"/>
    </row>
    <row r="176" ht="14.25" customHeight="1">
      <c r="A176" s="55">
        <v>45831.0</v>
      </c>
      <c r="B176" s="55" t="str">
        <f t="shared" si="8"/>
        <v> </v>
      </c>
      <c r="C176" s="202">
        <f t="shared" si="1"/>
        <v>23</v>
      </c>
      <c r="D176" s="202" t="str">
        <f t="shared" si="2"/>
        <v> </v>
      </c>
      <c r="E176" s="202" t="str">
        <f t="shared" si="3"/>
        <v> </v>
      </c>
      <c r="F176" s="55" t="str">
        <f t="shared" si="4"/>
        <v/>
      </c>
      <c r="G176" s="202" t="str">
        <f t="shared" si="5"/>
        <v/>
      </c>
      <c r="H176" s="202" t="str">
        <f t="shared" si="6"/>
        <v> </v>
      </c>
      <c r="I176" s="205" t="str">
        <f t="shared" si="7"/>
        <v/>
      </c>
      <c r="J176" s="205"/>
      <c r="K176" s="205"/>
    </row>
    <row r="177" ht="14.25" customHeight="1">
      <c r="A177" s="55">
        <v>45832.0</v>
      </c>
      <c r="B177" s="55" t="str">
        <f t="shared" si="8"/>
        <v> </v>
      </c>
      <c r="C177" s="202">
        <f t="shared" si="1"/>
        <v>24</v>
      </c>
      <c r="D177" s="202" t="str">
        <f t="shared" si="2"/>
        <v> </v>
      </c>
      <c r="E177" s="202" t="str">
        <f t="shared" si="3"/>
        <v> </v>
      </c>
      <c r="F177" s="55" t="str">
        <f t="shared" si="4"/>
        <v/>
      </c>
      <c r="G177" s="202" t="str">
        <f t="shared" si="5"/>
        <v/>
      </c>
      <c r="H177" s="202" t="str">
        <f t="shared" si="6"/>
        <v> </v>
      </c>
      <c r="I177" s="205" t="str">
        <f t="shared" si="7"/>
        <v/>
      </c>
      <c r="J177" s="205"/>
      <c r="K177" s="205"/>
    </row>
    <row r="178" ht="14.25" customHeight="1">
      <c r="A178" s="55">
        <v>45833.0</v>
      </c>
      <c r="B178" s="55" t="str">
        <f t="shared" si="8"/>
        <v> </v>
      </c>
      <c r="C178" s="202">
        <f t="shared" si="1"/>
        <v>25</v>
      </c>
      <c r="D178" s="202" t="str">
        <f t="shared" si="2"/>
        <v> </v>
      </c>
      <c r="E178" s="202" t="str">
        <f t="shared" si="3"/>
        <v> </v>
      </c>
      <c r="F178" s="55" t="str">
        <f t="shared" si="4"/>
        <v/>
      </c>
      <c r="G178" s="202" t="str">
        <f t="shared" si="5"/>
        <v/>
      </c>
      <c r="H178" s="202" t="str">
        <f t="shared" si="6"/>
        <v> </v>
      </c>
      <c r="I178" s="205" t="str">
        <f t="shared" si="7"/>
        <v/>
      </c>
      <c r="J178" s="205"/>
      <c r="K178" s="205"/>
    </row>
    <row r="179" ht="14.25" customHeight="1">
      <c r="A179" s="55">
        <v>45834.0</v>
      </c>
      <c r="B179" s="55" t="str">
        <f t="shared" si="8"/>
        <v> </v>
      </c>
      <c r="C179" s="202">
        <f t="shared" si="1"/>
        <v>26</v>
      </c>
      <c r="D179" s="202" t="str">
        <f t="shared" si="2"/>
        <v> </v>
      </c>
      <c r="E179" s="202" t="str">
        <f t="shared" si="3"/>
        <v> </v>
      </c>
      <c r="F179" s="55" t="str">
        <f t="shared" si="4"/>
        <v/>
      </c>
      <c r="G179" s="202" t="str">
        <f t="shared" si="5"/>
        <v/>
      </c>
      <c r="H179" s="202" t="str">
        <f t="shared" si="6"/>
        <v> </v>
      </c>
      <c r="I179" s="205" t="str">
        <f t="shared" si="7"/>
        <v/>
      </c>
      <c r="J179" s="205"/>
      <c r="K179" s="205"/>
    </row>
    <row r="180" ht="14.25" customHeight="1">
      <c r="A180" s="55">
        <v>45835.0</v>
      </c>
      <c r="B180" s="55" t="str">
        <f t="shared" si="8"/>
        <v> </v>
      </c>
      <c r="C180" s="202">
        <f t="shared" si="1"/>
        <v>27</v>
      </c>
      <c r="D180" s="202" t="str">
        <f t="shared" si="2"/>
        <v> </v>
      </c>
      <c r="E180" s="202" t="str">
        <f t="shared" si="3"/>
        <v> </v>
      </c>
      <c r="F180" s="55" t="str">
        <f t="shared" si="4"/>
        <v/>
      </c>
      <c r="G180" s="202" t="str">
        <f t="shared" si="5"/>
        <v/>
      </c>
      <c r="H180" s="202" t="str">
        <f t="shared" si="6"/>
        <v> </v>
      </c>
      <c r="I180" s="205" t="str">
        <f t="shared" si="7"/>
        <v/>
      </c>
      <c r="J180" s="205"/>
      <c r="K180" s="205"/>
    </row>
    <row r="181" ht="14.25" customHeight="1">
      <c r="A181" s="55">
        <v>45836.0</v>
      </c>
      <c r="B181" s="55" t="str">
        <f t="shared" si="8"/>
        <v> </v>
      </c>
      <c r="C181" s="202">
        <f t="shared" si="1"/>
        <v>28</v>
      </c>
      <c r="D181" s="202" t="str">
        <f t="shared" si="2"/>
        <v> </v>
      </c>
      <c r="E181" s="202" t="str">
        <f t="shared" si="3"/>
        <v> </v>
      </c>
      <c r="F181" s="55" t="str">
        <f t="shared" si="4"/>
        <v/>
      </c>
      <c r="G181" s="202" t="str">
        <f t="shared" si="5"/>
        <v/>
      </c>
      <c r="H181" s="202" t="str">
        <f t="shared" si="6"/>
        <v> </v>
      </c>
      <c r="I181" s="205" t="str">
        <f t="shared" si="7"/>
        <v/>
      </c>
      <c r="J181" s="205"/>
      <c r="K181" s="205"/>
    </row>
    <row r="182" ht="14.25" customHeight="1">
      <c r="A182" s="55">
        <v>45837.0</v>
      </c>
      <c r="B182" s="55" t="str">
        <f t="shared" si="8"/>
        <v> </v>
      </c>
      <c r="C182" s="202">
        <f t="shared" si="1"/>
        <v>29</v>
      </c>
      <c r="D182" s="202" t="str">
        <f t="shared" si="2"/>
        <v> </v>
      </c>
      <c r="E182" s="202" t="str">
        <f t="shared" ref="E182:E3307" si="9">IF(AND(H182&gt;=28,H182&lt;=29),H182,IF(B182=" "," ",IF(OR(C182=$M$2,C182=$N$2),C182," ")))</f>
        <v> </v>
      </c>
      <c r="F182" s="55" t="str">
        <f t="shared" si="4"/>
        <v/>
      </c>
      <c r="G182" s="202" t="str">
        <f t="shared" si="5"/>
        <v/>
      </c>
      <c r="H182" s="202" t="str">
        <f t="shared" si="6"/>
        <v> </v>
      </c>
      <c r="I182" s="205" t="str">
        <f t="shared" si="7"/>
        <v/>
      </c>
      <c r="J182" s="205"/>
      <c r="K182" s="205"/>
    </row>
    <row r="183" ht="14.25" customHeight="1">
      <c r="A183" s="55">
        <v>45838.0</v>
      </c>
      <c r="B183" s="55" t="str">
        <f t="shared" si="8"/>
        <v> </v>
      </c>
      <c r="C183" s="202">
        <f t="shared" si="1"/>
        <v>30</v>
      </c>
      <c r="D183" s="202" t="str">
        <f t="shared" si="2"/>
        <v> </v>
      </c>
      <c r="E183" s="202" t="str">
        <f t="shared" si="9"/>
        <v> </v>
      </c>
      <c r="F183" s="55" t="str">
        <f t="shared" si="4"/>
        <v/>
      </c>
      <c r="G183" s="202" t="str">
        <f t="shared" si="5"/>
        <v/>
      </c>
      <c r="H183" s="202">
        <f t="shared" si="6"/>
        <v>30</v>
      </c>
      <c r="I183" s="205" t="str">
        <f t="shared" si="7"/>
        <v/>
      </c>
      <c r="J183" s="205"/>
      <c r="K183" s="205"/>
    </row>
    <row r="184" ht="14.25" customHeight="1">
      <c r="A184" s="55">
        <v>45839.0</v>
      </c>
      <c r="B184" s="55" t="str">
        <f t="shared" si="8"/>
        <v> </v>
      </c>
      <c r="C184" s="202">
        <f t="shared" si="1"/>
        <v>1</v>
      </c>
      <c r="D184" s="202" t="str">
        <f t="shared" si="2"/>
        <v> </v>
      </c>
      <c r="E184" s="202" t="str">
        <f t="shared" si="9"/>
        <v> </v>
      </c>
      <c r="F184" s="55" t="str">
        <f t="shared" si="4"/>
        <v/>
      </c>
      <c r="G184" s="202" t="str">
        <f t="shared" si="5"/>
        <v/>
      </c>
      <c r="H184" s="202" t="str">
        <f t="shared" si="6"/>
        <v> </v>
      </c>
      <c r="I184" s="205" t="str">
        <f t="shared" si="7"/>
        <v/>
      </c>
      <c r="J184" s="205"/>
      <c r="K184" s="205"/>
    </row>
    <row r="185" ht="14.25" customHeight="1">
      <c r="A185" s="55">
        <v>45840.0</v>
      </c>
      <c r="B185" s="55" t="str">
        <f t="shared" si="8"/>
        <v> </v>
      </c>
      <c r="C185" s="202">
        <f t="shared" si="1"/>
        <v>2</v>
      </c>
      <c r="D185" s="202" t="str">
        <f t="shared" si="2"/>
        <v> </v>
      </c>
      <c r="E185" s="202" t="str">
        <f t="shared" si="9"/>
        <v> </v>
      </c>
      <c r="F185" s="55" t="str">
        <f t="shared" si="4"/>
        <v/>
      </c>
      <c r="G185" s="202" t="str">
        <f t="shared" si="5"/>
        <v/>
      </c>
      <c r="H185" s="202" t="str">
        <f t="shared" si="6"/>
        <v> </v>
      </c>
      <c r="I185" s="205" t="str">
        <f t="shared" si="7"/>
        <v/>
      </c>
      <c r="J185" s="205"/>
      <c r="K185" s="205"/>
    </row>
    <row r="186" ht="14.25" customHeight="1">
      <c r="A186" s="55">
        <v>45841.0</v>
      </c>
      <c r="B186" s="55" t="str">
        <f t="shared" si="8"/>
        <v> </v>
      </c>
      <c r="C186" s="202">
        <f t="shared" si="1"/>
        <v>3</v>
      </c>
      <c r="D186" s="202" t="str">
        <f t="shared" si="2"/>
        <v> </v>
      </c>
      <c r="E186" s="202" t="str">
        <f t="shared" si="9"/>
        <v> </v>
      </c>
      <c r="F186" s="55" t="str">
        <f t="shared" si="4"/>
        <v/>
      </c>
      <c r="G186" s="202" t="str">
        <f t="shared" si="5"/>
        <v/>
      </c>
      <c r="H186" s="202" t="str">
        <f t="shared" si="6"/>
        <v> </v>
      </c>
      <c r="I186" s="205" t="str">
        <f t="shared" si="7"/>
        <v/>
      </c>
      <c r="J186" s="205"/>
      <c r="K186" s="205"/>
    </row>
    <row r="187" ht="14.25" customHeight="1">
      <c r="A187" s="55">
        <v>45842.0</v>
      </c>
      <c r="B187" s="55" t="str">
        <f t="shared" si="8"/>
        <v> </v>
      </c>
      <c r="C187" s="202">
        <f t="shared" si="1"/>
        <v>4</v>
      </c>
      <c r="D187" s="202" t="str">
        <f t="shared" si="2"/>
        <v> </v>
      </c>
      <c r="E187" s="202" t="str">
        <f t="shared" si="9"/>
        <v> </v>
      </c>
      <c r="F187" s="55" t="str">
        <f t="shared" si="4"/>
        <v/>
      </c>
      <c r="G187" s="202" t="str">
        <f t="shared" si="5"/>
        <v/>
      </c>
      <c r="H187" s="202" t="str">
        <f t="shared" si="6"/>
        <v> </v>
      </c>
      <c r="I187" s="205" t="str">
        <f t="shared" si="7"/>
        <v/>
      </c>
      <c r="J187" s="205"/>
      <c r="K187" s="205"/>
    </row>
    <row r="188" ht="14.25" customHeight="1">
      <c r="A188" s="55">
        <v>45843.0</v>
      </c>
      <c r="B188" s="55" t="str">
        <f t="shared" si="8"/>
        <v> </v>
      </c>
      <c r="C188" s="202">
        <f t="shared" si="1"/>
        <v>5</v>
      </c>
      <c r="D188" s="202" t="str">
        <f t="shared" si="2"/>
        <v> </v>
      </c>
      <c r="E188" s="202" t="str">
        <f t="shared" si="9"/>
        <v> </v>
      </c>
      <c r="F188" s="55" t="str">
        <f t="shared" si="4"/>
        <v/>
      </c>
      <c r="G188" s="202" t="str">
        <f t="shared" si="5"/>
        <v/>
      </c>
      <c r="H188" s="202" t="str">
        <f t="shared" si="6"/>
        <v> </v>
      </c>
      <c r="I188" s="205" t="str">
        <f t="shared" si="7"/>
        <v/>
      </c>
      <c r="J188" s="205"/>
      <c r="K188" s="205"/>
    </row>
    <row r="189" ht="14.25" customHeight="1">
      <c r="A189" s="55">
        <v>45844.0</v>
      </c>
      <c r="B189" s="55" t="str">
        <f t="shared" si="8"/>
        <v> </v>
      </c>
      <c r="C189" s="202">
        <f t="shared" si="1"/>
        <v>6</v>
      </c>
      <c r="D189" s="202" t="str">
        <f t="shared" si="2"/>
        <v> </v>
      </c>
      <c r="E189" s="202" t="str">
        <f t="shared" si="9"/>
        <v> </v>
      </c>
      <c r="F189" s="55" t="str">
        <f t="shared" si="4"/>
        <v/>
      </c>
      <c r="G189" s="202" t="str">
        <f t="shared" si="5"/>
        <v/>
      </c>
      <c r="H189" s="202" t="str">
        <f t="shared" si="6"/>
        <v> </v>
      </c>
      <c r="I189" s="205" t="str">
        <f t="shared" si="7"/>
        <v/>
      </c>
      <c r="J189" s="205"/>
      <c r="K189" s="205"/>
    </row>
    <row r="190" ht="14.25" customHeight="1">
      <c r="A190" s="55">
        <v>45845.0</v>
      </c>
      <c r="B190" s="55" t="str">
        <f t="shared" si="8"/>
        <v> </v>
      </c>
      <c r="C190" s="202">
        <f t="shared" si="1"/>
        <v>7</v>
      </c>
      <c r="D190" s="202" t="str">
        <f t="shared" si="2"/>
        <v> </v>
      </c>
      <c r="E190" s="202" t="str">
        <f t="shared" si="9"/>
        <v> </v>
      </c>
      <c r="F190" s="55" t="str">
        <f t="shared" si="4"/>
        <v/>
      </c>
      <c r="G190" s="202" t="str">
        <f t="shared" si="5"/>
        <v/>
      </c>
      <c r="H190" s="202" t="str">
        <f t="shared" si="6"/>
        <v> </v>
      </c>
      <c r="I190" s="205" t="str">
        <f t="shared" si="7"/>
        <v/>
      </c>
      <c r="J190" s="205"/>
      <c r="K190" s="205"/>
    </row>
    <row r="191" ht="14.25" customHeight="1">
      <c r="A191" s="55">
        <v>45846.0</v>
      </c>
      <c r="B191" s="55" t="str">
        <f t="shared" si="8"/>
        <v> </v>
      </c>
      <c r="C191" s="202">
        <f t="shared" si="1"/>
        <v>8</v>
      </c>
      <c r="D191" s="202" t="str">
        <f t="shared" si="2"/>
        <v> </v>
      </c>
      <c r="E191" s="202" t="str">
        <f t="shared" si="9"/>
        <v> </v>
      </c>
      <c r="F191" s="55" t="str">
        <f t="shared" si="4"/>
        <v/>
      </c>
      <c r="G191" s="202" t="str">
        <f t="shared" si="5"/>
        <v/>
      </c>
      <c r="H191" s="202" t="str">
        <f t="shared" si="6"/>
        <v> </v>
      </c>
      <c r="I191" s="205" t="str">
        <f t="shared" si="7"/>
        <v/>
      </c>
      <c r="J191" s="205"/>
      <c r="K191" s="205"/>
    </row>
    <row r="192" ht="14.25" customHeight="1">
      <c r="A192" s="55">
        <v>45847.0</v>
      </c>
      <c r="B192" s="55" t="str">
        <f t="shared" si="8"/>
        <v> </v>
      </c>
      <c r="C192" s="202">
        <f t="shared" si="1"/>
        <v>9</v>
      </c>
      <c r="D192" s="202" t="str">
        <f t="shared" si="2"/>
        <v> </v>
      </c>
      <c r="E192" s="202" t="str">
        <f t="shared" si="9"/>
        <v> </v>
      </c>
      <c r="F192" s="55" t="str">
        <f t="shared" si="4"/>
        <v/>
      </c>
      <c r="G192" s="202" t="str">
        <f t="shared" si="5"/>
        <v/>
      </c>
      <c r="H192" s="202" t="str">
        <f t="shared" si="6"/>
        <v> </v>
      </c>
      <c r="I192" s="205" t="str">
        <f t="shared" si="7"/>
        <v/>
      </c>
      <c r="J192" s="205"/>
      <c r="K192" s="205"/>
    </row>
    <row r="193" ht="14.25" customHeight="1">
      <c r="A193" s="55">
        <v>45848.0</v>
      </c>
      <c r="B193" s="55" t="str">
        <f t="shared" si="8"/>
        <v> </v>
      </c>
      <c r="C193" s="202">
        <f t="shared" si="1"/>
        <v>10</v>
      </c>
      <c r="D193" s="202" t="str">
        <f t="shared" si="2"/>
        <v> </v>
      </c>
      <c r="E193" s="202" t="str">
        <f t="shared" si="9"/>
        <v> </v>
      </c>
      <c r="F193" s="55" t="str">
        <f t="shared" si="4"/>
        <v/>
      </c>
      <c r="G193" s="202" t="str">
        <f t="shared" si="5"/>
        <v/>
      </c>
      <c r="H193" s="202" t="str">
        <f t="shared" si="6"/>
        <v> </v>
      </c>
      <c r="I193" s="205" t="str">
        <f t="shared" si="7"/>
        <v/>
      </c>
      <c r="J193" s="205"/>
      <c r="K193" s="205">
        <f>140*37.07</f>
        <v>5189.8</v>
      </c>
      <c r="L193" s="202">
        <f>5200-K193</f>
        <v>10.2</v>
      </c>
    </row>
    <row r="194" ht="14.25" customHeight="1">
      <c r="A194" s="55">
        <v>45849.0</v>
      </c>
      <c r="B194" s="55" t="str">
        <f t="shared" si="8"/>
        <v> </v>
      </c>
      <c r="C194" s="202">
        <f t="shared" si="1"/>
        <v>11</v>
      </c>
      <c r="D194" s="202" t="str">
        <f t="shared" si="2"/>
        <v> </v>
      </c>
      <c r="E194" s="202" t="str">
        <f t="shared" si="9"/>
        <v> </v>
      </c>
      <c r="F194" s="55" t="str">
        <f t="shared" si="4"/>
        <v/>
      </c>
      <c r="G194" s="202" t="str">
        <f t="shared" si="5"/>
        <v/>
      </c>
      <c r="H194" s="202" t="str">
        <f t="shared" si="6"/>
        <v> </v>
      </c>
      <c r="I194" s="205" t="str">
        <f t="shared" si="7"/>
        <v/>
      </c>
      <c r="J194" s="205"/>
      <c r="K194" s="205"/>
    </row>
    <row r="195" ht="14.25" customHeight="1">
      <c r="A195" s="55">
        <v>45850.0</v>
      </c>
      <c r="B195" s="55" t="str">
        <f t="shared" si="8"/>
        <v> </v>
      </c>
      <c r="C195" s="202">
        <f t="shared" si="1"/>
        <v>12</v>
      </c>
      <c r="D195" s="202" t="str">
        <f t="shared" si="2"/>
        <v> </v>
      </c>
      <c r="E195" s="202" t="str">
        <f t="shared" si="9"/>
        <v> </v>
      </c>
      <c r="F195" s="55" t="str">
        <f t="shared" si="4"/>
        <v/>
      </c>
      <c r="G195" s="202" t="str">
        <f t="shared" si="5"/>
        <v/>
      </c>
      <c r="H195" s="202" t="str">
        <f t="shared" si="6"/>
        <v> </v>
      </c>
      <c r="I195" s="205" t="str">
        <f t="shared" si="7"/>
        <v/>
      </c>
      <c r="J195" s="205"/>
      <c r="K195" s="205"/>
    </row>
    <row r="196" ht="14.25" customHeight="1">
      <c r="A196" s="55">
        <v>45851.0</v>
      </c>
      <c r="B196" s="55" t="str">
        <f t="shared" si="8"/>
        <v> </v>
      </c>
      <c r="C196" s="202">
        <f t="shared" si="1"/>
        <v>13</v>
      </c>
      <c r="D196" s="202" t="str">
        <f t="shared" si="2"/>
        <v> </v>
      </c>
      <c r="E196" s="202" t="str">
        <f t="shared" si="9"/>
        <v> </v>
      </c>
      <c r="F196" s="55" t="str">
        <f t="shared" si="4"/>
        <v/>
      </c>
      <c r="G196" s="202" t="str">
        <f t="shared" si="5"/>
        <v/>
      </c>
      <c r="H196" s="202" t="str">
        <f t="shared" si="6"/>
        <v> </v>
      </c>
      <c r="I196" s="205" t="str">
        <f t="shared" si="7"/>
        <v/>
      </c>
      <c r="J196" s="205"/>
      <c r="K196" s="205"/>
    </row>
    <row r="197" ht="14.25" customHeight="1">
      <c r="A197" s="55">
        <v>45852.0</v>
      </c>
      <c r="B197" s="55" t="str">
        <f t="shared" si="8"/>
        <v> </v>
      </c>
      <c r="C197" s="202">
        <f t="shared" si="1"/>
        <v>14</v>
      </c>
      <c r="D197" s="202" t="str">
        <f t="shared" si="2"/>
        <v> </v>
      </c>
      <c r="E197" s="202" t="str">
        <f t="shared" si="9"/>
        <v> </v>
      </c>
      <c r="F197" s="55" t="str">
        <f t="shared" si="4"/>
        <v/>
      </c>
      <c r="G197" s="202" t="str">
        <f t="shared" si="5"/>
        <v/>
      </c>
      <c r="H197" s="202" t="str">
        <f t="shared" si="6"/>
        <v> </v>
      </c>
      <c r="I197" s="205" t="str">
        <f t="shared" si="7"/>
        <v/>
      </c>
      <c r="J197" s="205"/>
      <c r="K197" s="205"/>
    </row>
    <row r="198" ht="14.25" customHeight="1">
      <c r="A198" s="55">
        <v>45853.0</v>
      </c>
      <c r="B198" s="55" t="str">
        <f t="shared" si="8"/>
        <v> </v>
      </c>
      <c r="C198" s="202">
        <f t="shared" si="1"/>
        <v>15</v>
      </c>
      <c r="D198" s="202" t="str">
        <f t="shared" si="2"/>
        <v> </v>
      </c>
      <c r="E198" s="202" t="str">
        <f t="shared" si="9"/>
        <v> </v>
      </c>
      <c r="F198" s="55" t="str">
        <f t="shared" si="4"/>
        <v/>
      </c>
      <c r="G198" s="202" t="str">
        <f t="shared" si="5"/>
        <v/>
      </c>
      <c r="H198" s="202" t="str">
        <f t="shared" si="6"/>
        <v> </v>
      </c>
      <c r="I198" s="205" t="str">
        <f t="shared" si="7"/>
        <v/>
      </c>
      <c r="J198" s="205"/>
      <c r="K198" s="205"/>
    </row>
    <row r="199" ht="14.25" customHeight="1">
      <c r="A199" s="55">
        <v>45854.0</v>
      </c>
      <c r="B199" s="55" t="str">
        <f>+IF(A199=$L$2,"Plan de pago",B198)</f>
        <v> </v>
      </c>
      <c r="C199" s="202">
        <f t="shared" si="1"/>
        <v>16</v>
      </c>
      <c r="D199" s="202" t="str">
        <f t="shared" si="2"/>
        <v> </v>
      </c>
      <c r="E199" s="202" t="str">
        <f t="shared" si="9"/>
        <v> </v>
      </c>
      <c r="F199" s="55" t="str">
        <f t="shared" si="4"/>
        <v/>
      </c>
      <c r="G199" s="202" t="str">
        <f t="shared" si="5"/>
        <v/>
      </c>
      <c r="H199" s="202" t="str">
        <f t="shared" si="6"/>
        <v> </v>
      </c>
      <c r="I199" s="205" t="str">
        <f t="shared" si="7"/>
        <v/>
      </c>
      <c r="J199" s="205"/>
      <c r="K199" s="205"/>
    </row>
    <row r="200" ht="14.25" customHeight="1">
      <c r="A200" s="55">
        <v>45855.0</v>
      </c>
      <c r="B200" s="55" t="str">
        <f t="shared" ref="B200:B3307" si="10">+IF(A200=$L$2,"Primer dia",B199)</f>
        <v> </v>
      </c>
      <c r="C200" s="202">
        <f t="shared" si="1"/>
        <v>17</v>
      </c>
      <c r="D200" s="202" t="str">
        <f t="shared" si="2"/>
        <v> </v>
      </c>
      <c r="E200" s="202" t="str">
        <f t="shared" si="9"/>
        <v> </v>
      </c>
      <c r="F200" s="55" t="str">
        <f t="shared" si="4"/>
        <v/>
      </c>
      <c r="G200" s="202" t="str">
        <f t="shared" si="5"/>
        <v/>
      </c>
      <c r="H200" s="202" t="str">
        <f t="shared" si="6"/>
        <v> </v>
      </c>
      <c r="I200" s="205" t="str">
        <f t="shared" si="7"/>
        <v/>
      </c>
      <c r="J200" s="205"/>
      <c r="K200" s="205"/>
    </row>
    <row r="201" ht="14.25" customHeight="1">
      <c r="A201" s="55">
        <v>45856.0</v>
      </c>
      <c r="B201" s="55" t="str">
        <f t="shared" si="10"/>
        <v> </v>
      </c>
      <c r="C201" s="202">
        <f t="shared" si="1"/>
        <v>18</v>
      </c>
      <c r="D201" s="202" t="str">
        <f t="shared" si="2"/>
        <v> </v>
      </c>
      <c r="E201" s="202" t="str">
        <f t="shared" si="9"/>
        <v> </v>
      </c>
      <c r="F201" s="55" t="str">
        <f t="shared" si="4"/>
        <v/>
      </c>
      <c r="G201" s="202" t="str">
        <f t="shared" si="5"/>
        <v/>
      </c>
      <c r="H201" s="202" t="str">
        <f t="shared" si="6"/>
        <v> </v>
      </c>
      <c r="I201" s="205" t="str">
        <f t="shared" si="7"/>
        <v/>
      </c>
      <c r="J201" s="205"/>
      <c r="K201" s="205"/>
    </row>
    <row r="202" ht="14.25" customHeight="1">
      <c r="A202" s="55">
        <v>45857.0</v>
      </c>
      <c r="B202" s="55" t="str">
        <f t="shared" si="10"/>
        <v> </v>
      </c>
      <c r="C202" s="202">
        <f t="shared" si="1"/>
        <v>19</v>
      </c>
      <c r="D202" s="202" t="str">
        <f t="shared" si="2"/>
        <v> </v>
      </c>
      <c r="E202" s="202" t="str">
        <f t="shared" si="9"/>
        <v> </v>
      </c>
      <c r="F202" s="55" t="str">
        <f t="shared" si="4"/>
        <v/>
      </c>
      <c r="G202" s="202" t="str">
        <f t="shared" si="5"/>
        <v/>
      </c>
      <c r="H202" s="202" t="str">
        <f t="shared" si="6"/>
        <v> </v>
      </c>
      <c r="I202" s="205" t="str">
        <f t="shared" si="7"/>
        <v/>
      </c>
      <c r="J202" s="205"/>
      <c r="K202" s="205"/>
    </row>
    <row r="203" ht="14.25" customHeight="1">
      <c r="A203" s="55">
        <v>45858.0</v>
      </c>
      <c r="B203" s="55" t="str">
        <f t="shared" si="10"/>
        <v> </v>
      </c>
      <c r="C203" s="202">
        <f t="shared" si="1"/>
        <v>20</v>
      </c>
      <c r="D203" s="202" t="str">
        <f t="shared" si="2"/>
        <v> </v>
      </c>
      <c r="E203" s="202" t="str">
        <f t="shared" si="9"/>
        <v> </v>
      </c>
      <c r="F203" s="55" t="str">
        <f t="shared" si="4"/>
        <v/>
      </c>
      <c r="G203" s="202" t="str">
        <f t="shared" si="5"/>
        <v/>
      </c>
      <c r="H203" s="202" t="str">
        <f t="shared" si="6"/>
        <v> </v>
      </c>
      <c r="I203" s="205" t="str">
        <f t="shared" si="7"/>
        <v/>
      </c>
      <c r="J203" s="205"/>
      <c r="K203" s="205"/>
    </row>
    <row r="204" ht="14.25" customHeight="1">
      <c r="A204" s="55">
        <v>45859.0</v>
      </c>
      <c r="B204" s="55" t="str">
        <f t="shared" si="10"/>
        <v> </v>
      </c>
      <c r="C204" s="202">
        <f t="shared" si="1"/>
        <v>21</v>
      </c>
      <c r="D204" s="202" t="str">
        <f t="shared" si="2"/>
        <v> </v>
      </c>
      <c r="E204" s="202" t="str">
        <f t="shared" si="9"/>
        <v> </v>
      </c>
      <c r="F204" s="55" t="str">
        <f t="shared" si="4"/>
        <v/>
      </c>
      <c r="G204" s="202" t="str">
        <f t="shared" si="5"/>
        <v/>
      </c>
      <c r="H204" s="202" t="str">
        <f t="shared" si="6"/>
        <v> </v>
      </c>
      <c r="I204" s="205" t="str">
        <f t="shared" si="7"/>
        <v/>
      </c>
      <c r="J204" s="205"/>
      <c r="K204" s="205"/>
    </row>
    <row r="205" ht="14.25" customHeight="1">
      <c r="A205" s="55">
        <v>45860.0</v>
      </c>
      <c r="B205" s="55" t="str">
        <f t="shared" si="10"/>
        <v> </v>
      </c>
      <c r="C205" s="202">
        <f t="shared" si="1"/>
        <v>22</v>
      </c>
      <c r="D205" s="202" t="str">
        <f t="shared" si="2"/>
        <v> </v>
      </c>
      <c r="E205" s="202" t="str">
        <f t="shared" si="9"/>
        <v> </v>
      </c>
      <c r="F205" s="55" t="str">
        <f t="shared" si="4"/>
        <v/>
      </c>
      <c r="G205" s="202" t="str">
        <f t="shared" si="5"/>
        <v/>
      </c>
      <c r="H205" s="202" t="str">
        <f t="shared" si="6"/>
        <v> </v>
      </c>
      <c r="I205" s="205" t="str">
        <f t="shared" si="7"/>
        <v/>
      </c>
      <c r="J205" s="205"/>
      <c r="K205" s="205"/>
    </row>
    <row r="206" ht="14.25" customHeight="1">
      <c r="A206" s="55">
        <v>45861.0</v>
      </c>
      <c r="B206" s="55" t="str">
        <f t="shared" si="10"/>
        <v> </v>
      </c>
      <c r="C206" s="202">
        <f t="shared" si="1"/>
        <v>23</v>
      </c>
      <c r="D206" s="202" t="str">
        <f t="shared" si="2"/>
        <v> </v>
      </c>
      <c r="E206" s="202" t="str">
        <f t="shared" si="9"/>
        <v> </v>
      </c>
      <c r="F206" s="55" t="str">
        <f t="shared" si="4"/>
        <v/>
      </c>
      <c r="G206" s="202" t="str">
        <f t="shared" si="5"/>
        <v/>
      </c>
      <c r="H206" s="202" t="str">
        <f t="shared" si="6"/>
        <v> </v>
      </c>
      <c r="I206" s="205" t="str">
        <f t="shared" si="7"/>
        <v/>
      </c>
      <c r="J206" s="205"/>
      <c r="K206" s="205"/>
    </row>
    <row r="207" ht="14.25" customHeight="1">
      <c r="A207" s="55">
        <v>45862.0</v>
      </c>
      <c r="B207" s="55" t="str">
        <f t="shared" si="10"/>
        <v> </v>
      </c>
      <c r="C207" s="202">
        <f t="shared" si="1"/>
        <v>24</v>
      </c>
      <c r="D207" s="202" t="str">
        <f t="shared" si="2"/>
        <v> </v>
      </c>
      <c r="E207" s="202" t="str">
        <f t="shared" si="9"/>
        <v> </v>
      </c>
      <c r="F207" s="55" t="str">
        <f t="shared" si="4"/>
        <v/>
      </c>
      <c r="G207" s="202" t="str">
        <f t="shared" si="5"/>
        <v/>
      </c>
      <c r="H207" s="202" t="str">
        <f t="shared" si="6"/>
        <v> </v>
      </c>
      <c r="I207" s="205" t="str">
        <f t="shared" si="7"/>
        <v/>
      </c>
      <c r="J207" s="205"/>
      <c r="K207" s="205"/>
    </row>
    <row r="208" ht="14.25" customHeight="1">
      <c r="A208" s="55">
        <v>45863.0</v>
      </c>
      <c r="B208" s="55" t="str">
        <f t="shared" si="10"/>
        <v> </v>
      </c>
      <c r="C208" s="202">
        <f t="shared" si="1"/>
        <v>25</v>
      </c>
      <c r="D208" s="202" t="str">
        <f t="shared" si="2"/>
        <v> </v>
      </c>
      <c r="E208" s="202" t="str">
        <f t="shared" si="9"/>
        <v> </v>
      </c>
      <c r="F208" s="55" t="str">
        <f t="shared" si="4"/>
        <v/>
      </c>
      <c r="G208" s="202" t="str">
        <f t="shared" si="5"/>
        <v/>
      </c>
      <c r="H208" s="202" t="str">
        <f t="shared" si="6"/>
        <v> </v>
      </c>
      <c r="I208" s="205" t="str">
        <f t="shared" si="7"/>
        <v/>
      </c>
      <c r="J208" s="205"/>
      <c r="K208" s="205"/>
    </row>
    <row r="209" ht="14.25" customHeight="1">
      <c r="A209" s="55">
        <v>45864.0</v>
      </c>
      <c r="B209" s="55" t="str">
        <f t="shared" si="10"/>
        <v> </v>
      </c>
      <c r="C209" s="202">
        <f t="shared" si="1"/>
        <v>26</v>
      </c>
      <c r="D209" s="202" t="str">
        <f t="shared" si="2"/>
        <v> </v>
      </c>
      <c r="E209" s="202" t="str">
        <f t="shared" si="9"/>
        <v> </v>
      </c>
      <c r="F209" s="55" t="str">
        <f t="shared" si="4"/>
        <v/>
      </c>
      <c r="G209" s="202" t="str">
        <f t="shared" si="5"/>
        <v/>
      </c>
      <c r="H209" s="202" t="str">
        <f t="shared" si="6"/>
        <v> </v>
      </c>
      <c r="I209" s="205" t="str">
        <f t="shared" si="7"/>
        <v/>
      </c>
      <c r="J209" s="205"/>
      <c r="K209" s="205"/>
    </row>
    <row r="210" ht="14.25" customHeight="1">
      <c r="A210" s="55">
        <v>45865.0</v>
      </c>
      <c r="B210" s="55" t="str">
        <f t="shared" si="10"/>
        <v> </v>
      </c>
      <c r="C210" s="202">
        <f t="shared" si="1"/>
        <v>27</v>
      </c>
      <c r="D210" s="202" t="str">
        <f t="shared" si="2"/>
        <v> </v>
      </c>
      <c r="E210" s="202" t="str">
        <f t="shared" si="9"/>
        <v> </v>
      </c>
      <c r="F210" s="55" t="str">
        <f t="shared" si="4"/>
        <v/>
      </c>
      <c r="G210" s="202" t="str">
        <f t="shared" si="5"/>
        <v/>
      </c>
      <c r="H210" s="202" t="str">
        <f t="shared" si="6"/>
        <v> </v>
      </c>
      <c r="I210" s="205" t="str">
        <f t="shared" si="7"/>
        <v/>
      </c>
      <c r="J210" s="205"/>
      <c r="K210" s="205"/>
    </row>
    <row r="211" ht="14.25" customHeight="1">
      <c r="A211" s="55">
        <v>45866.0</v>
      </c>
      <c r="B211" s="55" t="str">
        <f t="shared" si="10"/>
        <v> </v>
      </c>
      <c r="C211" s="202">
        <f t="shared" si="1"/>
        <v>28</v>
      </c>
      <c r="D211" s="202" t="str">
        <f t="shared" si="2"/>
        <v> </v>
      </c>
      <c r="E211" s="202" t="str">
        <f t="shared" si="9"/>
        <v> </v>
      </c>
      <c r="F211" s="55" t="str">
        <f t="shared" si="4"/>
        <v/>
      </c>
      <c r="G211" s="202" t="str">
        <f t="shared" si="5"/>
        <v/>
      </c>
      <c r="H211" s="202" t="str">
        <f t="shared" si="6"/>
        <v> </v>
      </c>
      <c r="I211" s="205" t="str">
        <f t="shared" si="7"/>
        <v/>
      </c>
      <c r="J211" s="205"/>
      <c r="K211" s="205"/>
    </row>
    <row r="212" ht="14.25" customHeight="1">
      <c r="A212" s="55">
        <v>45867.0</v>
      </c>
      <c r="B212" s="55" t="str">
        <f t="shared" si="10"/>
        <v> </v>
      </c>
      <c r="C212" s="202">
        <f t="shared" si="1"/>
        <v>29</v>
      </c>
      <c r="D212" s="202" t="str">
        <f t="shared" si="2"/>
        <v> </v>
      </c>
      <c r="E212" s="202" t="str">
        <f t="shared" si="9"/>
        <v> </v>
      </c>
      <c r="F212" s="55" t="str">
        <f t="shared" si="4"/>
        <v/>
      </c>
      <c r="G212" s="202" t="str">
        <f t="shared" si="5"/>
        <v/>
      </c>
      <c r="H212" s="202" t="str">
        <f t="shared" si="6"/>
        <v> </v>
      </c>
      <c r="I212" s="205" t="str">
        <f t="shared" si="7"/>
        <v/>
      </c>
      <c r="J212" s="205"/>
      <c r="K212" s="205"/>
    </row>
    <row r="213" ht="14.25" customHeight="1">
      <c r="A213" s="55">
        <v>45868.0</v>
      </c>
      <c r="B213" s="55" t="str">
        <f t="shared" si="10"/>
        <v> </v>
      </c>
      <c r="C213" s="202">
        <f t="shared" si="1"/>
        <v>30</v>
      </c>
      <c r="D213" s="202" t="str">
        <f t="shared" si="2"/>
        <v> </v>
      </c>
      <c r="E213" s="202" t="str">
        <f t="shared" si="9"/>
        <v> </v>
      </c>
      <c r="F213" s="55" t="str">
        <f t="shared" si="4"/>
        <v/>
      </c>
      <c r="G213" s="202" t="str">
        <f t="shared" si="5"/>
        <v/>
      </c>
      <c r="H213" s="202" t="str">
        <f t="shared" si="6"/>
        <v> </v>
      </c>
      <c r="I213" s="205" t="str">
        <f t="shared" si="7"/>
        <v/>
      </c>
      <c r="J213" s="205"/>
      <c r="K213" s="205"/>
    </row>
    <row r="214" ht="14.25" customHeight="1">
      <c r="A214" s="55">
        <v>45869.0</v>
      </c>
      <c r="B214" s="55" t="str">
        <f t="shared" si="10"/>
        <v> </v>
      </c>
      <c r="C214" s="202">
        <f t="shared" si="1"/>
        <v>31</v>
      </c>
      <c r="D214" s="202" t="str">
        <f t="shared" si="2"/>
        <v> </v>
      </c>
      <c r="E214" s="202" t="str">
        <f t="shared" si="9"/>
        <v> </v>
      </c>
      <c r="F214" s="55" t="str">
        <f t="shared" si="4"/>
        <v/>
      </c>
      <c r="G214" s="202" t="str">
        <f t="shared" si="5"/>
        <v/>
      </c>
      <c r="H214" s="202" t="str">
        <f t="shared" ref="H214:H3307" si="11">IF($O$2="Maximo",IF(A214=EOMONTH(A214,0),DAY(A214)," ")," ")</f>
        <v> </v>
      </c>
      <c r="I214" s="205" t="str">
        <f t="shared" si="7"/>
        <v/>
      </c>
      <c r="J214" s="205"/>
      <c r="K214" s="205"/>
    </row>
    <row r="215" ht="14.25" customHeight="1">
      <c r="A215" s="55">
        <v>45870.0</v>
      </c>
      <c r="B215" s="55" t="str">
        <f t="shared" si="10"/>
        <v> </v>
      </c>
      <c r="C215" s="202">
        <f t="shared" si="1"/>
        <v>1</v>
      </c>
      <c r="D215" s="202" t="str">
        <f t="shared" si="2"/>
        <v> </v>
      </c>
      <c r="E215" s="202" t="str">
        <f t="shared" si="9"/>
        <v> </v>
      </c>
      <c r="F215" s="55" t="str">
        <f t="shared" si="4"/>
        <v/>
      </c>
      <c r="G215" s="202" t="str">
        <f t="shared" si="5"/>
        <v/>
      </c>
      <c r="H215" s="202" t="str">
        <f t="shared" si="11"/>
        <v> </v>
      </c>
      <c r="I215" s="205" t="str">
        <f t="shared" si="7"/>
        <v/>
      </c>
      <c r="J215" s="205"/>
      <c r="K215" s="205"/>
    </row>
    <row r="216" ht="14.25" customHeight="1">
      <c r="A216" s="55">
        <v>45871.0</v>
      </c>
      <c r="B216" s="55" t="str">
        <f t="shared" si="10"/>
        <v> </v>
      </c>
      <c r="C216" s="202">
        <f t="shared" si="1"/>
        <v>2</v>
      </c>
      <c r="D216" s="202" t="str">
        <f t="shared" si="2"/>
        <v> </v>
      </c>
      <c r="E216" s="202" t="str">
        <f t="shared" si="9"/>
        <v> </v>
      </c>
      <c r="F216" s="55" t="str">
        <f t="shared" si="4"/>
        <v/>
      </c>
      <c r="G216" s="202" t="str">
        <f t="shared" si="5"/>
        <v/>
      </c>
      <c r="H216" s="202" t="str">
        <f t="shared" si="11"/>
        <v> </v>
      </c>
      <c r="I216" s="205" t="str">
        <f t="shared" si="7"/>
        <v/>
      </c>
      <c r="J216" s="205"/>
      <c r="K216" s="205"/>
    </row>
    <row r="217" ht="14.25" customHeight="1">
      <c r="A217" s="55">
        <v>45872.0</v>
      </c>
      <c r="B217" s="55" t="str">
        <f t="shared" si="10"/>
        <v> </v>
      </c>
      <c r="C217" s="202">
        <f t="shared" si="1"/>
        <v>3</v>
      </c>
      <c r="D217" s="202" t="str">
        <f t="shared" si="2"/>
        <v> </v>
      </c>
      <c r="E217" s="202" t="str">
        <f t="shared" si="9"/>
        <v> </v>
      </c>
      <c r="F217" s="55" t="str">
        <f t="shared" si="4"/>
        <v/>
      </c>
      <c r="G217" s="202" t="str">
        <f t="shared" si="5"/>
        <v/>
      </c>
      <c r="H217" s="202" t="str">
        <f t="shared" si="11"/>
        <v> </v>
      </c>
      <c r="I217" s="205" t="str">
        <f t="shared" si="7"/>
        <v/>
      </c>
      <c r="J217" s="205"/>
      <c r="K217" s="205"/>
    </row>
    <row r="218" ht="14.25" customHeight="1">
      <c r="A218" s="55">
        <v>45873.0</v>
      </c>
      <c r="B218" s="55" t="str">
        <f t="shared" si="10"/>
        <v> </v>
      </c>
      <c r="C218" s="202">
        <f t="shared" si="1"/>
        <v>4</v>
      </c>
      <c r="D218" s="202" t="str">
        <f t="shared" si="2"/>
        <v> </v>
      </c>
      <c r="E218" s="202" t="str">
        <f t="shared" si="9"/>
        <v> </v>
      </c>
      <c r="F218" s="55" t="str">
        <f t="shared" si="4"/>
        <v/>
      </c>
      <c r="G218" s="202" t="str">
        <f t="shared" si="5"/>
        <v/>
      </c>
      <c r="H218" s="202" t="str">
        <f t="shared" si="11"/>
        <v> </v>
      </c>
      <c r="I218" s="205" t="str">
        <f t="shared" si="7"/>
        <v/>
      </c>
      <c r="J218" s="205"/>
      <c r="K218" s="205"/>
    </row>
    <row r="219" ht="14.25" customHeight="1">
      <c r="A219" s="55">
        <v>45874.0</v>
      </c>
      <c r="B219" s="55" t="str">
        <f t="shared" si="10"/>
        <v> </v>
      </c>
      <c r="C219" s="202">
        <f t="shared" si="1"/>
        <v>5</v>
      </c>
      <c r="D219" s="202" t="str">
        <f t="shared" si="2"/>
        <v> </v>
      </c>
      <c r="E219" s="202" t="str">
        <f t="shared" si="9"/>
        <v> </v>
      </c>
      <c r="F219" s="55" t="str">
        <f t="shared" si="4"/>
        <v/>
      </c>
      <c r="G219" s="202" t="str">
        <f t="shared" si="5"/>
        <v/>
      </c>
      <c r="H219" s="202" t="str">
        <f t="shared" si="11"/>
        <v> </v>
      </c>
      <c r="I219" s="205" t="str">
        <f t="shared" si="7"/>
        <v/>
      </c>
      <c r="J219" s="205"/>
      <c r="K219" s="205"/>
    </row>
    <row r="220" ht="14.25" customHeight="1">
      <c r="A220" s="55">
        <v>45875.0</v>
      </c>
      <c r="B220" s="55" t="str">
        <f t="shared" si="10"/>
        <v> </v>
      </c>
      <c r="C220" s="202">
        <f t="shared" si="1"/>
        <v>6</v>
      </c>
      <c r="D220" s="202" t="str">
        <f t="shared" si="2"/>
        <v> </v>
      </c>
      <c r="E220" s="202" t="str">
        <f t="shared" si="9"/>
        <v> </v>
      </c>
      <c r="F220" s="55" t="str">
        <f t="shared" si="4"/>
        <v/>
      </c>
      <c r="G220" s="202" t="str">
        <f t="shared" si="5"/>
        <v/>
      </c>
      <c r="H220" s="202" t="str">
        <f t="shared" si="11"/>
        <v> </v>
      </c>
      <c r="I220" s="205" t="str">
        <f t="shared" si="7"/>
        <v/>
      </c>
      <c r="J220" s="205"/>
      <c r="K220" s="205"/>
    </row>
    <row r="221" ht="14.25" customHeight="1">
      <c r="A221" s="55">
        <v>45876.0</v>
      </c>
      <c r="B221" s="55" t="str">
        <f t="shared" si="10"/>
        <v> </v>
      </c>
      <c r="C221" s="202">
        <f t="shared" si="1"/>
        <v>7</v>
      </c>
      <c r="D221" s="202" t="str">
        <f t="shared" si="2"/>
        <v> </v>
      </c>
      <c r="E221" s="202" t="str">
        <f t="shared" si="9"/>
        <v> </v>
      </c>
      <c r="F221" s="55" t="str">
        <f t="shared" si="4"/>
        <v/>
      </c>
      <c r="G221" s="202" t="str">
        <f t="shared" si="5"/>
        <v/>
      </c>
      <c r="H221" s="202" t="str">
        <f t="shared" si="11"/>
        <v> </v>
      </c>
      <c r="I221" s="205" t="str">
        <f t="shared" si="7"/>
        <v/>
      </c>
      <c r="J221" s="205"/>
      <c r="K221" s="205"/>
    </row>
    <row r="222" ht="14.25" customHeight="1">
      <c r="A222" s="55">
        <v>45877.0</v>
      </c>
      <c r="B222" s="55" t="str">
        <f t="shared" si="10"/>
        <v> </v>
      </c>
      <c r="C222" s="202">
        <f t="shared" si="1"/>
        <v>8</v>
      </c>
      <c r="D222" s="202" t="str">
        <f t="shared" si="2"/>
        <v> </v>
      </c>
      <c r="E222" s="202" t="str">
        <f t="shared" si="9"/>
        <v> </v>
      </c>
      <c r="F222" s="55" t="str">
        <f t="shared" si="4"/>
        <v/>
      </c>
      <c r="G222" s="202" t="str">
        <f t="shared" si="5"/>
        <v/>
      </c>
      <c r="H222" s="202" t="str">
        <f t="shared" si="11"/>
        <v> </v>
      </c>
      <c r="I222" s="205" t="str">
        <f t="shared" si="7"/>
        <v/>
      </c>
      <c r="J222" s="205"/>
      <c r="K222" s="205"/>
    </row>
    <row r="223" ht="14.25" customHeight="1">
      <c r="A223" s="55">
        <v>45878.0</v>
      </c>
      <c r="B223" s="55" t="str">
        <f t="shared" si="10"/>
        <v> </v>
      </c>
      <c r="C223" s="202">
        <f t="shared" si="1"/>
        <v>9</v>
      </c>
      <c r="D223" s="202" t="str">
        <f t="shared" si="2"/>
        <v> </v>
      </c>
      <c r="E223" s="202" t="str">
        <f t="shared" si="9"/>
        <v> </v>
      </c>
      <c r="F223" s="55" t="str">
        <f t="shared" si="4"/>
        <v/>
      </c>
      <c r="G223" s="202" t="str">
        <f t="shared" si="5"/>
        <v/>
      </c>
      <c r="H223" s="202" t="str">
        <f t="shared" si="11"/>
        <v> </v>
      </c>
      <c r="I223" s="205" t="str">
        <f t="shared" si="7"/>
        <v/>
      </c>
      <c r="J223" s="205"/>
      <c r="K223" s="205"/>
    </row>
    <row r="224" ht="14.25" customHeight="1">
      <c r="A224" s="55">
        <v>45879.0</v>
      </c>
      <c r="B224" s="55" t="str">
        <f t="shared" si="10"/>
        <v> </v>
      </c>
      <c r="C224" s="202">
        <f t="shared" si="1"/>
        <v>10</v>
      </c>
      <c r="D224" s="202" t="str">
        <f t="shared" si="2"/>
        <v> </v>
      </c>
      <c r="E224" s="202" t="str">
        <f t="shared" si="9"/>
        <v> </v>
      </c>
      <c r="F224" s="55" t="str">
        <f t="shared" si="4"/>
        <v/>
      </c>
      <c r="G224" s="202" t="str">
        <f t="shared" si="5"/>
        <v/>
      </c>
      <c r="H224" s="202" t="str">
        <f t="shared" si="11"/>
        <v> </v>
      </c>
      <c r="I224" s="205" t="str">
        <f t="shared" si="7"/>
        <v/>
      </c>
      <c r="J224" s="205"/>
      <c r="K224" s="205"/>
    </row>
    <row r="225" ht="14.25" customHeight="1">
      <c r="A225" s="55">
        <v>45880.0</v>
      </c>
      <c r="B225" s="55" t="str">
        <f t="shared" si="10"/>
        <v> </v>
      </c>
      <c r="C225" s="202">
        <f t="shared" si="1"/>
        <v>11</v>
      </c>
      <c r="D225" s="202" t="str">
        <f t="shared" si="2"/>
        <v> </v>
      </c>
      <c r="E225" s="202" t="str">
        <f t="shared" si="9"/>
        <v> </v>
      </c>
      <c r="F225" s="55" t="str">
        <f t="shared" si="4"/>
        <v/>
      </c>
      <c r="G225" s="202" t="str">
        <f t="shared" si="5"/>
        <v/>
      </c>
      <c r="H225" s="202" t="str">
        <f t="shared" si="11"/>
        <v> </v>
      </c>
      <c r="I225" s="205" t="str">
        <f t="shared" si="7"/>
        <v/>
      </c>
      <c r="J225" s="205"/>
      <c r="K225" s="205"/>
    </row>
    <row r="226" ht="14.25" customHeight="1">
      <c r="A226" s="55">
        <v>45881.0</v>
      </c>
      <c r="B226" s="55" t="str">
        <f t="shared" si="10"/>
        <v> </v>
      </c>
      <c r="C226" s="202">
        <f t="shared" si="1"/>
        <v>12</v>
      </c>
      <c r="D226" s="202" t="str">
        <f t="shared" si="2"/>
        <v> </v>
      </c>
      <c r="E226" s="202" t="str">
        <f t="shared" si="9"/>
        <v> </v>
      </c>
      <c r="F226" s="55" t="str">
        <f t="shared" si="4"/>
        <v/>
      </c>
      <c r="G226" s="202" t="str">
        <f t="shared" si="5"/>
        <v/>
      </c>
      <c r="H226" s="202" t="str">
        <f t="shared" si="11"/>
        <v> </v>
      </c>
      <c r="I226" s="205" t="str">
        <f t="shared" si="7"/>
        <v/>
      </c>
      <c r="J226" s="205"/>
      <c r="K226" s="205"/>
    </row>
    <row r="227" ht="14.25" customHeight="1">
      <c r="A227" s="55">
        <v>45882.0</v>
      </c>
      <c r="B227" s="55" t="str">
        <f t="shared" si="10"/>
        <v> </v>
      </c>
      <c r="C227" s="202">
        <f t="shared" si="1"/>
        <v>13</v>
      </c>
      <c r="D227" s="202" t="str">
        <f t="shared" si="2"/>
        <v> </v>
      </c>
      <c r="E227" s="202" t="str">
        <f t="shared" si="9"/>
        <v> </v>
      </c>
      <c r="F227" s="55" t="str">
        <f t="shared" si="4"/>
        <v/>
      </c>
      <c r="G227" s="202" t="str">
        <f t="shared" si="5"/>
        <v/>
      </c>
      <c r="H227" s="202" t="str">
        <f t="shared" si="11"/>
        <v> </v>
      </c>
      <c r="I227" s="205" t="str">
        <f t="shared" si="7"/>
        <v/>
      </c>
      <c r="J227" s="205"/>
      <c r="K227" s="205"/>
    </row>
    <row r="228" ht="14.25" customHeight="1">
      <c r="A228" s="55">
        <v>45883.0</v>
      </c>
      <c r="B228" s="55" t="str">
        <f t="shared" si="10"/>
        <v> </v>
      </c>
      <c r="C228" s="202">
        <f t="shared" si="1"/>
        <v>14</v>
      </c>
      <c r="D228" s="202" t="str">
        <f t="shared" si="2"/>
        <v> </v>
      </c>
      <c r="E228" s="202" t="str">
        <f t="shared" si="9"/>
        <v> </v>
      </c>
      <c r="F228" s="55" t="str">
        <f t="shared" si="4"/>
        <v/>
      </c>
      <c r="G228" s="202" t="str">
        <f t="shared" si="5"/>
        <v/>
      </c>
      <c r="H228" s="202" t="str">
        <f t="shared" si="11"/>
        <v> </v>
      </c>
      <c r="I228" s="205" t="str">
        <f t="shared" si="7"/>
        <v/>
      </c>
      <c r="J228" s="205"/>
      <c r="K228" s="205"/>
    </row>
    <row r="229" ht="14.25" customHeight="1">
      <c r="A229" s="55">
        <v>45884.0</v>
      </c>
      <c r="B229" s="55" t="str">
        <f t="shared" si="10"/>
        <v> </v>
      </c>
      <c r="C229" s="202">
        <f t="shared" si="1"/>
        <v>15</v>
      </c>
      <c r="D229" s="202" t="str">
        <f t="shared" si="2"/>
        <v> </v>
      </c>
      <c r="E229" s="202" t="str">
        <f t="shared" si="9"/>
        <v> </v>
      </c>
      <c r="F229" s="55" t="str">
        <f t="shared" si="4"/>
        <v/>
      </c>
      <c r="G229" s="202" t="str">
        <f t="shared" si="5"/>
        <v/>
      </c>
      <c r="H229" s="202" t="str">
        <f t="shared" si="11"/>
        <v> </v>
      </c>
      <c r="I229" s="205" t="str">
        <f t="shared" si="7"/>
        <v/>
      </c>
      <c r="J229" s="205"/>
      <c r="K229" s="205"/>
    </row>
    <row r="230" ht="14.25" customHeight="1">
      <c r="A230" s="55">
        <v>45885.0</v>
      </c>
      <c r="B230" s="55" t="str">
        <f t="shared" si="10"/>
        <v> </v>
      </c>
      <c r="C230" s="202">
        <f t="shared" si="1"/>
        <v>16</v>
      </c>
      <c r="D230" s="202" t="str">
        <f t="shared" si="2"/>
        <v> </v>
      </c>
      <c r="E230" s="202" t="str">
        <f t="shared" si="9"/>
        <v> </v>
      </c>
      <c r="F230" s="55" t="str">
        <f t="shared" si="4"/>
        <v/>
      </c>
      <c r="G230" s="202" t="str">
        <f t="shared" si="5"/>
        <v/>
      </c>
      <c r="H230" s="202" t="str">
        <f t="shared" si="11"/>
        <v> </v>
      </c>
      <c r="I230" s="205" t="str">
        <f t="shared" si="7"/>
        <v/>
      </c>
      <c r="J230" s="205"/>
      <c r="K230" s="205"/>
    </row>
    <row r="231" ht="14.25" customHeight="1">
      <c r="A231" s="55">
        <v>45886.0</v>
      </c>
      <c r="B231" s="55" t="str">
        <f t="shared" si="10"/>
        <v> </v>
      </c>
      <c r="C231" s="202">
        <f t="shared" si="1"/>
        <v>17</v>
      </c>
      <c r="D231" s="202" t="str">
        <f t="shared" si="2"/>
        <v> </v>
      </c>
      <c r="E231" s="202" t="str">
        <f t="shared" si="9"/>
        <v> </v>
      </c>
      <c r="F231" s="55" t="str">
        <f t="shared" si="4"/>
        <v/>
      </c>
      <c r="G231" s="202" t="str">
        <f t="shared" si="5"/>
        <v/>
      </c>
      <c r="H231" s="202" t="str">
        <f t="shared" si="11"/>
        <v> </v>
      </c>
      <c r="I231" s="205" t="str">
        <f t="shared" si="7"/>
        <v/>
      </c>
      <c r="J231" s="205"/>
      <c r="K231" s="205"/>
    </row>
    <row r="232" ht="14.25" customHeight="1">
      <c r="A232" s="55">
        <v>45887.0</v>
      </c>
      <c r="B232" s="55" t="str">
        <f t="shared" si="10"/>
        <v> </v>
      </c>
      <c r="C232" s="202">
        <f t="shared" si="1"/>
        <v>18</v>
      </c>
      <c r="D232" s="202" t="str">
        <f t="shared" si="2"/>
        <v> </v>
      </c>
      <c r="E232" s="202" t="str">
        <f t="shared" si="9"/>
        <v> </v>
      </c>
      <c r="F232" s="55" t="str">
        <f t="shared" si="4"/>
        <v/>
      </c>
      <c r="G232" s="202" t="str">
        <f t="shared" si="5"/>
        <v/>
      </c>
      <c r="H232" s="202" t="str">
        <f t="shared" si="11"/>
        <v> </v>
      </c>
      <c r="I232" s="205" t="str">
        <f t="shared" si="7"/>
        <v/>
      </c>
      <c r="J232" s="205"/>
      <c r="K232" s="205"/>
    </row>
    <row r="233" ht="14.25" customHeight="1">
      <c r="A233" s="55">
        <v>45888.0</v>
      </c>
      <c r="B233" s="55" t="str">
        <f t="shared" si="10"/>
        <v> </v>
      </c>
      <c r="C233" s="202">
        <f t="shared" si="1"/>
        <v>19</v>
      </c>
      <c r="D233" s="202" t="str">
        <f t="shared" si="2"/>
        <v> </v>
      </c>
      <c r="E233" s="202" t="str">
        <f t="shared" si="9"/>
        <v> </v>
      </c>
      <c r="F233" s="55" t="str">
        <f t="shared" si="4"/>
        <v/>
      </c>
      <c r="G233" s="202" t="str">
        <f t="shared" si="5"/>
        <v/>
      </c>
      <c r="H233" s="202" t="str">
        <f t="shared" si="11"/>
        <v> </v>
      </c>
      <c r="I233" s="205" t="str">
        <f t="shared" si="7"/>
        <v/>
      </c>
      <c r="J233" s="205"/>
      <c r="K233" s="205"/>
    </row>
    <row r="234" ht="14.25" customHeight="1">
      <c r="A234" s="55">
        <v>45889.0</v>
      </c>
      <c r="B234" s="55" t="str">
        <f t="shared" si="10"/>
        <v> </v>
      </c>
      <c r="C234" s="202">
        <f t="shared" si="1"/>
        <v>20</v>
      </c>
      <c r="D234" s="202" t="str">
        <f t="shared" si="2"/>
        <v> </v>
      </c>
      <c r="E234" s="202" t="str">
        <f t="shared" si="9"/>
        <v> </v>
      </c>
      <c r="F234" s="55" t="str">
        <f t="shared" si="4"/>
        <v/>
      </c>
      <c r="G234" s="202" t="str">
        <f t="shared" si="5"/>
        <v/>
      </c>
      <c r="H234" s="202" t="str">
        <f t="shared" si="11"/>
        <v> </v>
      </c>
      <c r="I234" s="205" t="str">
        <f t="shared" si="7"/>
        <v/>
      </c>
      <c r="J234" s="205"/>
      <c r="K234" s="205"/>
    </row>
    <row r="235" ht="14.25" customHeight="1">
      <c r="A235" s="55">
        <v>45890.0</v>
      </c>
      <c r="B235" s="55" t="str">
        <f t="shared" si="10"/>
        <v> </v>
      </c>
      <c r="C235" s="202">
        <f t="shared" si="1"/>
        <v>21</v>
      </c>
      <c r="D235" s="202" t="str">
        <f t="shared" si="2"/>
        <v> </v>
      </c>
      <c r="E235" s="202" t="str">
        <f t="shared" si="9"/>
        <v> </v>
      </c>
      <c r="F235" s="55" t="str">
        <f t="shared" si="4"/>
        <v/>
      </c>
      <c r="G235" s="202" t="str">
        <f t="shared" si="5"/>
        <v/>
      </c>
      <c r="H235" s="202" t="str">
        <f t="shared" si="11"/>
        <v> </v>
      </c>
      <c r="I235" s="205" t="str">
        <f t="shared" si="7"/>
        <v/>
      </c>
      <c r="J235" s="205"/>
      <c r="K235" s="205"/>
    </row>
    <row r="236" ht="14.25" customHeight="1">
      <c r="A236" s="55">
        <v>45891.0</v>
      </c>
      <c r="B236" s="55" t="str">
        <f t="shared" si="10"/>
        <v> </v>
      </c>
      <c r="C236" s="202">
        <f t="shared" si="1"/>
        <v>22</v>
      </c>
      <c r="D236" s="202" t="str">
        <f t="shared" si="2"/>
        <v> </v>
      </c>
      <c r="E236" s="202" t="str">
        <f t="shared" si="9"/>
        <v> </v>
      </c>
      <c r="F236" s="55" t="str">
        <f t="shared" si="4"/>
        <v/>
      </c>
      <c r="G236" s="202" t="str">
        <f t="shared" si="5"/>
        <v/>
      </c>
      <c r="H236" s="202" t="str">
        <f t="shared" si="11"/>
        <v> </v>
      </c>
      <c r="I236" s="205" t="str">
        <f t="shared" si="7"/>
        <v/>
      </c>
      <c r="J236" s="205"/>
      <c r="K236" s="205"/>
    </row>
    <row r="237" ht="14.25" customHeight="1">
      <c r="A237" s="55">
        <v>45892.0</v>
      </c>
      <c r="B237" s="55" t="str">
        <f t="shared" si="10"/>
        <v> </v>
      </c>
      <c r="C237" s="202">
        <f t="shared" si="1"/>
        <v>23</v>
      </c>
      <c r="D237" s="202" t="str">
        <f t="shared" si="2"/>
        <v> </v>
      </c>
      <c r="E237" s="202" t="str">
        <f t="shared" si="9"/>
        <v> </v>
      </c>
      <c r="F237" s="55" t="str">
        <f t="shared" si="4"/>
        <v/>
      </c>
      <c r="G237" s="202" t="str">
        <f t="shared" si="5"/>
        <v/>
      </c>
      <c r="H237" s="202" t="str">
        <f t="shared" si="11"/>
        <v> </v>
      </c>
      <c r="I237" s="205" t="str">
        <f t="shared" si="7"/>
        <v/>
      </c>
      <c r="J237" s="205"/>
      <c r="K237" s="205"/>
    </row>
    <row r="238" ht="14.25" customHeight="1">
      <c r="A238" s="55">
        <v>45893.0</v>
      </c>
      <c r="B238" s="55" t="str">
        <f t="shared" si="10"/>
        <v> </v>
      </c>
      <c r="C238" s="202">
        <f t="shared" si="1"/>
        <v>24</v>
      </c>
      <c r="D238" s="202" t="str">
        <f t="shared" si="2"/>
        <v> </v>
      </c>
      <c r="E238" s="202" t="str">
        <f t="shared" si="9"/>
        <v> </v>
      </c>
      <c r="F238" s="55" t="str">
        <f t="shared" si="4"/>
        <v/>
      </c>
      <c r="G238" s="202" t="str">
        <f t="shared" si="5"/>
        <v/>
      </c>
      <c r="H238" s="202" t="str">
        <f t="shared" si="11"/>
        <v> </v>
      </c>
      <c r="I238" s="205" t="str">
        <f t="shared" si="7"/>
        <v/>
      </c>
      <c r="J238" s="205"/>
      <c r="K238" s="205"/>
    </row>
    <row r="239" ht="14.25" customHeight="1">
      <c r="A239" s="55">
        <v>45894.0</v>
      </c>
      <c r="B239" s="55" t="str">
        <f t="shared" si="10"/>
        <v> </v>
      </c>
      <c r="C239" s="202">
        <f t="shared" si="1"/>
        <v>25</v>
      </c>
      <c r="D239" s="202" t="str">
        <f t="shared" si="2"/>
        <v> </v>
      </c>
      <c r="E239" s="202" t="str">
        <f t="shared" si="9"/>
        <v> </v>
      </c>
      <c r="F239" s="55" t="str">
        <f t="shared" si="4"/>
        <v/>
      </c>
      <c r="G239" s="202" t="str">
        <f t="shared" si="5"/>
        <v/>
      </c>
      <c r="H239" s="202" t="str">
        <f t="shared" si="11"/>
        <v> </v>
      </c>
      <c r="I239" s="205" t="str">
        <f t="shared" si="7"/>
        <v/>
      </c>
      <c r="J239" s="205"/>
      <c r="K239" s="205"/>
    </row>
    <row r="240" ht="14.25" customHeight="1">
      <c r="A240" s="55">
        <v>45895.0</v>
      </c>
      <c r="B240" s="55" t="str">
        <f t="shared" si="10"/>
        <v> </v>
      </c>
      <c r="C240" s="202">
        <f t="shared" si="1"/>
        <v>26</v>
      </c>
      <c r="D240" s="202" t="str">
        <f t="shared" si="2"/>
        <v> </v>
      </c>
      <c r="E240" s="202" t="str">
        <f t="shared" si="9"/>
        <v> </v>
      </c>
      <c r="F240" s="55" t="str">
        <f t="shared" si="4"/>
        <v/>
      </c>
      <c r="G240" s="202" t="str">
        <f t="shared" si="5"/>
        <v/>
      </c>
      <c r="H240" s="202" t="str">
        <f t="shared" si="11"/>
        <v> </v>
      </c>
      <c r="I240" s="205" t="str">
        <f t="shared" si="7"/>
        <v/>
      </c>
      <c r="J240" s="205"/>
      <c r="K240" s="205"/>
    </row>
    <row r="241" ht="14.25" customHeight="1">
      <c r="A241" s="55">
        <v>45896.0</v>
      </c>
      <c r="B241" s="55" t="str">
        <f t="shared" si="10"/>
        <v> </v>
      </c>
      <c r="C241" s="202">
        <f t="shared" si="1"/>
        <v>27</v>
      </c>
      <c r="D241" s="202" t="str">
        <f t="shared" si="2"/>
        <v> </v>
      </c>
      <c r="E241" s="202" t="str">
        <f t="shared" si="9"/>
        <v> </v>
      </c>
      <c r="F241" s="55" t="str">
        <f t="shared" si="4"/>
        <v/>
      </c>
      <c r="G241" s="202" t="str">
        <f t="shared" si="5"/>
        <v/>
      </c>
      <c r="H241" s="202" t="str">
        <f t="shared" si="11"/>
        <v> </v>
      </c>
      <c r="I241" s="205" t="str">
        <f t="shared" si="7"/>
        <v/>
      </c>
      <c r="J241" s="205"/>
      <c r="K241" s="205"/>
    </row>
    <row r="242" ht="14.25" customHeight="1">
      <c r="A242" s="55">
        <v>45897.0</v>
      </c>
      <c r="B242" s="55" t="str">
        <f t="shared" si="10"/>
        <v> </v>
      </c>
      <c r="C242" s="202">
        <f t="shared" si="1"/>
        <v>28</v>
      </c>
      <c r="D242" s="202" t="str">
        <f t="shared" si="2"/>
        <v> </v>
      </c>
      <c r="E242" s="202" t="str">
        <f t="shared" si="9"/>
        <v> </v>
      </c>
      <c r="F242" s="55" t="str">
        <f t="shared" si="4"/>
        <v/>
      </c>
      <c r="G242" s="202" t="str">
        <f t="shared" si="5"/>
        <v/>
      </c>
      <c r="H242" s="202" t="str">
        <f t="shared" si="11"/>
        <v> </v>
      </c>
      <c r="I242" s="205" t="str">
        <f t="shared" si="7"/>
        <v/>
      </c>
      <c r="J242" s="205"/>
      <c r="K242" s="205"/>
    </row>
    <row r="243" ht="14.25" customHeight="1">
      <c r="A243" s="55">
        <v>45898.0</v>
      </c>
      <c r="B243" s="55" t="str">
        <f t="shared" si="10"/>
        <v> </v>
      </c>
      <c r="C243" s="202">
        <f t="shared" si="1"/>
        <v>29</v>
      </c>
      <c r="D243" s="202" t="str">
        <f t="shared" si="2"/>
        <v> </v>
      </c>
      <c r="E243" s="202" t="str">
        <f t="shared" si="9"/>
        <v> </v>
      </c>
      <c r="F243" s="55" t="str">
        <f t="shared" si="4"/>
        <v/>
      </c>
      <c r="G243" s="202" t="str">
        <f t="shared" si="5"/>
        <v/>
      </c>
      <c r="H243" s="202" t="str">
        <f t="shared" si="11"/>
        <v> </v>
      </c>
      <c r="I243" s="205" t="str">
        <f t="shared" si="7"/>
        <v/>
      </c>
      <c r="J243" s="205"/>
      <c r="K243" s="205"/>
    </row>
    <row r="244" ht="14.25" customHeight="1">
      <c r="A244" s="55">
        <v>45899.0</v>
      </c>
      <c r="B244" s="55" t="str">
        <f t="shared" si="10"/>
        <v> </v>
      </c>
      <c r="C244" s="202">
        <f t="shared" si="1"/>
        <v>30</v>
      </c>
      <c r="D244" s="202" t="str">
        <f t="shared" si="2"/>
        <v> </v>
      </c>
      <c r="E244" s="202" t="str">
        <f t="shared" si="9"/>
        <v> </v>
      </c>
      <c r="F244" s="55" t="str">
        <f t="shared" si="4"/>
        <v/>
      </c>
      <c r="G244" s="202" t="str">
        <f t="shared" si="5"/>
        <v/>
      </c>
      <c r="H244" s="202" t="str">
        <f t="shared" si="11"/>
        <v> </v>
      </c>
      <c r="I244" s="205" t="str">
        <f t="shared" si="7"/>
        <v/>
      </c>
      <c r="J244" s="205"/>
      <c r="K244" s="205"/>
    </row>
    <row r="245" ht="14.25" customHeight="1">
      <c r="A245" s="55">
        <v>45900.0</v>
      </c>
      <c r="B245" s="55" t="str">
        <f t="shared" si="10"/>
        <v> </v>
      </c>
      <c r="C245" s="202">
        <f t="shared" si="1"/>
        <v>31</v>
      </c>
      <c r="D245" s="202" t="str">
        <f t="shared" si="2"/>
        <v> </v>
      </c>
      <c r="E245" s="202" t="str">
        <f t="shared" si="9"/>
        <v> </v>
      </c>
      <c r="F245" s="55" t="str">
        <f t="shared" si="4"/>
        <v/>
      </c>
      <c r="G245" s="202" t="str">
        <f t="shared" si="5"/>
        <v/>
      </c>
      <c r="H245" s="202" t="str">
        <f t="shared" si="11"/>
        <v> </v>
      </c>
      <c r="I245" s="205" t="str">
        <f t="shared" si="7"/>
        <v/>
      </c>
      <c r="J245" s="205"/>
      <c r="K245" s="205"/>
    </row>
    <row r="246" ht="14.25" customHeight="1">
      <c r="A246" s="55">
        <v>45901.0</v>
      </c>
      <c r="B246" s="55" t="str">
        <f t="shared" si="10"/>
        <v> </v>
      </c>
      <c r="C246" s="202">
        <f t="shared" si="1"/>
        <v>1</v>
      </c>
      <c r="D246" s="202" t="str">
        <f t="shared" si="2"/>
        <v> </v>
      </c>
      <c r="E246" s="202" t="str">
        <f t="shared" si="9"/>
        <v> </v>
      </c>
      <c r="F246" s="55" t="str">
        <f t="shared" si="4"/>
        <v/>
      </c>
      <c r="G246" s="202" t="str">
        <f t="shared" si="5"/>
        <v/>
      </c>
      <c r="H246" s="202" t="str">
        <f t="shared" si="11"/>
        <v> </v>
      </c>
      <c r="I246" s="205" t="str">
        <f t="shared" si="7"/>
        <v/>
      </c>
      <c r="J246" s="205"/>
      <c r="K246" s="205"/>
    </row>
    <row r="247" ht="14.25" customHeight="1">
      <c r="A247" s="55">
        <v>45902.0</v>
      </c>
      <c r="B247" s="55" t="str">
        <f t="shared" si="10"/>
        <v> </v>
      </c>
      <c r="C247" s="202">
        <f t="shared" si="1"/>
        <v>2</v>
      </c>
      <c r="D247" s="202" t="str">
        <f t="shared" si="2"/>
        <v> </v>
      </c>
      <c r="E247" s="202" t="str">
        <f t="shared" si="9"/>
        <v> </v>
      </c>
      <c r="F247" s="55" t="str">
        <f t="shared" si="4"/>
        <v/>
      </c>
      <c r="G247" s="202" t="str">
        <f t="shared" si="5"/>
        <v/>
      </c>
      <c r="H247" s="202" t="str">
        <f t="shared" si="11"/>
        <v> </v>
      </c>
      <c r="I247" s="205" t="str">
        <f t="shared" si="7"/>
        <v/>
      </c>
      <c r="J247" s="205"/>
      <c r="K247" s="205"/>
    </row>
    <row r="248" ht="14.25" customHeight="1">
      <c r="A248" s="55">
        <v>45903.0</v>
      </c>
      <c r="B248" s="55" t="str">
        <f t="shared" si="10"/>
        <v> </v>
      </c>
      <c r="C248" s="202">
        <f t="shared" si="1"/>
        <v>3</v>
      </c>
      <c r="D248" s="202" t="str">
        <f t="shared" si="2"/>
        <v> </v>
      </c>
      <c r="E248" s="202" t="str">
        <f t="shared" si="9"/>
        <v> </v>
      </c>
      <c r="F248" s="55" t="str">
        <f t="shared" si="4"/>
        <v/>
      </c>
      <c r="G248" s="202" t="str">
        <f t="shared" si="5"/>
        <v/>
      </c>
      <c r="H248" s="202" t="str">
        <f t="shared" si="11"/>
        <v> </v>
      </c>
      <c r="I248" s="205" t="str">
        <f t="shared" si="7"/>
        <v/>
      </c>
      <c r="J248" s="205"/>
      <c r="K248" s="205"/>
    </row>
    <row r="249" ht="14.25" customHeight="1">
      <c r="A249" s="55">
        <v>45904.0</v>
      </c>
      <c r="B249" s="55" t="str">
        <f t="shared" si="10"/>
        <v> </v>
      </c>
      <c r="C249" s="202">
        <f t="shared" si="1"/>
        <v>4</v>
      </c>
      <c r="D249" s="202" t="str">
        <f t="shared" si="2"/>
        <v> </v>
      </c>
      <c r="E249" s="202" t="str">
        <f t="shared" si="9"/>
        <v> </v>
      </c>
      <c r="F249" s="55" t="str">
        <f t="shared" si="4"/>
        <v/>
      </c>
      <c r="G249" s="202" t="str">
        <f t="shared" si="5"/>
        <v/>
      </c>
      <c r="H249" s="202" t="str">
        <f t="shared" si="11"/>
        <v> </v>
      </c>
      <c r="I249" s="205" t="str">
        <f t="shared" si="7"/>
        <v/>
      </c>
      <c r="J249" s="205"/>
      <c r="K249" s="205"/>
    </row>
    <row r="250" ht="14.25" customHeight="1">
      <c r="A250" s="55">
        <v>45905.0</v>
      </c>
      <c r="B250" s="55" t="str">
        <f t="shared" si="10"/>
        <v> </v>
      </c>
      <c r="C250" s="202">
        <f t="shared" si="1"/>
        <v>5</v>
      </c>
      <c r="D250" s="202" t="str">
        <f t="shared" si="2"/>
        <v> </v>
      </c>
      <c r="E250" s="202" t="str">
        <f t="shared" si="9"/>
        <v> </v>
      </c>
      <c r="F250" s="55" t="str">
        <f t="shared" si="4"/>
        <v/>
      </c>
      <c r="G250" s="202" t="str">
        <f t="shared" si="5"/>
        <v/>
      </c>
      <c r="H250" s="202" t="str">
        <f t="shared" si="11"/>
        <v> </v>
      </c>
      <c r="I250" s="205" t="str">
        <f t="shared" si="7"/>
        <v/>
      </c>
      <c r="J250" s="205"/>
      <c r="K250" s="205"/>
    </row>
    <row r="251" ht="14.25" customHeight="1">
      <c r="A251" s="55">
        <v>45906.0</v>
      </c>
      <c r="B251" s="55" t="str">
        <f t="shared" si="10"/>
        <v> </v>
      </c>
      <c r="C251" s="202">
        <f t="shared" si="1"/>
        <v>6</v>
      </c>
      <c r="D251" s="202" t="str">
        <f t="shared" si="2"/>
        <v> </v>
      </c>
      <c r="E251" s="202" t="str">
        <f t="shared" si="9"/>
        <v> </v>
      </c>
      <c r="F251" s="55" t="str">
        <f t="shared" si="4"/>
        <v/>
      </c>
      <c r="G251" s="202" t="str">
        <f t="shared" si="5"/>
        <v/>
      </c>
      <c r="H251" s="202" t="str">
        <f t="shared" si="11"/>
        <v> </v>
      </c>
      <c r="I251" s="205" t="str">
        <f t="shared" si="7"/>
        <v/>
      </c>
      <c r="J251" s="205"/>
      <c r="K251" s="205"/>
    </row>
    <row r="252" ht="14.25" customHeight="1">
      <c r="A252" s="55">
        <v>45907.0</v>
      </c>
      <c r="B252" s="55" t="str">
        <f t="shared" si="10"/>
        <v> </v>
      </c>
      <c r="C252" s="202">
        <f t="shared" si="1"/>
        <v>7</v>
      </c>
      <c r="D252" s="202" t="str">
        <f t="shared" si="2"/>
        <v> </v>
      </c>
      <c r="E252" s="202" t="str">
        <f t="shared" si="9"/>
        <v> </v>
      </c>
      <c r="F252" s="55" t="str">
        <f t="shared" si="4"/>
        <v/>
      </c>
      <c r="G252" s="202" t="str">
        <f t="shared" si="5"/>
        <v/>
      </c>
      <c r="H252" s="202" t="str">
        <f t="shared" si="11"/>
        <v> </v>
      </c>
      <c r="I252" s="205" t="str">
        <f t="shared" si="7"/>
        <v/>
      </c>
      <c r="J252" s="205"/>
      <c r="K252" s="205"/>
    </row>
    <row r="253" ht="14.25" customHeight="1">
      <c r="A253" s="55">
        <v>45908.0</v>
      </c>
      <c r="B253" s="55" t="str">
        <f t="shared" si="10"/>
        <v> </v>
      </c>
      <c r="C253" s="202">
        <f t="shared" si="1"/>
        <v>8</v>
      </c>
      <c r="D253" s="202" t="str">
        <f t="shared" si="2"/>
        <v> </v>
      </c>
      <c r="E253" s="202" t="str">
        <f t="shared" si="9"/>
        <v> </v>
      </c>
      <c r="F253" s="55" t="str">
        <f t="shared" si="4"/>
        <v/>
      </c>
      <c r="G253" s="202" t="str">
        <f t="shared" si="5"/>
        <v/>
      </c>
      <c r="H253" s="202" t="str">
        <f t="shared" si="11"/>
        <v> </v>
      </c>
      <c r="I253" s="205" t="str">
        <f t="shared" si="7"/>
        <v/>
      </c>
      <c r="J253" s="205"/>
      <c r="K253" s="205"/>
    </row>
    <row r="254" ht="14.25" customHeight="1">
      <c r="A254" s="55">
        <v>45909.0</v>
      </c>
      <c r="B254" s="55" t="str">
        <f t="shared" si="10"/>
        <v> </v>
      </c>
      <c r="C254" s="202">
        <f t="shared" si="1"/>
        <v>9</v>
      </c>
      <c r="D254" s="202" t="str">
        <f t="shared" si="2"/>
        <v> </v>
      </c>
      <c r="E254" s="202" t="str">
        <f t="shared" si="9"/>
        <v> </v>
      </c>
      <c r="F254" s="55" t="str">
        <f t="shared" si="4"/>
        <v/>
      </c>
      <c r="G254" s="202" t="str">
        <f t="shared" si="5"/>
        <v/>
      </c>
      <c r="H254" s="202" t="str">
        <f t="shared" si="11"/>
        <v> </v>
      </c>
      <c r="I254" s="205" t="str">
        <f t="shared" si="7"/>
        <v/>
      </c>
      <c r="J254" s="205"/>
      <c r="K254" s="205"/>
    </row>
    <row r="255" ht="14.25" customHeight="1">
      <c r="A255" s="55">
        <v>45910.0</v>
      </c>
      <c r="B255" s="55" t="str">
        <f t="shared" si="10"/>
        <v> </v>
      </c>
      <c r="C255" s="202">
        <f t="shared" si="1"/>
        <v>10</v>
      </c>
      <c r="D255" s="202" t="str">
        <f t="shared" si="2"/>
        <v> </v>
      </c>
      <c r="E255" s="202" t="str">
        <f t="shared" si="9"/>
        <v> </v>
      </c>
      <c r="F255" s="55" t="str">
        <f t="shared" si="4"/>
        <v/>
      </c>
      <c r="G255" s="202" t="str">
        <f t="shared" si="5"/>
        <v/>
      </c>
      <c r="H255" s="202" t="str">
        <f t="shared" si="11"/>
        <v> </v>
      </c>
      <c r="I255" s="205" t="str">
        <f t="shared" si="7"/>
        <v/>
      </c>
      <c r="J255" s="205"/>
      <c r="K255" s="205"/>
    </row>
    <row r="256" ht="14.25" customHeight="1">
      <c r="A256" s="55">
        <v>45911.0</v>
      </c>
      <c r="B256" s="55" t="str">
        <f t="shared" si="10"/>
        <v> </v>
      </c>
      <c r="C256" s="202">
        <f t="shared" si="1"/>
        <v>11</v>
      </c>
      <c r="D256" s="202" t="str">
        <f t="shared" si="2"/>
        <v> </v>
      </c>
      <c r="E256" s="202" t="str">
        <f t="shared" si="9"/>
        <v> </v>
      </c>
      <c r="F256" s="55" t="str">
        <f t="shared" si="4"/>
        <v/>
      </c>
      <c r="G256" s="202" t="str">
        <f t="shared" si="5"/>
        <v/>
      </c>
      <c r="H256" s="202" t="str">
        <f t="shared" si="11"/>
        <v> </v>
      </c>
      <c r="I256" s="205" t="str">
        <f t="shared" si="7"/>
        <v/>
      </c>
      <c r="J256" s="205"/>
      <c r="K256" s="205"/>
    </row>
    <row r="257" ht="14.25" customHeight="1">
      <c r="A257" s="55">
        <v>45912.0</v>
      </c>
      <c r="B257" s="55" t="str">
        <f t="shared" si="10"/>
        <v> </v>
      </c>
      <c r="C257" s="202">
        <f t="shared" si="1"/>
        <v>12</v>
      </c>
      <c r="D257" s="202" t="str">
        <f t="shared" si="2"/>
        <v> </v>
      </c>
      <c r="E257" s="202" t="str">
        <f t="shared" si="9"/>
        <v> </v>
      </c>
      <c r="F257" s="55" t="str">
        <f t="shared" si="4"/>
        <v/>
      </c>
      <c r="G257" s="202" t="str">
        <f t="shared" si="5"/>
        <v/>
      </c>
      <c r="H257" s="202" t="str">
        <f t="shared" si="11"/>
        <v> </v>
      </c>
      <c r="I257" s="205" t="str">
        <f t="shared" si="7"/>
        <v/>
      </c>
      <c r="J257" s="205"/>
      <c r="K257" s="205"/>
    </row>
    <row r="258" ht="14.25" customHeight="1">
      <c r="A258" s="55">
        <v>45913.0</v>
      </c>
      <c r="B258" s="55" t="str">
        <f t="shared" si="10"/>
        <v> </v>
      </c>
      <c r="C258" s="202">
        <f t="shared" si="1"/>
        <v>13</v>
      </c>
      <c r="D258" s="202" t="str">
        <f t="shared" si="2"/>
        <v> </v>
      </c>
      <c r="E258" s="202" t="str">
        <f t="shared" si="9"/>
        <v> </v>
      </c>
      <c r="F258" s="55" t="str">
        <f t="shared" si="4"/>
        <v/>
      </c>
      <c r="G258" s="202" t="str">
        <f t="shared" si="5"/>
        <v/>
      </c>
      <c r="H258" s="202" t="str">
        <f t="shared" si="11"/>
        <v> </v>
      </c>
      <c r="I258" s="205" t="str">
        <f t="shared" si="7"/>
        <v/>
      </c>
      <c r="J258" s="205"/>
      <c r="K258" s="205"/>
    </row>
    <row r="259" ht="14.25" customHeight="1">
      <c r="A259" s="55">
        <v>45914.0</v>
      </c>
      <c r="B259" s="55" t="str">
        <f t="shared" si="10"/>
        <v> </v>
      </c>
      <c r="C259" s="202">
        <f t="shared" si="1"/>
        <v>14</v>
      </c>
      <c r="D259" s="202" t="str">
        <f t="shared" si="2"/>
        <v> </v>
      </c>
      <c r="E259" s="202" t="str">
        <f t="shared" si="9"/>
        <v> </v>
      </c>
      <c r="F259" s="55" t="str">
        <f t="shared" si="4"/>
        <v/>
      </c>
      <c r="G259" s="202" t="str">
        <f t="shared" si="5"/>
        <v/>
      </c>
      <c r="H259" s="202" t="str">
        <f t="shared" si="11"/>
        <v> </v>
      </c>
      <c r="I259" s="205" t="str">
        <f t="shared" si="7"/>
        <v/>
      </c>
      <c r="J259" s="205"/>
      <c r="K259" s="205"/>
    </row>
    <row r="260" ht="14.25" customHeight="1">
      <c r="A260" s="55">
        <v>45915.0</v>
      </c>
      <c r="B260" s="55" t="str">
        <f t="shared" si="10"/>
        <v> </v>
      </c>
      <c r="C260" s="202">
        <f t="shared" si="1"/>
        <v>15</v>
      </c>
      <c r="D260" s="202" t="str">
        <f t="shared" si="2"/>
        <v> </v>
      </c>
      <c r="E260" s="202" t="str">
        <f t="shared" si="9"/>
        <v> </v>
      </c>
      <c r="F260" s="55" t="str">
        <f t="shared" si="4"/>
        <v/>
      </c>
      <c r="G260" s="202" t="str">
        <f t="shared" si="5"/>
        <v/>
      </c>
      <c r="H260" s="202" t="str">
        <f t="shared" si="11"/>
        <v> </v>
      </c>
      <c r="I260" s="205" t="str">
        <f t="shared" si="7"/>
        <v/>
      </c>
      <c r="J260" s="205"/>
      <c r="K260" s="205"/>
    </row>
    <row r="261" ht="14.25" customHeight="1">
      <c r="A261" s="55">
        <v>45916.0</v>
      </c>
      <c r="B261" s="55" t="str">
        <f t="shared" si="10"/>
        <v> </v>
      </c>
      <c r="C261" s="202">
        <f t="shared" si="1"/>
        <v>16</v>
      </c>
      <c r="D261" s="202" t="str">
        <f t="shared" si="2"/>
        <v> </v>
      </c>
      <c r="E261" s="202" t="str">
        <f t="shared" si="9"/>
        <v> </v>
      </c>
      <c r="F261" s="55" t="str">
        <f t="shared" si="4"/>
        <v/>
      </c>
      <c r="G261" s="202" t="str">
        <f t="shared" si="5"/>
        <v/>
      </c>
      <c r="H261" s="202" t="str">
        <f t="shared" si="11"/>
        <v> </v>
      </c>
      <c r="I261" s="205" t="str">
        <f t="shared" si="7"/>
        <v/>
      </c>
      <c r="J261" s="205"/>
      <c r="K261" s="205"/>
    </row>
    <row r="262" ht="14.25" customHeight="1">
      <c r="A262" s="55">
        <v>45917.0</v>
      </c>
      <c r="B262" s="55" t="str">
        <f t="shared" si="10"/>
        <v> </v>
      </c>
      <c r="C262" s="202">
        <f t="shared" si="1"/>
        <v>17</v>
      </c>
      <c r="D262" s="202" t="str">
        <f t="shared" si="2"/>
        <v> </v>
      </c>
      <c r="E262" s="202" t="str">
        <f t="shared" si="9"/>
        <v> </v>
      </c>
      <c r="F262" s="55" t="str">
        <f t="shared" si="4"/>
        <v/>
      </c>
      <c r="G262" s="202" t="str">
        <f t="shared" si="5"/>
        <v/>
      </c>
      <c r="H262" s="202" t="str">
        <f t="shared" si="11"/>
        <v> </v>
      </c>
      <c r="I262" s="205" t="str">
        <f t="shared" si="7"/>
        <v/>
      </c>
      <c r="J262" s="205"/>
      <c r="K262" s="205"/>
    </row>
    <row r="263" ht="14.25" customHeight="1">
      <c r="A263" s="55">
        <v>45918.0</v>
      </c>
      <c r="B263" s="55" t="str">
        <f t="shared" si="10"/>
        <v> </v>
      </c>
      <c r="C263" s="202">
        <f t="shared" si="1"/>
        <v>18</v>
      </c>
      <c r="D263" s="202" t="str">
        <f t="shared" si="2"/>
        <v> </v>
      </c>
      <c r="E263" s="202" t="str">
        <f t="shared" si="9"/>
        <v> </v>
      </c>
      <c r="F263" s="55" t="str">
        <f t="shared" si="4"/>
        <v/>
      </c>
      <c r="G263" s="202" t="str">
        <f t="shared" si="5"/>
        <v/>
      </c>
      <c r="H263" s="202" t="str">
        <f t="shared" si="11"/>
        <v> </v>
      </c>
      <c r="I263" s="205" t="str">
        <f t="shared" si="7"/>
        <v/>
      </c>
      <c r="J263" s="205"/>
      <c r="K263" s="205"/>
    </row>
    <row r="264" ht="14.25" customHeight="1">
      <c r="A264" s="55">
        <v>45919.0</v>
      </c>
      <c r="B264" s="55" t="str">
        <f t="shared" si="10"/>
        <v> </v>
      </c>
      <c r="C264" s="202">
        <f t="shared" si="1"/>
        <v>19</v>
      </c>
      <c r="D264" s="202" t="str">
        <f t="shared" si="2"/>
        <v> </v>
      </c>
      <c r="E264" s="202" t="str">
        <f t="shared" si="9"/>
        <v> </v>
      </c>
      <c r="F264" s="55" t="str">
        <f t="shared" si="4"/>
        <v/>
      </c>
      <c r="G264" s="202" t="str">
        <f t="shared" si="5"/>
        <v/>
      </c>
      <c r="H264" s="202" t="str">
        <f t="shared" si="11"/>
        <v> </v>
      </c>
      <c r="I264" s="205" t="str">
        <f t="shared" si="7"/>
        <v/>
      </c>
      <c r="J264" s="205"/>
      <c r="K264" s="205"/>
    </row>
    <row r="265" ht="14.25" customHeight="1">
      <c r="A265" s="55">
        <v>45920.0</v>
      </c>
      <c r="B265" s="55" t="str">
        <f t="shared" si="10"/>
        <v> </v>
      </c>
      <c r="C265" s="202">
        <f t="shared" si="1"/>
        <v>20</v>
      </c>
      <c r="D265" s="202" t="str">
        <f t="shared" si="2"/>
        <v> </v>
      </c>
      <c r="E265" s="202" t="str">
        <f t="shared" si="9"/>
        <v> </v>
      </c>
      <c r="F265" s="55" t="str">
        <f t="shared" si="4"/>
        <v/>
      </c>
      <c r="G265" s="202" t="str">
        <f t="shared" si="5"/>
        <v/>
      </c>
      <c r="H265" s="202" t="str">
        <f t="shared" si="11"/>
        <v> </v>
      </c>
      <c r="I265" s="205" t="str">
        <f t="shared" si="7"/>
        <v/>
      </c>
      <c r="J265" s="205"/>
      <c r="K265" s="205"/>
    </row>
    <row r="266" ht="14.25" customHeight="1">
      <c r="A266" s="55">
        <v>45921.0</v>
      </c>
      <c r="B266" s="55" t="str">
        <f t="shared" si="10"/>
        <v> </v>
      </c>
      <c r="C266" s="202">
        <f t="shared" si="1"/>
        <v>21</v>
      </c>
      <c r="D266" s="202" t="str">
        <f t="shared" si="2"/>
        <v> </v>
      </c>
      <c r="E266" s="202" t="str">
        <f t="shared" si="9"/>
        <v> </v>
      </c>
      <c r="F266" s="55" t="str">
        <f t="shared" si="4"/>
        <v/>
      </c>
      <c r="G266" s="202" t="str">
        <f t="shared" si="5"/>
        <v/>
      </c>
      <c r="H266" s="202" t="str">
        <f t="shared" si="11"/>
        <v> </v>
      </c>
      <c r="I266" s="205" t="str">
        <f t="shared" si="7"/>
        <v/>
      </c>
      <c r="J266" s="205"/>
      <c r="K266" s="205"/>
    </row>
    <row r="267" ht="14.25" customHeight="1">
      <c r="A267" s="55">
        <v>45922.0</v>
      </c>
      <c r="B267" s="55" t="str">
        <f t="shared" si="10"/>
        <v> </v>
      </c>
      <c r="C267" s="202">
        <f t="shared" si="1"/>
        <v>22</v>
      </c>
      <c r="D267" s="202" t="str">
        <f t="shared" si="2"/>
        <v> </v>
      </c>
      <c r="E267" s="202" t="str">
        <f t="shared" si="9"/>
        <v> </v>
      </c>
      <c r="F267" s="55" t="str">
        <f t="shared" si="4"/>
        <v/>
      </c>
      <c r="G267" s="202" t="str">
        <f t="shared" si="5"/>
        <v/>
      </c>
      <c r="H267" s="202" t="str">
        <f t="shared" si="11"/>
        <v> </v>
      </c>
      <c r="I267" s="205" t="str">
        <f t="shared" si="7"/>
        <v/>
      </c>
      <c r="J267" s="205"/>
      <c r="K267" s="205"/>
    </row>
    <row r="268" ht="14.25" customHeight="1">
      <c r="A268" s="55">
        <v>45923.0</v>
      </c>
      <c r="B268" s="55" t="str">
        <f t="shared" si="10"/>
        <v> </v>
      </c>
      <c r="C268" s="202">
        <f t="shared" si="1"/>
        <v>23</v>
      </c>
      <c r="D268" s="202" t="str">
        <f t="shared" si="2"/>
        <v> </v>
      </c>
      <c r="E268" s="202" t="str">
        <f t="shared" si="9"/>
        <v> </v>
      </c>
      <c r="F268" s="55" t="str">
        <f t="shared" si="4"/>
        <v/>
      </c>
      <c r="G268" s="202" t="str">
        <f t="shared" si="5"/>
        <v/>
      </c>
      <c r="H268" s="202" t="str">
        <f t="shared" si="11"/>
        <v> </v>
      </c>
      <c r="I268" s="205" t="str">
        <f t="shared" si="7"/>
        <v/>
      </c>
      <c r="J268" s="205"/>
      <c r="K268" s="205"/>
    </row>
    <row r="269" ht="14.25" customHeight="1">
      <c r="A269" s="55">
        <v>45924.0</v>
      </c>
      <c r="B269" s="55" t="str">
        <f t="shared" si="10"/>
        <v> </v>
      </c>
      <c r="C269" s="202">
        <f t="shared" si="1"/>
        <v>24</v>
      </c>
      <c r="D269" s="202" t="str">
        <f t="shared" si="2"/>
        <v> </v>
      </c>
      <c r="E269" s="202" t="str">
        <f t="shared" si="9"/>
        <v> </v>
      </c>
      <c r="F269" s="55" t="str">
        <f t="shared" si="4"/>
        <v/>
      </c>
      <c r="G269" s="202" t="str">
        <f t="shared" si="5"/>
        <v/>
      </c>
      <c r="H269" s="202" t="str">
        <f t="shared" si="11"/>
        <v> </v>
      </c>
      <c r="I269" s="205" t="str">
        <f t="shared" si="7"/>
        <v/>
      </c>
      <c r="J269" s="205"/>
      <c r="K269" s="205"/>
    </row>
    <row r="270" ht="14.25" customHeight="1">
      <c r="A270" s="55">
        <v>45925.0</v>
      </c>
      <c r="B270" s="55" t="str">
        <f t="shared" si="10"/>
        <v> </v>
      </c>
      <c r="C270" s="202">
        <f t="shared" si="1"/>
        <v>25</v>
      </c>
      <c r="D270" s="202" t="str">
        <f t="shared" si="2"/>
        <v> </v>
      </c>
      <c r="E270" s="202" t="str">
        <f t="shared" si="9"/>
        <v> </v>
      </c>
      <c r="F270" s="55" t="str">
        <f t="shared" si="4"/>
        <v/>
      </c>
      <c r="G270" s="202" t="str">
        <f t="shared" si="5"/>
        <v/>
      </c>
      <c r="H270" s="202" t="str">
        <f t="shared" si="11"/>
        <v> </v>
      </c>
      <c r="I270" s="205" t="str">
        <f t="shared" si="7"/>
        <v/>
      </c>
      <c r="J270" s="205"/>
      <c r="K270" s="205"/>
    </row>
    <row r="271" ht="14.25" customHeight="1">
      <c r="A271" s="55">
        <v>45926.0</v>
      </c>
      <c r="B271" s="55" t="str">
        <f t="shared" si="10"/>
        <v> </v>
      </c>
      <c r="C271" s="202">
        <f t="shared" si="1"/>
        <v>26</v>
      </c>
      <c r="D271" s="202" t="str">
        <f t="shared" si="2"/>
        <v> </v>
      </c>
      <c r="E271" s="202" t="str">
        <f t="shared" si="9"/>
        <v> </v>
      </c>
      <c r="F271" s="55" t="str">
        <f t="shared" si="4"/>
        <v/>
      </c>
      <c r="G271" s="202" t="str">
        <f t="shared" si="5"/>
        <v/>
      </c>
      <c r="H271" s="202" t="str">
        <f t="shared" si="11"/>
        <v> </v>
      </c>
      <c r="I271" s="205" t="str">
        <f t="shared" si="7"/>
        <v/>
      </c>
      <c r="J271" s="205"/>
      <c r="K271" s="205"/>
    </row>
    <row r="272" ht="14.25" customHeight="1">
      <c r="A272" s="55">
        <v>45927.0</v>
      </c>
      <c r="B272" s="55" t="str">
        <f t="shared" si="10"/>
        <v> </v>
      </c>
      <c r="C272" s="202">
        <f t="shared" si="1"/>
        <v>27</v>
      </c>
      <c r="D272" s="202" t="str">
        <f t="shared" si="2"/>
        <v> </v>
      </c>
      <c r="E272" s="202" t="str">
        <f t="shared" si="9"/>
        <v> </v>
      </c>
      <c r="F272" s="55" t="str">
        <f t="shared" si="4"/>
        <v/>
      </c>
      <c r="G272" s="202" t="str">
        <f t="shared" si="5"/>
        <v/>
      </c>
      <c r="H272" s="202" t="str">
        <f t="shared" si="11"/>
        <v> </v>
      </c>
      <c r="I272" s="205" t="str">
        <f t="shared" si="7"/>
        <v/>
      </c>
      <c r="J272" s="205"/>
      <c r="K272" s="205"/>
    </row>
    <row r="273" ht="14.25" customHeight="1">
      <c r="A273" s="55">
        <v>45928.0</v>
      </c>
      <c r="B273" s="55" t="str">
        <f t="shared" si="10"/>
        <v> </v>
      </c>
      <c r="C273" s="202">
        <f t="shared" si="1"/>
        <v>28</v>
      </c>
      <c r="D273" s="202" t="str">
        <f t="shared" si="2"/>
        <v> </v>
      </c>
      <c r="E273" s="202" t="str">
        <f t="shared" si="9"/>
        <v> </v>
      </c>
      <c r="F273" s="55" t="str">
        <f t="shared" si="4"/>
        <v/>
      </c>
      <c r="G273" s="202" t="str">
        <f t="shared" si="5"/>
        <v/>
      </c>
      <c r="H273" s="202" t="str">
        <f t="shared" si="11"/>
        <v> </v>
      </c>
      <c r="I273" s="205" t="str">
        <f t="shared" si="7"/>
        <v/>
      </c>
      <c r="J273" s="205"/>
      <c r="K273" s="205"/>
    </row>
    <row r="274" ht="14.25" customHeight="1">
      <c r="A274" s="55">
        <v>45929.0</v>
      </c>
      <c r="B274" s="55" t="str">
        <f t="shared" si="10"/>
        <v> </v>
      </c>
      <c r="C274" s="202">
        <f t="shared" si="1"/>
        <v>29</v>
      </c>
      <c r="D274" s="202" t="str">
        <f t="shared" si="2"/>
        <v> </v>
      </c>
      <c r="E274" s="202" t="str">
        <f t="shared" si="9"/>
        <v> </v>
      </c>
      <c r="F274" s="55" t="str">
        <f t="shared" si="4"/>
        <v/>
      </c>
      <c r="G274" s="202" t="str">
        <f t="shared" si="5"/>
        <v/>
      </c>
      <c r="H274" s="202" t="str">
        <f t="shared" si="11"/>
        <v> </v>
      </c>
      <c r="I274" s="205" t="str">
        <f t="shared" si="7"/>
        <v/>
      </c>
      <c r="J274" s="205"/>
      <c r="K274" s="205"/>
    </row>
    <row r="275" ht="14.25" customHeight="1">
      <c r="A275" s="55">
        <v>45930.0</v>
      </c>
      <c r="B275" s="55" t="str">
        <f t="shared" si="10"/>
        <v> </v>
      </c>
      <c r="C275" s="202">
        <f t="shared" si="1"/>
        <v>30</v>
      </c>
      <c r="D275" s="202" t="str">
        <f t="shared" si="2"/>
        <v> </v>
      </c>
      <c r="E275" s="202" t="str">
        <f t="shared" si="9"/>
        <v> </v>
      </c>
      <c r="F275" s="55" t="str">
        <f t="shared" si="4"/>
        <v/>
      </c>
      <c r="G275" s="202" t="str">
        <f t="shared" si="5"/>
        <v/>
      </c>
      <c r="H275" s="202" t="str">
        <f t="shared" si="11"/>
        <v> </v>
      </c>
      <c r="I275" s="205" t="str">
        <f t="shared" si="7"/>
        <v/>
      </c>
      <c r="J275" s="205"/>
      <c r="K275" s="205"/>
    </row>
    <row r="276" ht="14.25" customHeight="1">
      <c r="A276" s="55">
        <v>45931.0</v>
      </c>
      <c r="B276" s="55" t="str">
        <f t="shared" si="10"/>
        <v> </v>
      </c>
      <c r="C276" s="202">
        <f t="shared" si="1"/>
        <v>1</v>
      </c>
      <c r="D276" s="202" t="str">
        <f t="shared" si="2"/>
        <v> </v>
      </c>
      <c r="E276" s="202" t="str">
        <f t="shared" si="9"/>
        <v> </v>
      </c>
      <c r="F276" s="55" t="str">
        <f t="shared" si="4"/>
        <v/>
      </c>
      <c r="G276" s="202" t="str">
        <f t="shared" si="5"/>
        <v/>
      </c>
      <c r="H276" s="202" t="str">
        <f t="shared" si="11"/>
        <v> </v>
      </c>
      <c r="I276" s="205" t="str">
        <f t="shared" si="7"/>
        <v/>
      </c>
      <c r="J276" s="205"/>
      <c r="K276" s="205"/>
    </row>
    <row r="277" ht="14.25" customHeight="1">
      <c r="A277" s="55">
        <v>45932.0</v>
      </c>
      <c r="B277" s="55" t="str">
        <f t="shared" si="10"/>
        <v> </v>
      </c>
      <c r="C277" s="202">
        <f t="shared" si="1"/>
        <v>2</v>
      </c>
      <c r="D277" s="202" t="str">
        <f t="shared" si="2"/>
        <v> </v>
      </c>
      <c r="E277" s="202" t="str">
        <f t="shared" si="9"/>
        <v> </v>
      </c>
      <c r="F277" s="55" t="str">
        <f t="shared" si="4"/>
        <v/>
      </c>
      <c r="G277" s="202" t="str">
        <f t="shared" si="5"/>
        <v/>
      </c>
      <c r="H277" s="202" t="str">
        <f t="shared" si="11"/>
        <v> </v>
      </c>
      <c r="I277" s="205" t="str">
        <f t="shared" si="7"/>
        <v/>
      </c>
      <c r="J277" s="205"/>
      <c r="K277" s="205"/>
    </row>
    <row r="278" ht="14.25" customHeight="1">
      <c r="A278" s="55">
        <v>45933.0</v>
      </c>
      <c r="B278" s="55" t="str">
        <f t="shared" si="10"/>
        <v> </v>
      </c>
      <c r="C278" s="202">
        <f t="shared" si="1"/>
        <v>3</v>
      </c>
      <c r="D278" s="202" t="str">
        <f t="shared" si="2"/>
        <v> </v>
      </c>
      <c r="E278" s="202" t="str">
        <f t="shared" si="9"/>
        <v> </v>
      </c>
      <c r="F278" s="55" t="str">
        <f t="shared" si="4"/>
        <v/>
      </c>
      <c r="G278" s="202" t="str">
        <f t="shared" si="5"/>
        <v/>
      </c>
      <c r="H278" s="202" t="str">
        <f t="shared" si="11"/>
        <v> </v>
      </c>
      <c r="I278" s="205" t="str">
        <f t="shared" si="7"/>
        <v/>
      </c>
      <c r="J278" s="205"/>
      <c r="K278" s="205"/>
    </row>
    <row r="279" ht="14.25" customHeight="1">
      <c r="A279" s="55">
        <v>45934.0</v>
      </c>
      <c r="B279" s="55" t="str">
        <f t="shared" si="10"/>
        <v> </v>
      </c>
      <c r="C279" s="202">
        <f t="shared" si="1"/>
        <v>4</v>
      </c>
      <c r="D279" s="202" t="str">
        <f t="shared" si="2"/>
        <v> </v>
      </c>
      <c r="E279" s="202" t="str">
        <f t="shared" si="9"/>
        <v> </v>
      </c>
      <c r="F279" s="55" t="str">
        <f t="shared" si="4"/>
        <v/>
      </c>
      <c r="G279" s="202" t="str">
        <f t="shared" si="5"/>
        <v/>
      </c>
      <c r="H279" s="202" t="str">
        <f t="shared" si="11"/>
        <v> </v>
      </c>
      <c r="I279" s="205" t="str">
        <f t="shared" si="7"/>
        <v/>
      </c>
      <c r="J279" s="205"/>
      <c r="K279" s="205"/>
    </row>
    <row r="280" ht="14.25" customHeight="1">
      <c r="A280" s="55">
        <v>45935.0</v>
      </c>
      <c r="B280" s="55" t="str">
        <f t="shared" si="10"/>
        <v> </v>
      </c>
      <c r="C280" s="202">
        <f t="shared" si="1"/>
        <v>5</v>
      </c>
      <c r="D280" s="202" t="str">
        <f t="shared" si="2"/>
        <v> </v>
      </c>
      <c r="E280" s="202" t="str">
        <f t="shared" si="9"/>
        <v> </v>
      </c>
      <c r="F280" s="55" t="str">
        <f t="shared" si="4"/>
        <v/>
      </c>
      <c r="G280" s="202" t="str">
        <f t="shared" si="5"/>
        <v/>
      </c>
      <c r="H280" s="202" t="str">
        <f t="shared" si="11"/>
        <v> </v>
      </c>
      <c r="I280" s="205" t="str">
        <f t="shared" si="7"/>
        <v/>
      </c>
      <c r="J280" s="205"/>
      <c r="K280" s="205"/>
    </row>
    <row r="281" ht="14.25" customHeight="1">
      <c r="A281" s="55">
        <v>45936.0</v>
      </c>
      <c r="B281" s="55" t="str">
        <f t="shared" si="10"/>
        <v> </v>
      </c>
      <c r="C281" s="202">
        <f t="shared" si="1"/>
        <v>6</v>
      </c>
      <c r="D281" s="202" t="str">
        <f t="shared" si="2"/>
        <v> </v>
      </c>
      <c r="E281" s="202" t="str">
        <f t="shared" si="9"/>
        <v> </v>
      </c>
      <c r="F281" s="55" t="str">
        <f t="shared" si="4"/>
        <v/>
      </c>
      <c r="G281" s="202" t="str">
        <f t="shared" si="5"/>
        <v/>
      </c>
      <c r="H281" s="202" t="str">
        <f t="shared" si="11"/>
        <v> </v>
      </c>
      <c r="I281" s="205" t="str">
        <f t="shared" si="7"/>
        <v/>
      </c>
      <c r="J281" s="205"/>
      <c r="K281" s="205"/>
    </row>
    <row r="282" ht="14.25" customHeight="1">
      <c r="A282" s="55">
        <v>45937.0</v>
      </c>
      <c r="B282" s="55" t="str">
        <f t="shared" si="10"/>
        <v> </v>
      </c>
      <c r="C282" s="202">
        <f t="shared" si="1"/>
        <v>7</v>
      </c>
      <c r="D282" s="202" t="str">
        <f t="shared" si="2"/>
        <v> </v>
      </c>
      <c r="E282" s="202" t="str">
        <f t="shared" si="9"/>
        <v> </v>
      </c>
      <c r="F282" s="55" t="str">
        <f t="shared" si="4"/>
        <v/>
      </c>
      <c r="G282" s="202" t="str">
        <f t="shared" si="5"/>
        <v/>
      </c>
      <c r="H282" s="202" t="str">
        <f t="shared" si="11"/>
        <v> </v>
      </c>
      <c r="I282" s="205" t="str">
        <f t="shared" si="7"/>
        <v/>
      </c>
      <c r="J282" s="205"/>
      <c r="K282" s="205"/>
    </row>
    <row r="283" ht="14.25" customHeight="1">
      <c r="A283" s="55">
        <v>45938.0</v>
      </c>
      <c r="B283" s="55" t="str">
        <f t="shared" si="10"/>
        <v> </v>
      </c>
      <c r="C283" s="202">
        <f t="shared" si="1"/>
        <v>8</v>
      </c>
      <c r="D283" s="202" t="str">
        <f t="shared" si="2"/>
        <v> </v>
      </c>
      <c r="E283" s="202" t="str">
        <f t="shared" si="9"/>
        <v> </v>
      </c>
      <c r="F283" s="55" t="str">
        <f t="shared" si="4"/>
        <v/>
      </c>
      <c r="G283" s="202" t="str">
        <f t="shared" si="5"/>
        <v/>
      </c>
      <c r="H283" s="202" t="str">
        <f t="shared" si="11"/>
        <v> </v>
      </c>
      <c r="I283" s="205" t="str">
        <f t="shared" si="7"/>
        <v/>
      </c>
      <c r="J283" s="205"/>
      <c r="K283" s="205"/>
    </row>
    <row r="284" ht="14.25" customHeight="1">
      <c r="A284" s="55">
        <v>45939.0</v>
      </c>
      <c r="B284" s="55" t="str">
        <f t="shared" si="10"/>
        <v> </v>
      </c>
      <c r="C284" s="202">
        <f t="shared" si="1"/>
        <v>9</v>
      </c>
      <c r="D284" s="202" t="str">
        <f t="shared" si="2"/>
        <v> </v>
      </c>
      <c r="E284" s="202" t="str">
        <f t="shared" si="9"/>
        <v> </v>
      </c>
      <c r="F284" s="55" t="str">
        <f t="shared" si="4"/>
        <v/>
      </c>
      <c r="G284" s="202" t="str">
        <f t="shared" si="5"/>
        <v/>
      </c>
      <c r="H284" s="202" t="str">
        <f t="shared" si="11"/>
        <v> </v>
      </c>
      <c r="I284" s="205" t="str">
        <f t="shared" si="7"/>
        <v/>
      </c>
      <c r="J284" s="205"/>
      <c r="K284" s="205"/>
    </row>
    <row r="285" ht="14.25" customHeight="1">
      <c r="A285" s="55">
        <v>45940.0</v>
      </c>
      <c r="B285" s="55" t="str">
        <f t="shared" si="10"/>
        <v> </v>
      </c>
      <c r="C285" s="202">
        <f t="shared" si="1"/>
        <v>10</v>
      </c>
      <c r="D285" s="202" t="str">
        <f t="shared" si="2"/>
        <v> </v>
      </c>
      <c r="E285" s="202" t="str">
        <f t="shared" si="9"/>
        <v> </v>
      </c>
      <c r="F285" s="55" t="str">
        <f t="shared" si="4"/>
        <v/>
      </c>
      <c r="G285" s="202" t="str">
        <f t="shared" si="5"/>
        <v/>
      </c>
      <c r="H285" s="202" t="str">
        <f t="shared" si="11"/>
        <v> </v>
      </c>
      <c r="I285" s="205" t="str">
        <f t="shared" si="7"/>
        <v/>
      </c>
      <c r="J285" s="205"/>
      <c r="K285" s="205"/>
    </row>
    <row r="286" ht="14.25" customHeight="1">
      <c r="A286" s="55">
        <v>45941.0</v>
      </c>
      <c r="B286" s="55" t="str">
        <f t="shared" si="10"/>
        <v> </v>
      </c>
      <c r="C286" s="202">
        <f t="shared" si="1"/>
        <v>11</v>
      </c>
      <c r="D286" s="202" t="str">
        <f t="shared" si="2"/>
        <v> </v>
      </c>
      <c r="E286" s="202" t="str">
        <f t="shared" si="9"/>
        <v> </v>
      </c>
      <c r="F286" s="55" t="str">
        <f t="shared" si="4"/>
        <v/>
      </c>
      <c r="G286" s="202" t="str">
        <f t="shared" si="5"/>
        <v/>
      </c>
      <c r="H286" s="202" t="str">
        <f t="shared" si="11"/>
        <v> </v>
      </c>
      <c r="I286" s="205" t="str">
        <f t="shared" si="7"/>
        <v/>
      </c>
      <c r="J286" s="205"/>
      <c r="K286" s="205"/>
    </row>
    <row r="287" ht="14.25" customHeight="1">
      <c r="A287" s="55">
        <v>45942.0</v>
      </c>
      <c r="B287" s="55" t="str">
        <f t="shared" si="10"/>
        <v> </v>
      </c>
      <c r="C287" s="202">
        <f t="shared" si="1"/>
        <v>12</v>
      </c>
      <c r="D287" s="202" t="str">
        <f t="shared" si="2"/>
        <v> </v>
      </c>
      <c r="E287" s="202" t="str">
        <f t="shared" si="9"/>
        <v> </v>
      </c>
      <c r="F287" s="55" t="str">
        <f t="shared" si="4"/>
        <v/>
      </c>
      <c r="G287" s="202" t="str">
        <f t="shared" si="5"/>
        <v/>
      </c>
      <c r="H287" s="202" t="str">
        <f t="shared" si="11"/>
        <v> </v>
      </c>
      <c r="I287" s="205" t="str">
        <f t="shared" si="7"/>
        <v/>
      </c>
      <c r="J287" s="205"/>
      <c r="K287" s="205"/>
    </row>
    <row r="288" ht="14.25" customHeight="1">
      <c r="A288" s="55">
        <v>45943.0</v>
      </c>
      <c r="B288" s="55" t="str">
        <f t="shared" si="10"/>
        <v> </v>
      </c>
      <c r="C288" s="202">
        <f t="shared" si="1"/>
        <v>13</v>
      </c>
      <c r="D288" s="202" t="str">
        <f t="shared" si="2"/>
        <v> </v>
      </c>
      <c r="E288" s="202" t="str">
        <f t="shared" si="9"/>
        <v> </v>
      </c>
      <c r="F288" s="55" t="str">
        <f t="shared" si="4"/>
        <v/>
      </c>
      <c r="G288" s="202" t="str">
        <f t="shared" si="5"/>
        <v/>
      </c>
      <c r="H288" s="202" t="str">
        <f t="shared" si="11"/>
        <v> </v>
      </c>
      <c r="I288" s="205" t="str">
        <f t="shared" si="7"/>
        <v/>
      </c>
      <c r="J288" s="205"/>
      <c r="K288" s="205"/>
    </row>
    <row r="289" ht="14.25" customHeight="1">
      <c r="A289" s="55">
        <v>45944.0</v>
      </c>
      <c r="B289" s="55" t="str">
        <f t="shared" si="10"/>
        <v> </v>
      </c>
      <c r="C289" s="202">
        <f t="shared" si="1"/>
        <v>14</v>
      </c>
      <c r="D289" s="202" t="str">
        <f t="shared" si="2"/>
        <v> </v>
      </c>
      <c r="E289" s="202" t="str">
        <f t="shared" si="9"/>
        <v> </v>
      </c>
      <c r="F289" s="55" t="str">
        <f t="shared" si="4"/>
        <v/>
      </c>
      <c r="G289" s="202" t="str">
        <f t="shared" si="5"/>
        <v/>
      </c>
      <c r="H289" s="202" t="str">
        <f t="shared" si="11"/>
        <v> </v>
      </c>
      <c r="I289" s="205" t="str">
        <f t="shared" si="7"/>
        <v/>
      </c>
      <c r="J289" s="205"/>
      <c r="K289" s="205"/>
    </row>
    <row r="290" ht="14.25" customHeight="1">
      <c r="A290" s="55">
        <v>45945.0</v>
      </c>
      <c r="B290" s="55" t="str">
        <f t="shared" si="10"/>
        <v> </v>
      </c>
      <c r="C290" s="202">
        <f t="shared" si="1"/>
        <v>15</v>
      </c>
      <c r="D290" s="202" t="str">
        <f t="shared" si="2"/>
        <v> </v>
      </c>
      <c r="E290" s="202" t="str">
        <f t="shared" si="9"/>
        <v> </v>
      </c>
      <c r="F290" s="55" t="str">
        <f t="shared" si="4"/>
        <v/>
      </c>
      <c r="G290" s="202" t="str">
        <f t="shared" si="5"/>
        <v/>
      </c>
      <c r="H290" s="202" t="str">
        <f t="shared" si="11"/>
        <v> </v>
      </c>
      <c r="I290" s="205" t="str">
        <f t="shared" si="7"/>
        <v/>
      </c>
      <c r="J290" s="205"/>
      <c r="K290" s="205"/>
    </row>
    <row r="291" ht="14.25" customHeight="1">
      <c r="A291" s="55">
        <v>45946.0</v>
      </c>
      <c r="B291" s="55" t="str">
        <f t="shared" si="10"/>
        <v> </v>
      </c>
      <c r="C291" s="202">
        <f t="shared" si="1"/>
        <v>16</v>
      </c>
      <c r="D291" s="202" t="str">
        <f t="shared" si="2"/>
        <v> </v>
      </c>
      <c r="E291" s="202" t="str">
        <f t="shared" si="9"/>
        <v> </v>
      </c>
      <c r="F291" s="55" t="str">
        <f t="shared" si="4"/>
        <v/>
      </c>
      <c r="G291" s="202" t="str">
        <f t="shared" si="5"/>
        <v/>
      </c>
      <c r="H291" s="202" t="str">
        <f t="shared" si="11"/>
        <v> </v>
      </c>
      <c r="I291" s="205" t="str">
        <f t="shared" si="7"/>
        <v/>
      </c>
      <c r="J291" s="205"/>
      <c r="K291" s="205"/>
    </row>
    <row r="292" ht="14.25" customHeight="1">
      <c r="A292" s="55">
        <v>45947.0</v>
      </c>
      <c r="B292" s="55" t="str">
        <f t="shared" si="10"/>
        <v> </v>
      </c>
      <c r="C292" s="202">
        <f t="shared" si="1"/>
        <v>17</v>
      </c>
      <c r="D292" s="202" t="str">
        <f t="shared" si="2"/>
        <v> </v>
      </c>
      <c r="E292" s="202" t="str">
        <f t="shared" si="9"/>
        <v> </v>
      </c>
      <c r="F292" s="55" t="str">
        <f t="shared" si="4"/>
        <v/>
      </c>
      <c r="G292" s="202" t="str">
        <f t="shared" si="5"/>
        <v/>
      </c>
      <c r="H292" s="202" t="str">
        <f t="shared" si="11"/>
        <v> </v>
      </c>
      <c r="I292" s="205" t="str">
        <f t="shared" si="7"/>
        <v/>
      </c>
      <c r="J292" s="205"/>
      <c r="K292" s="205"/>
    </row>
    <row r="293" ht="14.25" customHeight="1">
      <c r="A293" s="55">
        <v>45948.0</v>
      </c>
      <c r="B293" s="55" t="str">
        <f t="shared" si="10"/>
        <v> </v>
      </c>
      <c r="C293" s="202">
        <f t="shared" si="1"/>
        <v>18</v>
      </c>
      <c r="D293" s="202" t="str">
        <f t="shared" si="2"/>
        <v> </v>
      </c>
      <c r="E293" s="202" t="str">
        <f t="shared" si="9"/>
        <v> </v>
      </c>
      <c r="F293" s="55" t="str">
        <f t="shared" si="4"/>
        <v/>
      </c>
      <c r="G293" s="202" t="str">
        <f t="shared" si="5"/>
        <v/>
      </c>
      <c r="H293" s="202" t="str">
        <f t="shared" si="11"/>
        <v> </v>
      </c>
      <c r="I293" s="205" t="str">
        <f t="shared" si="7"/>
        <v/>
      </c>
      <c r="J293" s="205"/>
      <c r="K293" s="205"/>
    </row>
    <row r="294" ht="14.25" customHeight="1">
      <c r="A294" s="55">
        <v>45949.0</v>
      </c>
      <c r="B294" s="55" t="str">
        <f t="shared" si="10"/>
        <v> </v>
      </c>
      <c r="C294" s="202">
        <f t="shared" si="1"/>
        <v>19</v>
      </c>
      <c r="D294" s="202" t="str">
        <f t="shared" si="2"/>
        <v> </v>
      </c>
      <c r="E294" s="202" t="str">
        <f t="shared" si="9"/>
        <v> </v>
      </c>
      <c r="F294" s="55" t="str">
        <f t="shared" si="4"/>
        <v/>
      </c>
      <c r="G294" s="202" t="str">
        <f t="shared" si="5"/>
        <v/>
      </c>
      <c r="H294" s="202" t="str">
        <f t="shared" si="11"/>
        <v> </v>
      </c>
      <c r="I294" s="205" t="str">
        <f t="shared" si="7"/>
        <v/>
      </c>
      <c r="J294" s="205"/>
      <c r="K294" s="205"/>
    </row>
    <row r="295" ht="14.25" customHeight="1">
      <c r="A295" s="55">
        <v>45950.0</v>
      </c>
      <c r="B295" s="55" t="str">
        <f t="shared" si="10"/>
        <v> </v>
      </c>
      <c r="C295" s="202">
        <f t="shared" si="1"/>
        <v>20</v>
      </c>
      <c r="D295" s="202" t="str">
        <f t="shared" si="2"/>
        <v> </v>
      </c>
      <c r="E295" s="202" t="str">
        <f t="shared" si="9"/>
        <v> </v>
      </c>
      <c r="F295" s="55" t="str">
        <f t="shared" si="4"/>
        <v/>
      </c>
      <c r="G295" s="202" t="str">
        <f t="shared" si="5"/>
        <v/>
      </c>
      <c r="H295" s="202" t="str">
        <f t="shared" si="11"/>
        <v> </v>
      </c>
      <c r="I295" s="205" t="str">
        <f t="shared" si="7"/>
        <v/>
      </c>
      <c r="J295" s="205"/>
      <c r="K295" s="205"/>
    </row>
    <row r="296" ht="14.25" customHeight="1">
      <c r="A296" s="55">
        <v>45951.0</v>
      </c>
      <c r="B296" s="55" t="str">
        <f t="shared" si="10"/>
        <v> </v>
      </c>
      <c r="C296" s="202">
        <f t="shared" si="1"/>
        <v>21</v>
      </c>
      <c r="D296" s="202" t="str">
        <f t="shared" si="2"/>
        <v> </v>
      </c>
      <c r="E296" s="202" t="str">
        <f t="shared" si="9"/>
        <v> </v>
      </c>
      <c r="F296" s="55" t="str">
        <f t="shared" si="4"/>
        <v/>
      </c>
      <c r="G296" s="202" t="str">
        <f t="shared" si="5"/>
        <v/>
      </c>
      <c r="H296" s="202" t="str">
        <f t="shared" si="11"/>
        <v> </v>
      </c>
      <c r="I296" s="205" t="str">
        <f t="shared" si="7"/>
        <v/>
      </c>
      <c r="J296" s="205"/>
      <c r="K296" s="205"/>
    </row>
    <row r="297" ht="14.25" customHeight="1">
      <c r="A297" s="55">
        <v>45952.0</v>
      </c>
      <c r="B297" s="55" t="str">
        <f t="shared" si="10"/>
        <v> </v>
      </c>
      <c r="C297" s="202">
        <f t="shared" si="1"/>
        <v>22</v>
      </c>
      <c r="D297" s="202" t="str">
        <f t="shared" si="2"/>
        <v> </v>
      </c>
      <c r="E297" s="202" t="str">
        <f t="shared" si="9"/>
        <v> </v>
      </c>
      <c r="F297" s="55" t="str">
        <f t="shared" si="4"/>
        <v/>
      </c>
      <c r="G297" s="202" t="str">
        <f t="shared" si="5"/>
        <v/>
      </c>
      <c r="H297" s="202" t="str">
        <f t="shared" si="11"/>
        <v> </v>
      </c>
      <c r="I297" s="205" t="str">
        <f t="shared" si="7"/>
        <v/>
      </c>
      <c r="J297" s="205"/>
      <c r="K297" s="205"/>
    </row>
    <row r="298" ht="14.25" customHeight="1">
      <c r="A298" s="55">
        <v>45953.0</v>
      </c>
      <c r="B298" s="55" t="str">
        <f t="shared" si="10"/>
        <v> </v>
      </c>
      <c r="C298" s="202">
        <f t="shared" si="1"/>
        <v>23</v>
      </c>
      <c r="D298" s="202" t="str">
        <f t="shared" si="2"/>
        <v> </v>
      </c>
      <c r="E298" s="202" t="str">
        <f t="shared" si="9"/>
        <v> </v>
      </c>
      <c r="F298" s="55" t="str">
        <f t="shared" si="4"/>
        <v/>
      </c>
      <c r="G298" s="202" t="str">
        <f t="shared" si="5"/>
        <v/>
      </c>
      <c r="H298" s="202" t="str">
        <f t="shared" si="11"/>
        <v> </v>
      </c>
      <c r="I298" s="205" t="str">
        <f t="shared" si="7"/>
        <v/>
      </c>
      <c r="J298" s="205"/>
      <c r="K298" s="205"/>
    </row>
    <row r="299" ht="14.25" customHeight="1">
      <c r="A299" s="55">
        <v>45954.0</v>
      </c>
      <c r="B299" s="55" t="str">
        <f t="shared" si="10"/>
        <v> </v>
      </c>
      <c r="C299" s="202">
        <f t="shared" si="1"/>
        <v>24</v>
      </c>
      <c r="D299" s="202" t="str">
        <f t="shared" si="2"/>
        <v> </v>
      </c>
      <c r="E299" s="202" t="str">
        <f t="shared" si="9"/>
        <v> </v>
      </c>
      <c r="F299" s="55" t="str">
        <f t="shared" si="4"/>
        <v/>
      </c>
      <c r="G299" s="202" t="str">
        <f t="shared" si="5"/>
        <v/>
      </c>
      <c r="H299" s="202" t="str">
        <f t="shared" si="11"/>
        <v> </v>
      </c>
      <c r="I299" s="205" t="str">
        <f t="shared" si="7"/>
        <v/>
      </c>
      <c r="J299" s="205"/>
      <c r="K299" s="205"/>
    </row>
    <row r="300" ht="14.25" customHeight="1">
      <c r="A300" s="55">
        <v>45955.0</v>
      </c>
      <c r="B300" s="55" t="str">
        <f t="shared" si="10"/>
        <v> </v>
      </c>
      <c r="C300" s="202">
        <f t="shared" si="1"/>
        <v>25</v>
      </c>
      <c r="D300" s="202" t="str">
        <f t="shared" si="2"/>
        <v> </v>
      </c>
      <c r="E300" s="202" t="str">
        <f t="shared" si="9"/>
        <v> </v>
      </c>
      <c r="F300" s="55" t="str">
        <f t="shared" si="4"/>
        <v/>
      </c>
      <c r="G300" s="202" t="str">
        <f t="shared" si="5"/>
        <v/>
      </c>
      <c r="H300" s="202" t="str">
        <f t="shared" si="11"/>
        <v> </v>
      </c>
      <c r="I300" s="205" t="str">
        <f t="shared" si="7"/>
        <v/>
      </c>
      <c r="J300" s="205"/>
      <c r="K300" s="205"/>
    </row>
    <row r="301" ht="14.25" customHeight="1">
      <c r="A301" s="55">
        <v>45956.0</v>
      </c>
      <c r="B301" s="55" t="str">
        <f t="shared" si="10"/>
        <v> </v>
      </c>
      <c r="C301" s="202">
        <f t="shared" si="1"/>
        <v>26</v>
      </c>
      <c r="D301" s="202" t="str">
        <f t="shared" si="2"/>
        <v> </v>
      </c>
      <c r="E301" s="202" t="str">
        <f t="shared" si="9"/>
        <v> </v>
      </c>
      <c r="F301" s="55" t="str">
        <f t="shared" si="4"/>
        <v/>
      </c>
      <c r="G301" s="202" t="str">
        <f t="shared" si="5"/>
        <v/>
      </c>
      <c r="H301" s="202" t="str">
        <f t="shared" si="11"/>
        <v> </v>
      </c>
      <c r="I301" s="205" t="str">
        <f t="shared" si="7"/>
        <v/>
      </c>
      <c r="J301" s="205"/>
      <c r="K301" s="205"/>
    </row>
    <row r="302" ht="14.25" customHeight="1">
      <c r="A302" s="55">
        <v>45957.0</v>
      </c>
      <c r="B302" s="55" t="str">
        <f t="shared" si="10"/>
        <v> </v>
      </c>
      <c r="C302" s="202">
        <f t="shared" si="1"/>
        <v>27</v>
      </c>
      <c r="D302" s="202" t="str">
        <f t="shared" si="2"/>
        <v> </v>
      </c>
      <c r="E302" s="202" t="str">
        <f t="shared" si="9"/>
        <v> </v>
      </c>
      <c r="F302" s="55" t="str">
        <f t="shared" si="4"/>
        <v/>
      </c>
      <c r="G302" s="202" t="str">
        <f t="shared" si="5"/>
        <v/>
      </c>
      <c r="H302" s="202" t="str">
        <f t="shared" si="11"/>
        <v> </v>
      </c>
      <c r="I302" s="205" t="str">
        <f t="shared" si="7"/>
        <v/>
      </c>
      <c r="J302" s="205"/>
      <c r="K302" s="205"/>
    </row>
    <row r="303" ht="14.25" customHeight="1">
      <c r="A303" s="55">
        <v>45958.0</v>
      </c>
      <c r="B303" s="55" t="str">
        <f t="shared" si="10"/>
        <v> </v>
      </c>
      <c r="C303" s="202">
        <f t="shared" si="1"/>
        <v>28</v>
      </c>
      <c r="D303" s="202" t="str">
        <f t="shared" si="2"/>
        <v> </v>
      </c>
      <c r="E303" s="202" t="str">
        <f t="shared" si="9"/>
        <v> </v>
      </c>
      <c r="F303" s="55" t="str">
        <f t="shared" si="4"/>
        <v/>
      </c>
      <c r="G303" s="202" t="str">
        <f t="shared" si="5"/>
        <v/>
      </c>
      <c r="H303" s="202" t="str">
        <f t="shared" si="11"/>
        <v> </v>
      </c>
      <c r="I303" s="205" t="str">
        <f t="shared" si="7"/>
        <v/>
      </c>
      <c r="J303" s="205"/>
      <c r="K303" s="205"/>
    </row>
    <row r="304" ht="14.25" customHeight="1">
      <c r="A304" s="55">
        <v>45959.0</v>
      </c>
      <c r="B304" s="55" t="str">
        <f t="shared" si="10"/>
        <v> </v>
      </c>
      <c r="C304" s="202">
        <f t="shared" si="1"/>
        <v>29</v>
      </c>
      <c r="D304" s="202" t="str">
        <f t="shared" si="2"/>
        <v> </v>
      </c>
      <c r="E304" s="202" t="str">
        <f t="shared" si="9"/>
        <v> </v>
      </c>
      <c r="F304" s="55" t="str">
        <f t="shared" si="4"/>
        <v/>
      </c>
      <c r="G304" s="202" t="str">
        <f t="shared" si="5"/>
        <v/>
      </c>
      <c r="H304" s="202" t="str">
        <f t="shared" si="11"/>
        <v> </v>
      </c>
      <c r="I304" s="205" t="str">
        <f t="shared" si="7"/>
        <v/>
      </c>
      <c r="J304" s="205"/>
      <c r="K304" s="205"/>
    </row>
    <row r="305" ht="14.25" customHeight="1">
      <c r="A305" s="55">
        <v>45960.0</v>
      </c>
      <c r="B305" s="55" t="str">
        <f t="shared" si="10"/>
        <v> </v>
      </c>
      <c r="C305" s="202">
        <f t="shared" si="1"/>
        <v>30</v>
      </c>
      <c r="D305" s="202" t="str">
        <f t="shared" si="2"/>
        <v> </v>
      </c>
      <c r="E305" s="202" t="str">
        <f t="shared" si="9"/>
        <v> </v>
      </c>
      <c r="F305" s="55" t="str">
        <f t="shared" si="4"/>
        <v/>
      </c>
      <c r="G305" s="202" t="str">
        <f t="shared" si="5"/>
        <v/>
      </c>
      <c r="H305" s="202" t="str">
        <f t="shared" si="11"/>
        <v> </v>
      </c>
      <c r="I305" s="205" t="str">
        <f t="shared" si="7"/>
        <v/>
      </c>
      <c r="J305" s="205"/>
      <c r="K305" s="205"/>
    </row>
    <row r="306" ht="14.25" customHeight="1">
      <c r="A306" s="55">
        <v>45961.0</v>
      </c>
      <c r="B306" s="55" t="str">
        <f t="shared" si="10"/>
        <v> </v>
      </c>
      <c r="C306" s="202">
        <f t="shared" si="1"/>
        <v>31</v>
      </c>
      <c r="D306" s="202" t="str">
        <f t="shared" si="2"/>
        <v> </v>
      </c>
      <c r="E306" s="202" t="str">
        <f t="shared" si="9"/>
        <v> </v>
      </c>
      <c r="F306" s="55" t="str">
        <f t="shared" si="4"/>
        <v/>
      </c>
      <c r="G306" s="202" t="str">
        <f t="shared" si="5"/>
        <v/>
      </c>
      <c r="H306" s="202" t="str">
        <f t="shared" si="11"/>
        <v> </v>
      </c>
      <c r="I306" s="205" t="str">
        <f t="shared" si="7"/>
        <v/>
      </c>
      <c r="J306" s="205"/>
      <c r="K306" s="205"/>
    </row>
    <row r="307" ht="14.25" customHeight="1">
      <c r="A307" s="55">
        <v>45962.0</v>
      </c>
      <c r="B307" s="55" t="str">
        <f t="shared" si="10"/>
        <v> </v>
      </c>
      <c r="C307" s="202">
        <f t="shared" si="1"/>
        <v>1</v>
      </c>
      <c r="D307" s="202" t="str">
        <f t="shared" si="2"/>
        <v> </v>
      </c>
      <c r="E307" s="202" t="str">
        <f t="shared" si="9"/>
        <v> </v>
      </c>
      <c r="F307" s="55" t="str">
        <f t="shared" si="4"/>
        <v/>
      </c>
      <c r="G307" s="202" t="str">
        <f t="shared" si="5"/>
        <v/>
      </c>
      <c r="H307" s="202" t="str">
        <f t="shared" si="11"/>
        <v> </v>
      </c>
      <c r="I307" s="205" t="str">
        <f t="shared" si="7"/>
        <v/>
      </c>
      <c r="J307" s="205"/>
      <c r="K307" s="205"/>
    </row>
    <row r="308" ht="14.25" customHeight="1">
      <c r="A308" s="55">
        <v>45963.0</v>
      </c>
      <c r="B308" s="55" t="str">
        <f t="shared" si="10"/>
        <v> </v>
      </c>
      <c r="C308" s="202">
        <f t="shared" si="1"/>
        <v>2</v>
      </c>
      <c r="D308" s="202" t="str">
        <f t="shared" si="2"/>
        <v> </v>
      </c>
      <c r="E308" s="202" t="str">
        <f t="shared" si="9"/>
        <v> </v>
      </c>
      <c r="F308" s="55" t="str">
        <f t="shared" si="4"/>
        <v/>
      </c>
      <c r="G308" s="202" t="str">
        <f t="shared" si="5"/>
        <v/>
      </c>
      <c r="H308" s="202" t="str">
        <f t="shared" si="11"/>
        <v> </v>
      </c>
      <c r="I308" s="205" t="str">
        <f t="shared" si="7"/>
        <v/>
      </c>
      <c r="J308" s="205"/>
      <c r="K308" s="205"/>
    </row>
    <row r="309" ht="14.25" customHeight="1">
      <c r="A309" s="55">
        <v>45964.0</v>
      </c>
      <c r="B309" s="55" t="str">
        <f t="shared" si="10"/>
        <v> </v>
      </c>
      <c r="C309" s="202">
        <f t="shared" si="1"/>
        <v>3</v>
      </c>
      <c r="D309" s="202" t="str">
        <f t="shared" si="2"/>
        <v> </v>
      </c>
      <c r="E309" s="202" t="str">
        <f t="shared" si="9"/>
        <v> </v>
      </c>
      <c r="F309" s="55" t="str">
        <f t="shared" si="4"/>
        <v/>
      </c>
      <c r="G309" s="202" t="str">
        <f t="shared" si="5"/>
        <v/>
      </c>
      <c r="H309" s="202" t="str">
        <f t="shared" si="11"/>
        <v> </v>
      </c>
      <c r="I309" s="205" t="str">
        <f t="shared" si="7"/>
        <v/>
      </c>
      <c r="J309" s="205"/>
      <c r="K309" s="205"/>
    </row>
    <row r="310" ht="14.25" customHeight="1">
      <c r="A310" s="55">
        <v>45965.0</v>
      </c>
      <c r="B310" s="55" t="str">
        <f t="shared" si="10"/>
        <v> </v>
      </c>
      <c r="C310" s="202">
        <f t="shared" si="1"/>
        <v>4</v>
      </c>
      <c r="D310" s="202" t="str">
        <f t="shared" si="2"/>
        <v> </v>
      </c>
      <c r="E310" s="202" t="str">
        <f t="shared" si="9"/>
        <v> </v>
      </c>
      <c r="F310" s="55" t="str">
        <f t="shared" si="4"/>
        <v/>
      </c>
      <c r="G310" s="202" t="str">
        <f t="shared" si="5"/>
        <v/>
      </c>
      <c r="H310" s="202" t="str">
        <f t="shared" si="11"/>
        <v> </v>
      </c>
      <c r="I310" s="205" t="str">
        <f t="shared" si="7"/>
        <v/>
      </c>
      <c r="J310" s="205"/>
      <c r="K310" s="205"/>
    </row>
    <row r="311" ht="14.25" customHeight="1">
      <c r="A311" s="55">
        <v>45966.0</v>
      </c>
      <c r="B311" s="55" t="str">
        <f t="shared" si="10"/>
        <v> </v>
      </c>
      <c r="C311" s="202">
        <f t="shared" si="1"/>
        <v>5</v>
      </c>
      <c r="D311" s="202" t="str">
        <f t="shared" si="2"/>
        <v> </v>
      </c>
      <c r="E311" s="202" t="str">
        <f t="shared" si="9"/>
        <v> </v>
      </c>
      <c r="F311" s="55" t="str">
        <f t="shared" si="4"/>
        <v/>
      </c>
      <c r="G311" s="202" t="str">
        <f t="shared" si="5"/>
        <v/>
      </c>
      <c r="H311" s="202" t="str">
        <f t="shared" si="11"/>
        <v> </v>
      </c>
      <c r="I311" s="205" t="str">
        <f t="shared" si="7"/>
        <v/>
      </c>
      <c r="J311" s="205"/>
      <c r="K311" s="205"/>
    </row>
    <row r="312" ht="14.25" customHeight="1">
      <c r="A312" s="55">
        <v>45967.0</v>
      </c>
      <c r="B312" s="55" t="str">
        <f t="shared" si="10"/>
        <v> </v>
      </c>
      <c r="C312" s="202">
        <f t="shared" si="1"/>
        <v>6</v>
      </c>
      <c r="D312" s="202" t="str">
        <f t="shared" si="2"/>
        <v> </v>
      </c>
      <c r="E312" s="202" t="str">
        <f t="shared" si="9"/>
        <v> </v>
      </c>
      <c r="F312" s="55" t="str">
        <f t="shared" si="4"/>
        <v/>
      </c>
      <c r="G312" s="202" t="str">
        <f t="shared" si="5"/>
        <v/>
      </c>
      <c r="H312" s="202" t="str">
        <f t="shared" si="11"/>
        <v> </v>
      </c>
      <c r="I312" s="205" t="str">
        <f t="shared" si="7"/>
        <v/>
      </c>
      <c r="J312" s="205"/>
      <c r="K312" s="205"/>
    </row>
    <row r="313" ht="14.25" customHeight="1">
      <c r="A313" s="55">
        <v>45968.0</v>
      </c>
      <c r="B313" s="55" t="str">
        <f t="shared" si="10"/>
        <v> </v>
      </c>
      <c r="C313" s="202">
        <f t="shared" si="1"/>
        <v>7</v>
      </c>
      <c r="D313" s="202" t="str">
        <f t="shared" si="2"/>
        <v> </v>
      </c>
      <c r="E313" s="202" t="str">
        <f t="shared" si="9"/>
        <v> </v>
      </c>
      <c r="F313" s="55" t="str">
        <f t="shared" si="4"/>
        <v/>
      </c>
      <c r="G313" s="202" t="str">
        <f t="shared" si="5"/>
        <v/>
      </c>
      <c r="H313" s="202" t="str">
        <f t="shared" si="11"/>
        <v> </v>
      </c>
      <c r="I313" s="205" t="str">
        <f t="shared" si="7"/>
        <v/>
      </c>
      <c r="J313" s="205"/>
      <c r="K313" s="205"/>
    </row>
    <row r="314" ht="14.25" customHeight="1">
      <c r="A314" s="55">
        <v>45969.0</v>
      </c>
      <c r="B314" s="55" t="str">
        <f t="shared" si="10"/>
        <v> </v>
      </c>
      <c r="C314" s="202">
        <f t="shared" si="1"/>
        <v>8</v>
      </c>
      <c r="D314" s="202" t="str">
        <f t="shared" si="2"/>
        <v> </v>
      </c>
      <c r="E314" s="202" t="str">
        <f t="shared" si="9"/>
        <v> </v>
      </c>
      <c r="F314" s="55" t="str">
        <f t="shared" si="4"/>
        <v/>
      </c>
      <c r="G314" s="202" t="str">
        <f t="shared" si="5"/>
        <v/>
      </c>
      <c r="H314" s="202" t="str">
        <f t="shared" si="11"/>
        <v> </v>
      </c>
      <c r="I314" s="205" t="str">
        <f t="shared" si="7"/>
        <v/>
      </c>
      <c r="J314" s="205"/>
      <c r="K314" s="205"/>
    </row>
    <row r="315" ht="14.25" customHeight="1">
      <c r="A315" s="55">
        <v>45970.0</v>
      </c>
      <c r="B315" s="55" t="str">
        <f t="shared" si="10"/>
        <v> </v>
      </c>
      <c r="C315" s="202">
        <f t="shared" si="1"/>
        <v>9</v>
      </c>
      <c r="D315" s="202" t="str">
        <f t="shared" si="2"/>
        <v> </v>
      </c>
      <c r="E315" s="202" t="str">
        <f t="shared" si="9"/>
        <v> </v>
      </c>
      <c r="F315" s="55" t="str">
        <f t="shared" si="4"/>
        <v/>
      </c>
      <c r="G315" s="202" t="str">
        <f t="shared" si="5"/>
        <v/>
      </c>
      <c r="H315" s="202" t="str">
        <f t="shared" si="11"/>
        <v> </v>
      </c>
      <c r="I315" s="205" t="str">
        <f t="shared" si="7"/>
        <v/>
      </c>
      <c r="J315" s="205"/>
      <c r="K315" s="205"/>
    </row>
    <row r="316" ht="14.25" customHeight="1">
      <c r="A316" s="55">
        <v>45971.0</v>
      </c>
      <c r="B316" s="55" t="str">
        <f t="shared" si="10"/>
        <v> </v>
      </c>
      <c r="C316" s="202">
        <f t="shared" si="1"/>
        <v>10</v>
      </c>
      <c r="D316" s="202" t="str">
        <f t="shared" si="2"/>
        <v> </v>
      </c>
      <c r="E316" s="202" t="str">
        <f t="shared" si="9"/>
        <v> </v>
      </c>
      <c r="F316" s="55" t="str">
        <f t="shared" si="4"/>
        <v/>
      </c>
      <c r="G316" s="202" t="str">
        <f t="shared" si="5"/>
        <v/>
      </c>
      <c r="H316" s="202" t="str">
        <f t="shared" si="11"/>
        <v> </v>
      </c>
      <c r="I316" s="205" t="str">
        <f t="shared" si="7"/>
        <v/>
      </c>
      <c r="J316" s="205"/>
      <c r="K316" s="205"/>
    </row>
    <row r="317" ht="14.25" customHeight="1">
      <c r="A317" s="55">
        <v>45972.0</v>
      </c>
      <c r="B317" s="55" t="str">
        <f t="shared" si="10"/>
        <v> </v>
      </c>
      <c r="C317" s="202">
        <f t="shared" si="1"/>
        <v>11</v>
      </c>
      <c r="D317" s="202" t="str">
        <f t="shared" si="2"/>
        <v> </v>
      </c>
      <c r="E317" s="202" t="str">
        <f t="shared" si="9"/>
        <v> </v>
      </c>
      <c r="F317" s="55" t="str">
        <f t="shared" si="4"/>
        <v/>
      </c>
      <c r="G317" s="202" t="str">
        <f t="shared" si="5"/>
        <v/>
      </c>
      <c r="H317" s="202" t="str">
        <f t="shared" si="11"/>
        <v> </v>
      </c>
      <c r="I317" s="205" t="str">
        <f t="shared" si="7"/>
        <v/>
      </c>
      <c r="J317" s="205"/>
      <c r="K317" s="205"/>
    </row>
    <row r="318" ht="14.25" customHeight="1">
      <c r="A318" s="55">
        <v>45973.0</v>
      </c>
      <c r="B318" s="55" t="str">
        <f t="shared" si="10"/>
        <v> </v>
      </c>
      <c r="C318" s="202">
        <f t="shared" si="1"/>
        <v>12</v>
      </c>
      <c r="D318" s="202" t="str">
        <f t="shared" si="2"/>
        <v> </v>
      </c>
      <c r="E318" s="202" t="str">
        <f t="shared" si="9"/>
        <v> </v>
      </c>
      <c r="F318" s="55" t="str">
        <f t="shared" si="4"/>
        <v/>
      </c>
      <c r="G318" s="202" t="str">
        <f t="shared" si="5"/>
        <v/>
      </c>
      <c r="H318" s="202" t="str">
        <f t="shared" si="11"/>
        <v> </v>
      </c>
      <c r="I318" s="205" t="str">
        <f t="shared" si="7"/>
        <v/>
      </c>
      <c r="J318" s="205"/>
      <c r="K318" s="205"/>
    </row>
    <row r="319" ht="14.25" customHeight="1">
      <c r="A319" s="55">
        <v>45974.0</v>
      </c>
      <c r="B319" s="55" t="str">
        <f t="shared" si="10"/>
        <v> </v>
      </c>
      <c r="C319" s="202">
        <f t="shared" si="1"/>
        <v>13</v>
      </c>
      <c r="D319" s="202" t="str">
        <f t="shared" si="2"/>
        <v> </v>
      </c>
      <c r="E319" s="202" t="str">
        <f t="shared" si="9"/>
        <v> </v>
      </c>
      <c r="F319" s="55" t="str">
        <f t="shared" si="4"/>
        <v/>
      </c>
      <c r="G319" s="202" t="str">
        <f t="shared" si="5"/>
        <v/>
      </c>
      <c r="H319" s="202" t="str">
        <f t="shared" si="11"/>
        <v> </v>
      </c>
      <c r="I319" s="205" t="str">
        <f t="shared" si="7"/>
        <v/>
      </c>
      <c r="J319" s="205"/>
      <c r="K319" s="205"/>
    </row>
    <row r="320" ht="14.25" customHeight="1">
      <c r="A320" s="55">
        <v>45975.0</v>
      </c>
      <c r="B320" s="55" t="str">
        <f t="shared" si="10"/>
        <v> </v>
      </c>
      <c r="C320" s="202">
        <f t="shared" si="1"/>
        <v>14</v>
      </c>
      <c r="D320" s="202" t="str">
        <f t="shared" si="2"/>
        <v> </v>
      </c>
      <c r="E320" s="202" t="str">
        <f t="shared" si="9"/>
        <v> </v>
      </c>
      <c r="F320" s="55" t="str">
        <f t="shared" si="4"/>
        <v/>
      </c>
      <c r="G320" s="202" t="str">
        <f t="shared" si="5"/>
        <v/>
      </c>
      <c r="H320" s="202" t="str">
        <f t="shared" si="11"/>
        <v> </v>
      </c>
      <c r="I320" s="205" t="str">
        <f t="shared" si="7"/>
        <v/>
      </c>
      <c r="J320" s="205"/>
      <c r="K320" s="205"/>
    </row>
    <row r="321" ht="14.25" customHeight="1">
      <c r="A321" s="55">
        <v>45976.0</v>
      </c>
      <c r="B321" s="55" t="str">
        <f t="shared" si="10"/>
        <v> </v>
      </c>
      <c r="C321" s="202">
        <f t="shared" si="1"/>
        <v>15</v>
      </c>
      <c r="D321" s="202" t="str">
        <f t="shared" si="2"/>
        <v> </v>
      </c>
      <c r="E321" s="202" t="str">
        <f t="shared" si="9"/>
        <v> </v>
      </c>
      <c r="F321" s="55" t="str">
        <f t="shared" si="4"/>
        <v/>
      </c>
      <c r="G321" s="202" t="str">
        <f t="shared" si="5"/>
        <v/>
      </c>
      <c r="H321" s="202" t="str">
        <f t="shared" si="11"/>
        <v> </v>
      </c>
      <c r="I321" s="205" t="str">
        <f t="shared" si="7"/>
        <v/>
      </c>
      <c r="J321" s="205"/>
      <c r="K321" s="205"/>
    </row>
    <row r="322" ht="14.25" customHeight="1">
      <c r="A322" s="55">
        <v>45977.0</v>
      </c>
      <c r="B322" s="55" t="str">
        <f t="shared" si="10"/>
        <v> </v>
      </c>
      <c r="C322" s="202">
        <f t="shared" si="1"/>
        <v>16</v>
      </c>
      <c r="D322" s="202" t="str">
        <f t="shared" si="2"/>
        <v> </v>
      </c>
      <c r="E322" s="202" t="str">
        <f t="shared" si="9"/>
        <v> </v>
      </c>
      <c r="F322" s="55" t="str">
        <f t="shared" si="4"/>
        <v/>
      </c>
      <c r="G322" s="202" t="str">
        <f t="shared" si="5"/>
        <v/>
      </c>
      <c r="H322" s="202" t="str">
        <f t="shared" si="11"/>
        <v> </v>
      </c>
      <c r="I322" s="205" t="str">
        <f t="shared" si="7"/>
        <v/>
      </c>
      <c r="J322" s="205"/>
      <c r="K322" s="205"/>
    </row>
    <row r="323" ht="14.25" customHeight="1">
      <c r="A323" s="55">
        <v>45978.0</v>
      </c>
      <c r="B323" s="55" t="str">
        <f t="shared" si="10"/>
        <v> </v>
      </c>
      <c r="C323" s="202">
        <f t="shared" si="1"/>
        <v>17</v>
      </c>
      <c r="D323" s="202" t="str">
        <f t="shared" si="2"/>
        <v> </v>
      </c>
      <c r="E323" s="202" t="str">
        <f t="shared" si="9"/>
        <v> </v>
      </c>
      <c r="F323" s="55" t="str">
        <f t="shared" si="4"/>
        <v/>
      </c>
      <c r="G323" s="202" t="str">
        <f t="shared" si="5"/>
        <v/>
      </c>
      <c r="H323" s="202" t="str">
        <f t="shared" si="11"/>
        <v> </v>
      </c>
      <c r="I323" s="205" t="str">
        <f t="shared" si="7"/>
        <v/>
      </c>
      <c r="J323" s="205"/>
      <c r="K323" s="205"/>
    </row>
    <row r="324" ht="14.25" customHeight="1">
      <c r="A324" s="55">
        <v>45979.0</v>
      </c>
      <c r="B324" s="55" t="str">
        <f t="shared" si="10"/>
        <v> </v>
      </c>
      <c r="C324" s="202">
        <f t="shared" si="1"/>
        <v>18</v>
      </c>
      <c r="D324" s="202" t="str">
        <f t="shared" si="2"/>
        <v> </v>
      </c>
      <c r="E324" s="202" t="str">
        <f t="shared" si="9"/>
        <v> </v>
      </c>
      <c r="F324" s="55" t="str">
        <f t="shared" si="4"/>
        <v/>
      </c>
      <c r="G324" s="202" t="str">
        <f t="shared" si="5"/>
        <v/>
      </c>
      <c r="H324" s="202" t="str">
        <f t="shared" si="11"/>
        <v> </v>
      </c>
      <c r="I324" s="205" t="str">
        <f t="shared" si="7"/>
        <v/>
      </c>
      <c r="J324" s="205"/>
      <c r="K324" s="205"/>
    </row>
    <row r="325" ht="14.25" customHeight="1">
      <c r="A325" s="55">
        <v>45980.0</v>
      </c>
      <c r="B325" s="55" t="str">
        <f t="shared" si="10"/>
        <v> </v>
      </c>
      <c r="C325" s="202">
        <f t="shared" si="1"/>
        <v>19</v>
      </c>
      <c r="D325" s="202" t="str">
        <f t="shared" si="2"/>
        <v> </v>
      </c>
      <c r="E325" s="202" t="str">
        <f t="shared" si="9"/>
        <v> </v>
      </c>
      <c r="F325" s="55" t="str">
        <f t="shared" si="4"/>
        <v/>
      </c>
      <c r="G325" s="202" t="str">
        <f t="shared" si="5"/>
        <v/>
      </c>
      <c r="H325" s="202" t="str">
        <f t="shared" si="11"/>
        <v> </v>
      </c>
      <c r="I325" s="205" t="str">
        <f t="shared" si="7"/>
        <v/>
      </c>
      <c r="J325" s="205"/>
      <c r="K325" s="205"/>
    </row>
    <row r="326" ht="14.25" customHeight="1">
      <c r="A326" s="55">
        <v>45981.0</v>
      </c>
      <c r="B326" s="55" t="str">
        <f t="shared" si="10"/>
        <v> </v>
      </c>
      <c r="C326" s="202">
        <f t="shared" si="1"/>
        <v>20</v>
      </c>
      <c r="D326" s="202" t="str">
        <f t="shared" si="2"/>
        <v> </v>
      </c>
      <c r="E326" s="202" t="str">
        <f t="shared" si="9"/>
        <v> </v>
      </c>
      <c r="F326" s="55" t="str">
        <f t="shared" si="4"/>
        <v/>
      </c>
      <c r="G326" s="202" t="str">
        <f t="shared" si="5"/>
        <v/>
      </c>
      <c r="H326" s="202" t="str">
        <f t="shared" si="11"/>
        <v> </v>
      </c>
      <c r="I326" s="205" t="str">
        <f t="shared" si="7"/>
        <v/>
      </c>
      <c r="J326" s="205"/>
      <c r="K326" s="205"/>
    </row>
    <row r="327" ht="14.25" customHeight="1">
      <c r="A327" s="55">
        <v>45982.0</v>
      </c>
      <c r="B327" s="55" t="str">
        <f t="shared" si="10"/>
        <v> </v>
      </c>
      <c r="C327" s="202">
        <f t="shared" si="1"/>
        <v>21</v>
      </c>
      <c r="D327" s="202" t="str">
        <f t="shared" si="2"/>
        <v> </v>
      </c>
      <c r="E327" s="202" t="str">
        <f t="shared" si="9"/>
        <v> </v>
      </c>
      <c r="F327" s="55" t="str">
        <f t="shared" si="4"/>
        <v/>
      </c>
      <c r="G327" s="202" t="str">
        <f t="shared" si="5"/>
        <v/>
      </c>
      <c r="H327" s="202" t="str">
        <f t="shared" si="11"/>
        <v> </v>
      </c>
      <c r="I327" s="205" t="str">
        <f t="shared" si="7"/>
        <v/>
      </c>
      <c r="J327" s="205"/>
      <c r="K327" s="205"/>
    </row>
    <row r="328" ht="14.25" customHeight="1">
      <c r="A328" s="55">
        <v>45983.0</v>
      </c>
      <c r="B328" s="55" t="str">
        <f t="shared" si="10"/>
        <v> </v>
      </c>
      <c r="C328" s="202">
        <f t="shared" si="1"/>
        <v>22</v>
      </c>
      <c r="D328" s="202" t="str">
        <f t="shared" si="2"/>
        <v> </v>
      </c>
      <c r="E328" s="202" t="str">
        <f t="shared" si="9"/>
        <v> </v>
      </c>
      <c r="F328" s="55" t="str">
        <f t="shared" si="4"/>
        <v/>
      </c>
      <c r="G328" s="202" t="str">
        <f t="shared" si="5"/>
        <v/>
      </c>
      <c r="H328" s="202" t="str">
        <f t="shared" si="11"/>
        <v> </v>
      </c>
      <c r="I328" s="205" t="str">
        <f t="shared" si="7"/>
        <v/>
      </c>
      <c r="J328" s="205"/>
      <c r="K328" s="205"/>
    </row>
    <row r="329" ht="14.25" customHeight="1">
      <c r="A329" s="55">
        <v>45984.0</v>
      </c>
      <c r="B329" s="55" t="str">
        <f t="shared" si="10"/>
        <v> </v>
      </c>
      <c r="C329" s="202">
        <f t="shared" si="1"/>
        <v>23</v>
      </c>
      <c r="D329" s="202" t="str">
        <f t="shared" si="2"/>
        <v> </v>
      </c>
      <c r="E329" s="202" t="str">
        <f t="shared" si="9"/>
        <v> </v>
      </c>
      <c r="F329" s="55" t="str">
        <f t="shared" si="4"/>
        <v/>
      </c>
      <c r="G329" s="202" t="str">
        <f t="shared" si="5"/>
        <v/>
      </c>
      <c r="H329" s="202" t="str">
        <f t="shared" si="11"/>
        <v> </v>
      </c>
      <c r="I329" s="205" t="str">
        <f t="shared" si="7"/>
        <v/>
      </c>
      <c r="J329" s="205"/>
      <c r="K329" s="205"/>
    </row>
    <row r="330" ht="14.25" customHeight="1">
      <c r="A330" s="55">
        <v>45985.0</v>
      </c>
      <c r="B330" s="55" t="str">
        <f t="shared" si="10"/>
        <v> </v>
      </c>
      <c r="C330" s="202">
        <f t="shared" si="1"/>
        <v>24</v>
      </c>
      <c r="D330" s="202" t="str">
        <f t="shared" si="2"/>
        <v> </v>
      </c>
      <c r="E330" s="202" t="str">
        <f t="shared" si="9"/>
        <v> </v>
      </c>
      <c r="F330" s="55" t="str">
        <f t="shared" si="4"/>
        <v/>
      </c>
      <c r="G330" s="202" t="str">
        <f t="shared" si="5"/>
        <v/>
      </c>
      <c r="H330" s="202" t="str">
        <f t="shared" si="11"/>
        <v> </v>
      </c>
      <c r="I330" s="205" t="str">
        <f t="shared" si="7"/>
        <v/>
      </c>
      <c r="J330" s="205"/>
      <c r="K330" s="205"/>
    </row>
    <row r="331" ht="14.25" customHeight="1">
      <c r="A331" s="55">
        <v>45986.0</v>
      </c>
      <c r="B331" s="55" t="str">
        <f t="shared" si="10"/>
        <v> </v>
      </c>
      <c r="C331" s="202">
        <f t="shared" si="1"/>
        <v>25</v>
      </c>
      <c r="D331" s="202" t="str">
        <f t="shared" si="2"/>
        <v> </v>
      </c>
      <c r="E331" s="202" t="str">
        <f t="shared" si="9"/>
        <v> </v>
      </c>
      <c r="F331" s="55" t="str">
        <f t="shared" si="4"/>
        <v/>
      </c>
      <c r="G331" s="202" t="str">
        <f t="shared" si="5"/>
        <v/>
      </c>
      <c r="H331" s="202" t="str">
        <f t="shared" si="11"/>
        <v> </v>
      </c>
      <c r="I331" s="205" t="str">
        <f t="shared" si="7"/>
        <v/>
      </c>
      <c r="J331" s="205"/>
      <c r="K331" s="205"/>
    </row>
    <row r="332" ht="14.25" customHeight="1">
      <c r="A332" s="55">
        <v>45987.0</v>
      </c>
      <c r="B332" s="55" t="str">
        <f t="shared" si="10"/>
        <v> </v>
      </c>
      <c r="C332" s="202">
        <f t="shared" si="1"/>
        <v>26</v>
      </c>
      <c r="D332" s="202" t="str">
        <f t="shared" si="2"/>
        <v> </v>
      </c>
      <c r="E332" s="202" t="str">
        <f t="shared" si="9"/>
        <v> </v>
      </c>
      <c r="F332" s="55" t="str">
        <f t="shared" si="4"/>
        <v/>
      </c>
      <c r="G332" s="202" t="str">
        <f t="shared" si="5"/>
        <v/>
      </c>
      <c r="H332" s="202" t="str">
        <f t="shared" si="11"/>
        <v> </v>
      </c>
      <c r="I332" s="205" t="str">
        <f t="shared" si="7"/>
        <v/>
      </c>
      <c r="J332" s="205"/>
      <c r="K332" s="205"/>
    </row>
    <row r="333" ht="14.25" customHeight="1">
      <c r="A333" s="55">
        <v>45988.0</v>
      </c>
      <c r="B333" s="55" t="str">
        <f t="shared" si="10"/>
        <v> </v>
      </c>
      <c r="C333" s="202">
        <f t="shared" si="1"/>
        <v>27</v>
      </c>
      <c r="D333" s="202" t="str">
        <f t="shared" si="2"/>
        <v> </v>
      </c>
      <c r="E333" s="202" t="str">
        <f t="shared" si="9"/>
        <v> </v>
      </c>
      <c r="F333" s="55" t="str">
        <f t="shared" si="4"/>
        <v/>
      </c>
      <c r="G333" s="202" t="str">
        <f t="shared" si="5"/>
        <v/>
      </c>
      <c r="H333" s="202" t="str">
        <f t="shared" si="11"/>
        <v> </v>
      </c>
      <c r="I333" s="205" t="str">
        <f t="shared" si="7"/>
        <v/>
      </c>
      <c r="J333" s="205"/>
      <c r="K333" s="205"/>
    </row>
    <row r="334" ht="14.25" customHeight="1">
      <c r="A334" s="55">
        <v>45989.0</v>
      </c>
      <c r="B334" s="55" t="str">
        <f t="shared" si="10"/>
        <v> </v>
      </c>
      <c r="C334" s="202">
        <f t="shared" si="1"/>
        <v>28</v>
      </c>
      <c r="D334" s="202" t="str">
        <f t="shared" si="2"/>
        <v> </v>
      </c>
      <c r="E334" s="202" t="str">
        <f t="shared" si="9"/>
        <v> </v>
      </c>
      <c r="F334" s="55" t="str">
        <f t="shared" si="4"/>
        <v/>
      </c>
      <c r="G334" s="202" t="str">
        <f t="shared" si="5"/>
        <v/>
      </c>
      <c r="H334" s="202" t="str">
        <f t="shared" si="11"/>
        <v> </v>
      </c>
      <c r="I334" s="205" t="str">
        <f t="shared" si="7"/>
        <v/>
      </c>
      <c r="J334" s="205"/>
      <c r="K334" s="205"/>
    </row>
    <row r="335" ht="14.25" customHeight="1">
      <c r="A335" s="55">
        <v>45990.0</v>
      </c>
      <c r="B335" s="55" t="str">
        <f t="shared" si="10"/>
        <v> </v>
      </c>
      <c r="C335" s="202">
        <f t="shared" si="1"/>
        <v>29</v>
      </c>
      <c r="D335" s="202" t="str">
        <f t="shared" si="2"/>
        <v> </v>
      </c>
      <c r="E335" s="202" t="str">
        <f t="shared" si="9"/>
        <v> </v>
      </c>
      <c r="F335" s="55" t="str">
        <f t="shared" si="4"/>
        <v/>
      </c>
      <c r="G335" s="202" t="str">
        <f t="shared" si="5"/>
        <v/>
      </c>
      <c r="H335" s="202" t="str">
        <f t="shared" si="11"/>
        <v> </v>
      </c>
      <c r="I335" s="205" t="str">
        <f t="shared" si="7"/>
        <v/>
      </c>
      <c r="J335" s="205"/>
      <c r="K335" s="205"/>
    </row>
    <row r="336" ht="14.25" customHeight="1">
      <c r="A336" s="55">
        <v>45991.0</v>
      </c>
      <c r="B336" s="55" t="str">
        <f t="shared" si="10"/>
        <v> </v>
      </c>
      <c r="C336" s="202">
        <f t="shared" si="1"/>
        <v>30</v>
      </c>
      <c r="D336" s="202" t="str">
        <f t="shared" si="2"/>
        <v> </v>
      </c>
      <c r="E336" s="202" t="str">
        <f t="shared" si="9"/>
        <v> </v>
      </c>
      <c r="F336" s="55" t="str">
        <f t="shared" si="4"/>
        <v/>
      </c>
      <c r="G336" s="202" t="str">
        <f t="shared" si="5"/>
        <v/>
      </c>
      <c r="H336" s="202" t="str">
        <f t="shared" si="11"/>
        <v> </v>
      </c>
      <c r="I336" s="205" t="str">
        <f t="shared" si="7"/>
        <v/>
      </c>
      <c r="J336" s="205"/>
      <c r="K336" s="205"/>
    </row>
    <row r="337" ht="14.25" customHeight="1">
      <c r="A337" s="55">
        <v>45992.0</v>
      </c>
      <c r="B337" s="55" t="str">
        <f t="shared" si="10"/>
        <v> </v>
      </c>
      <c r="C337" s="202">
        <f t="shared" si="1"/>
        <v>1</v>
      </c>
      <c r="D337" s="202" t="str">
        <f t="shared" si="2"/>
        <v> </v>
      </c>
      <c r="E337" s="202" t="str">
        <f t="shared" si="9"/>
        <v> </v>
      </c>
      <c r="F337" s="55" t="str">
        <f t="shared" si="4"/>
        <v/>
      </c>
      <c r="G337" s="202" t="str">
        <f t="shared" si="5"/>
        <v/>
      </c>
      <c r="H337" s="202" t="str">
        <f t="shared" si="11"/>
        <v> </v>
      </c>
      <c r="I337" s="205" t="str">
        <f t="shared" si="7"/>
        <v/>
      </c>
      <c r="J337" s="205"/>
      <c r="K337" s="205"/>
    </row>
    <row r="338" ht="14.25" customHeight="1">
      <c r="A338" s="55">
        <v>45993.0</v>
      </c>
      <c r="B338" s="55" t="str">
        <f t="shared" si="10"/>
        <v> </v>
      </c>
      <c r="C338" s="202">
        <f t="shared" si="1"/>
        <v>2</v>
      </c>
      <c r="D338" s="202" t="str">
        <f t="shared" si="2"/>
        <v> </v>
      </c>
      <c r="E338" s="202" t="str">
        <f t="shared" si="9"/>
        <v> </v>
      </c>
      <c r="F338" s="55" t="str">
        <f t="shared" si="4"/>
        <v/>
      </c>
      <c r="G338" s="202" t="str">
        <f t="shared" si="5"/>
        <v/>
      </c>
      <c r="H338" s="202" t="str">
        <f t="shared" si="11"/>
        <v> </v>
      </c>
      <c r="I338" s="205" t="str">
        <f t="shared" si="7"/>
        <v/>
      </c>
      <c r="J338" s="205"/>
      <c r="K338" s="205"/>
    </row>
    <row r="339" ht="14.25" customHeight="1">
      <c r="A339" s="55">
        <v>45994.0</v>
      </c>
      <c r="B339" s="55" t="str">
        <f t="shared" si="10"/>
        <v> </v>
      </c>
      <c r="C339" s="202">
        <f t="shared" si="1"/>
        <v>3</v>
      </c>
      <c r="D339" s="202" t="str">
        <f t="shared" si="2"/>
        <v> </v>
      </c>
      <c r="E339" s="202" t="str">
        <f t="shared" si="9"/>
        <v> </v>
      </c>
      <c r="F339" s="55" t="str">
        <f t="shared" si="4"/>
        <v/>
      </c>
      <c r="G339" s="202" t="str">
        <f t="shared" si="5"/>
        <v/>
      </c>
      <c r="H339" s="202" t="str">
        <f t="shared" si="11"/>
        <v> </v>
      </c>
      <c r="I339" s="205" t="str">
        <f t="shared" si="7"/>
        <v/>
      </c>
      <c r="J339" s="205"/>
      <c r="K339" s="205"/>
    </row>
    <row r="340" ht="14.25" customHeight="1">
      <c r="A340" s="55">
        <v>45995.0</v>
      </c>
      <c r="B340" s="55" t="str">
        <f t="shared" si="10"/>
        <v> </v>
      </c>
      <c r="C340" s="202">
        <f t="shared" si="1"/>
        <v>4</v>
      </c>
      <c r="D340" s="202" t="str">
        <f t="shared" si="2"/>
        <v> </v>
      </c>
      <c r="E340" s="202" t="str">
        <f t="shared" si="9"/>
        <v> </v>
      </c>
      <c r="F340" s="55" t="str">
        <f t="shared" si="4"/>
        <v/>
      </c>
      <c r="G340" s="202" t="str">
        <f t="shared" si="5"/>
        <v/>
      </c>
      <c r="H340" s="202" t="str">
        <f t="shared" si="11"/>
        <v> </v>
      </c>
      <c r="I340" s="205" t="str">
        <f t="shared" si="7"/>
        <v/>
      </c>
      <c r="J340" s="205"/>
      <c r="K340" s="205"/>
    </row>
    <row r="341" ht="14.25" customHeight="1">
      <c r="A341" s="55">
        <v>45996.0</v>
      </c>
      <c r="B341" s="55" t="str">
        <f t="shared" si="10"/>
        <v> </v>
      </c>
      <c r="C341" s="202">
        <f t="shared" si="1"/>
        <v>5</v>
      </c>
      <c r="D341" s="202" t="str">
        <f t="shared" si="2"/>
        <v> </v>
      </c>
      <c r="E341" s="202" t="str">
        <f t="shared" si="9"/>
        <v> </v>
      </c>
      <c r="F341" s="55" t="str">
        <f t="shared" si="4"/>
        <v/>
      </c>
      <c r="G341" s="202" t="str">
        <f t="shared" si="5"/>
        <v/>
      </c>
      <c r="H341" s="202" t="str">
        <f t="shared" si="11"/>
        <v> </v>
      </c>
      <c r="I341" s="205" t="str">
        <f t="shared" si="7"/>
        <v/>
      </c>
      <c r="J341" s="205"/>
      <c r="K341" s="205"/>
    </row>
    <row r="342" ht="14.25" customHeight="1">
      <c r="A342" s="55">
        <v>45997.0</v>
      </c>
      <c r="B342" s="55" t="str">
        <f t="shared" si="10"/>
        <v> </v>
      </c>
      <c r="C342" s="202">
        <f t="shared" si="1"/>
        <v>6</v>
      </c>
      <c r="D342" s="202" t="str">
        <f t="shared" si="2"/>
        <v> </v>
      </c>
      <c r="E342" s="202" t="str">
        <f t="shared" si="9"/>
        <v> </v>
      </c>
      <c r="F342" s="55" t="str">
        <f t="shared" si="4"/>
        <v/>
      </c>
      <c r="G342" s="202" t="str">
        <f t="shared" si="5"/>
        <v/>
      </c>
      <c r="H342" s="202" t="str">
        <f t="shared" si="11"/>
        <v> </v>
      </c>
      <c r="I342" s="205" t="str">
        <f t="shared" si="7"/>
        <v/>
      </c>
      <c r="J342" s="205"/>
      <c r="K342" s="205"/>
    </row>
    <row r="343" ht="14.25" customHeight="1">
      <c r="A343" s="55">
        <v>45998.0</v>
      </c>
      <c r="B343" s="55" t="str">
        <f t="shared" si="10"/>
        <v> </v>
      </c>
      <c r="C343" s="202">
        <f t="shared" si="1"/>
        <v>7</v>
      </c>
      <c r="D343" s="202" t="str">
        <f t="shared" si="2"/>
        <v> </v>
      </c>
      <c r="E343" s="202" t="str">
        <f t="shared" si="9"/>
        <v> </v>
      </c>
      <c r="F343" s="55" t="str">
        <f t="shared" si="4"/>
        <v/>
      </c>
      <c r="G343" s="202" t="str">
        <f t="shared" si="5"/>
        <v/>
      </c>
      <c r="H343" s="202" t="str">
        <f t="shared" si="11"/>
        <v> </v>
      </c>
      <c r="I343" s="205" t="str">
        <f t="shared" si="7"/>
        <v/>
      </c>
      <c r="J343" s="205"/>
      <c r="K343" s="205"/>
    </row>
    <row r="344" ht="14.25" customHeight="1">
      <c r="A344" s="55">
        <v>45999.0</v>
      </c>
      <c r="B344" s="55" t="str">
        <f t="shared" si="10"/>
        <v> </v>
      </c>
      <c r="C344" s="202">
        <f t="shared" si="1"/>
        <v>8</v>
      </c>
      <c r="D344" s="202" t="str">
        <f t="shared" si="2"/>
        <v> </v>
      </c>
      <c r="E344" s="202" t="str">
        <f t="shared" si="9"/>
        <v> </v>
      </c>
      <c r="F344" s="55" t="str">
        <f t="shared" si="4"/>
        <v/>
      </c>
      <c r="G344" s="202" t="str">
        <f t="shared" si="5"/>
        <v/>
      </c>
      <c r="H344" s="202" t="str">
        <f t="shared" si="11"/>
        <v> </v>
      </c>
      <c r="I344" s="205" t="str">
        <f t="shared" si="7"/>
        <v/>
      </c>
      <c r="J344" s="205"/>
      <c r="K344" s="205"/>
    </row>
    <row r="345" ht="14.25" customHeight="1">
      <c r="A345" s="55">
        <v>46000.0</v>
      </c>
      <c r="B345" s="55" t="str">
        <f t="shared" si="10"/>
        <v> </v>
      </c>
      <c r="C345" s="202">
        <f t="shared" si="1"/>
        <v>9</v>
      </c>
      <c r="D345" s="202" t="str">
        <f t="shared" si="2"/>
        <v> </v>
      </c>
      <c r="E345" s="202" t="str">
        <f t="shared" si="9"/>
        <v> </v>
      </c>
      <c r="F345" s="55" t="str">
        <f t="shared" si="4"/>
        <v/>
      </c>
      <c r="G345" s="202" t="str">
        <f t="shared" si="5"/>
        <v/>
      </c>
      <c r="H345" s="202" t="str">
        <f t="shared" si="11"/>
        <v> </v>
      </c>
      <c r="I345" s="205" t="str">
        <f t="shared" si="7"/>
        <v/>
      </c>
      <c r="J345" s="205"/>
      <c r="K345" s="205"/>
    </row>
    <row r="346" ht="14.25" customHeight="1">
      <c r="A346" s="55">
        <v>46001.0</v>
      </c>
      <c r="B346" s="55" t="str">
        <f t="shared" si="10"/>
        <v> </v>
      </c>
      <c r="C346" s="202">
        <f t="shared" si="1"/>
        <v>10</v>
      </c>
      <c r="D346" s="202" t="str">
        <f t="shared" si="2"/>
        <v> </v>
      </c>
      <c r="E346" s="202" t="str">
        <f t="shared" si="9"/>
        <v> </v>
      </c>
      <c r="F346" s="55" t="str">
        <f t="shared" si="4"/>
        <v/>
      </c>
      <c r="G346" s="202" t="str">
        <f t="shared" si="5"/>
        <v/>
      </c>
      <c r="H346" s="202" t="str">
        <f t="shared" si="11"/>
        <v> </v>
      </c>
      <c r="I346" s="205" t="str">
        <f t="shared" si="7"/>
        <v/>
      </c>
      <c r="J346" s="205"/>
      <c r="K346" s="205"/>
    </row>
    <row r="347" ht="14.25" customHeight="1">
      <c r="A347" s="55">
        <v>46002.0</v>
      </c>
      <c r="B347" s="55" t="str">
        <f t="shared" si="10"/>
        <v> </v>
      </c>
      <c r="C347" s="202">
        <f t="shared" si="1"/>
        <v>11</v>
      </c>
      <c r="D347" s="202" t="str">
        <f t="shared" si="2"/>
        <v> </v>
      </c>
      <c r="E347" s="202" t="str">
        <f t="shared" si="9"/>
        <v> </v>
      </c>
      <c r="F347" s="55" t="str">
        <f t="shared" si="4"/>
        <v/>
      </c>
      <c r="G347" s="202" t="str">
        <f t="shared" si="5"/>
        <v/>
      </c>
      <c r="H347" s="202" t="str">
        <f t="shared" si="11"/>
        <v> </v>
      </c>
      <c r="I347" s="205" t="str">
        <f t="shared" si="7"/>
        <v/>
      </c>
      <c r="J347" s="205"/>
      <c r="K347" s="205"/>
    </row>
    <row r="348" ht="14.25" customHeight="1">
      <c r="A348" s="55">
        <v>46003.0</v>
      </c>
      <c r="B348" s="55" t="str">
        <f t="shared" si="10"/>
        <v> </v>
      </c>
      <c r="C348" s="202">
        <f t="shared" si="1"/>
        <v>12</v>
      </c>
      <c r="D348" s="202" t="str">
        <f t="shared" si="2"/>
        <v> </v>
      </c>
      <c r="E348" s="202" t="str">
        <f t="shared" si="9"/>
        <v> </v>
      </c>
      <c r="F348" s="55" t="str">
        <f t="shared" si="4"/>
        <v/>
      </c>
      <c r="G348" s="202" t="str">
        <f t="shared" si="5"/>
        <v/>
      </c>
      <c r="H348" s="202" t="str">
        <f t="shared" si="11"/>
        <v> </v>
      </c>
      <c r="I348" s="205" t="str">
        <f t="shared" si="7"/>
        <v/>
      </c>
      <c r="J348" s="205"/>
      <c r="K348" s="205"/>
    </row>
    <row r="349" ht="14.25" customHeight="1">
      <c r="A349" s="55">
        <v>46004.0</v>
      </c>
      <c r="B349" s="55" t="str">
        <f t="shared" si="10"/>
        <v> </v>
      </c>
      <c r="C349" s="202">
        <f t="shared" si="1"/>
        <v>13</v>
      </c>
      <c r="D349" s="202" t="str">
        <f t="shared" si="2"/>
        <v> </v>
      </c>
      <c r="E349" s="202" t="str">
        <f t="shared" si="9"/>
        <v> </v>
      </c>
      <c r="F349" s="55" t="str">
        <f t="shared" si="4"/>
        <v/>
      </c>
      <c r="G349" s="202" t="str">
        <f t="shared" si="5"/>
        <v/>
      </c>
      <c r="H349" s="202" t="str">
        <f t="shared" si="11"/>
        <v> </v>
      </c>
      <c r="I349" s="205" t="str">
        <f t="shared" si="7"/>
        <v/>
      </c>
      <c r="J349" s="205"/>
      <c r="K349" s="205"/>
    </row>
    <row r="350" ht="14.25" customHeight="1">
      <c r="A350" s="55">
        <v>46005.0</v>
      </c>
      <c r="B350" s="55" t="str">
        <f t="shared" si="10"/>
        <v> </v>
      </c>
      <c r="C350" s="202">
        <f t="shared" si="1"/>
        <v>14</v>
      </c>
      <c r="D350" s="202" t="str">
        <f t="shared" si="2"/>
        <v> </v>
      </c>
      <c r="E350" s="202" t="str">
        <f t="shared" si="9"/>
        <v> </v>
      </c>
      <c r="F350" s="55" t="str">
        <f t="shared" si="4"/>
        <v/>
      </c>
      <c r="G350" s="202" t="str">
        <f t="shared" si="5"/>
        <v/>
      </c>
      <c r="H350" s="202" t="str">
        <f t="shared" si="11"/>
        <v> </v>
      </c>
      <c r="I350" s="205" t="str">
        <f t="shared" si="7"/>
        <v/>
      </c>
      <c r="J350" s="205"/>
      <c r="K350" s="205"/>
    </row>
    <row r="351" ht="14.25" customHeight="1">
      <c r="A351" s="55">
        <v>46006.0</v>
      </c>
      <c r="B351" s="55" t="str">
        <f t="shared" si="10"/>
        <v> </v>
      </c>
      <c r="C351" s="202">
        <f t="shared" si="1"/>
        <v>15</v>
      </c>
      <c r="D351" s="202" t="str">
        <f t="shared" si="2"/>
        <v> </v>
      </c>
      <c r="E351" s="202" t="str">
        <f t="shared" si="9"/>
        <v> </v>
      </c>
      <c r="F351" s="55" t="str">
        <f t="shared" si="4"/>
        <v/>
      </c>
      <c r="G351" s="202" t="str">
        <f t="shared" si="5"/>
        <v/>
      </c>
      <c r="H351" s="202" t="str">
        <f t="shared" si="11"/>
        <v> </v>
      </c>
      <c r="I351" s="205" t="str">
        <f t="shared" si="7"/>
        <v/>
      </c>
      <c r="J351" s="205"/>
      <c r="K351" s="205"/>
    </row>
    <row r="352" ht="14.25" customHeight="1">
      <c r="A352" s="55">
        <v>46007.0</v>
      </c>
      <c r="B352" s="55" t="str">
        <f t="shared" si="10"/>
        <v> </v>
      </c>
      <c r="C352" s="202">
        <f t="shared" si="1"/>
        <v>16</v>
      </c>
      <c r="D352" s="202" t="str">
        <f t="shared" si="2"/>
        <v> </v>
      </c>
      <c r="E352" s="202" t="str">
        <f t="shared" si="9"/>
        <v> </v>
      </c>
      <c r="F352" s="55" t="str">
        <f t="shared" si="4"/>
        <v/>
      </c>
      <c r="G352" s="202" t="str">
        <f t="shared" si="5"/>
        <v/>
      </c>
      <c r="H352" s="202" t="str">
        <f t="shared" si="11"/>
        <v> </v>
      </c>
      <c r="I352" s="205" t="str">
        <f t="shared" si="7"/>
        <v/>
      </c>
      <c r="J352" s="205"/>
      <c r="K352" s="205"/>
    </row>
    <row r="353" ht="14.25" customHeight="1">
      <c r="A353" s="55">
        <v>46008.0</v>
      </c>
      <c r="B353" s="55" t="str">
        <f t="shared" si="10"/>
        <v> </v>
      </c>
      <c r="C353" s="202">
        <f t="shared" si="1"/>
        <v>17</v>
      </c>
      <c r="D353" s="202" t="str">
        <f t="shared" si="2"/>
        <v> </v>
      </c>
      <c r="E353" s="202" t="str">
        <f t="shared" si="9"/>
        <v> </v>
      </c>
      <c r="F353" s="55" t="str">
        <f t="shared" si="4"/>
        <v/>
      </c>
      <c r="G353" s="202" t="str">
        <f t="shared" si="5"/>
        <v/>
      </c>
      <c r="H353" s="202" t="str">
        <f t="shared" si="11"/>
        <v> </v>
      </c>
      <c r="I353" s="205" t="str">
        <f t="shared" si="7"/>
        <v/>
      </c>
      <c r="J353" s="205"/>
      <c r="K353" s="205"/>
    </row>
    <row r="354" ht="14.25" customHeight="1">
      <c r="A354" s="55">
        <v>46009.0</v>
      </c>
      <c r="B354" s="55" t="str">
        <f t="shared" si="10"/>
        <v> </v>
      </c>
      <c r="C354" s="202">
        <f t="shared" si="1"/>
        <v>18</v>
      </c>
      <c r="D354" s="202" t="str">
        <f t="shared" si="2"/>
        <v> </v>
      </c>
      <c r="E354" s="202" t="str">
        <f t="shared" si="9"/>
        <v> </v>
      </c>
      <c r="F354" s="55" t="str">
        <f t="shared" si="4"/>
        <v/>
      </c>
      <c r="G354" s="202" t="str">
        <f t="shared" si="5"/>
        <v/>
      </c>
      <c r="H354" s="202" t="str">
        <f t="shared" si="11"/>
        <v> </v>
      </c>
      <c r="I354" s="205" t="str">
        <f t="shared" si="7"/>
        <v/>
      </c>
      <c r="J354" s="205"/>
      <c r="K354" s="205"/>
    </row>
    <row r="355" ht="14.25" customHeight="1">
      <c r="A355" s="55">
        <v>46010.0</v>
      </c>
      <c r="B355" s="55" t="str">
        <f t="shared" si="10"/>
        <v> </v>
      </c>
      <c r="C355" s="202">
        <f t="shared" si="1"/>
        <v>19</v>
      </c>
      <c r="D355" s="202" t="str">
        <f t="shared" si="2"/>
        <v> </v>
      </c>
      <c r="E355" s="202" t="str">
        <f t="shared" si="9"/>
        <v> </v>
      </c>
      <c r="F355" s="55" t="str">
        <f t="shared" si="4"/>
        <v/>
      </c>
      <c r="G355" s="202" t="str">
        <f t="shared" si="5"/>
        <v/>
      </c>
      <c r="H355" s="202" t="str">
        <f t="shared" si="11"/>
        <v> </v>
      </c>
      <c r="I355" s="205" t="str">
        <f t="shared" si="7"/>
        <v/>
      </c>
      <c r="J355" s="205"/>
      <c r="K355" s="205"/>
    </row>
    <row r="356" ht="14.25" customHeight="1">
      <c r="A356" s="55">
        <v>46011.0</v>
      </c>
      <c r="B356" s="55" t="str">
        <f t="shared" si="10"/>
        <v> </v>
      </c>
      <c r="C356" s="202">
        <f t="shared" si="1"/>
        <v>20</v>
      </c>
      <c r="D356" s="202" t="str">
        <f t="shared" si="2"/>
        <v> </v>
      </c>
      <c r="E356" s="202" t="str">
        <f t="shared" si="9"/>
        <v> </v>
      </c>
      <c r="F356" s="55" t="str">
        <f t="shared" si="4"/>
        <v/>
      </c>
      <c r="G356" s="202" t="str">
        <f t="shared" si="5"/>
        <v/>
      </c>
      <c r="H356" s="202" t="str">
        <f t="shared" si="11"/>
        <v> </v>
      </c>
      <c r="I356" s="205" t="str">
        <f t="shared" si="7"/>
        <v/>
      </c>
      <c r="J356" s="205"/>
      <c r="K356" s="205"/>
    </row>
    <row r="357" ht="14.25" customHeight="1">
      <c r="A357" s="55">
        <v>46012.0</v>
      </c>
      <c r="B357" s="55" t="str">
        <f t="shared" si="10"/>
        <v> </v>
      </c>
      <c r="C357" s="202">
        <f t="shared" si="1"/>
        <v>21</v>
      </c>
      <c r="D357" s="202" t="str">
        <f t="shared" si="2"/>
        <v> </v>
      </c>
      <c r="E357" s="202" t="str">
        <f t="shared" si="9"/>
        <v> </v>
      </c>
      <c r="F357" s="55" t="str">
        <f t="shared" si="4"/>
        <v/>
      </c>
      <c r="G357" s="202" t="str">
        <f t="shared" si="5"/>
        <v/>
      </c>
      <c r="H357" s="202" t="str">
        <f t="shared" si="11"/>
        <v> </v>
      </c>
      <c r="I357" s="205" t="str">
        <f t="shared" si="7"/>
        <v/>
      </c>
      <c r="J357" s="205"/>
      <c r="K357" s="205"/>
    </row>
    <row r="358" ht="14.25" customHeight="1">
      <c r="A358" s="55">
        <v>46013.0</v>
      </c>
      <c r="B358" s="55" t="str">
        <f t="shared" si="10"/>
        <v> </v>
      </c>
      <c r="C358" s="202">
        <f t="shared" si="1"/>
        <v>22</v>
      </c>
      <c r="D358" s="202" t="str">
        <f t="shared" si="2"/>
        <v> </v>
      </c>
      <c r="E358" s="202" t="str">
        <f t="shared" si="9"/>
        <v> </v>
      </c>
      <c r="F358" s="55" t="str">
        <f t="shared" si="4"/>
        <v/>
      </c>
      <c r="G358" s="202" t="str">
        <f t="shared" si="5"/>
        <v/>
      </c>
      <c r="H358" s="202" t="str">
        <f t="shared" si="11"/>
        <v> </v>
      </c>
      <c r="I358" s="205" t="str">
        <f t="shared" si="7"/>
        <v/>
      </c>
      <c r="J358" s="205"/>
      <c r="K358" s="205"/>
    </row>
    <row r="359" ht="14.25" customHeight="1">
      <c r="A359" s="55">
        <v>46014.0</v>
      </c>
      <c r="B359" s="55" t="str">
        <f t="shared" si="10"/>
        <v> </v>
      </c>
      <c r="C359" s="202">
        <f t="shared" si="1"/>
        <v>23</v>
      </c>
      <c r="D359" s="202" t="str">
        <f t="shared" si="2"/>
        <v> </v>
      </c>
      <c r="E359" s="202" t="str">
        <f t="shared" si="9"/>
        <v> </v>
      </c>
      <c r="F359" s="55" t="str">
        <f t="shared" si="4"/>
        <v/>
      </c>
      <c r="G359" s="202" t="str">
        <f t="shared" si="5"/>
        <v/>
      </c>
      <c r="H359" s="202" t="str">
        <f t="shared" si="11"/>
        <v> </v>
      </c>
      <c r="I359" s="205" t="str">
        <f t="shared" si="7"/>
        <v/>
      </c>
      <c r="J359" s="205"/>
      <c r="K359" s="205"/>
    </row>
    <row r="360" ht="14.25" customHeight="1">
      <c r="A360" s="55">
        <v>46015.0</v>
      </c>
      <c r="B360" s="55" t="str">
        <f t="shared" si="10"/>
        <v> </v>
      </c>
      <c r="C360" s="202">
        <f t="shared" si="1"/>
        <v>24</v>
      </c>
      <c r="D360" s="202" t="str">
        <f t="shared" si="2"/>
        <v> </v>
      </c>
      <c r="E360" s="202" t="str">
        <f t="shared" si="9"/>
        <v> </v>
      </c>
      <c r="F360" s="55" t="str">
        <f t="shared" si="4"/>
        <v/>
      </c>
      <c r="G360" s="202" t="str">
        <f t="shared" si="5"/>
        <v/>
      </c>
      <c r="H360" s="202" t="str">
        <f t="shared" si="11"/>
        <v> </v>
      </c>
      <c r="I360" s="205" t="str">
        <f t="shared" si="7"/>
        <v/>
      </c>
      <c r="J360" s="205"/>
      <c r="K360" s="205"/>
    </row>
    <row r="361" ht="14.25" customHeight="1">
      <c r="A361" s="55">
        <v>46016.0</v>
      </c>
      <c r="B361" s="55" t="str">
        <f t="shared" si="10"/>
        <v> </v>
      </c>
      <c r="C361" s="202">
        <f t="shared" si="1"/>
        <v>25</v>
      </c>
      <c r="D361" s="202" t="str">
        <f t="shared" si="2"/>
        <v> </v>
      </c>
      <c r="E361" s="202" t="str">
        <f t="shared" si="9"/>
        <v> </v>
      </c>
      <c r="F361" s="55" t="str">
        <f t="shared" si="4"/>
        <v/>
      </c>
      <c r="G361" s="202" t="str">
        <f t="shared" si="5"/>
        <v/>
      </c>
      <c r="H361" s="202" t="str">
        <f t="shared" si="11"/>
        <v> </v>
      </c>
      <c r="I361" s="205" t="str">
        <f t="shared" si="7"/>
        <v/>
      </c>
      <c r="J361" s="205"/>
      <c r="K361" s="205"/>
    </row>
    <row r="362" ht="14.25" customHeight="1">
      <c r="A362" s="55">
        <v>46017.0</v>
      </c>
      <c r="B362" s="55" t="str">
        <f t="shared" si="10"/>
        <v> </v>
      </c>
      <c r="C362" s="202">
        <f t="shared" si="1"/>
        <v>26</v>
      </c>
      <c r="D362" s="202" t="str">
        <f t="shared" si="2"/>
        <v> </v>
      </c>
      <c r="E362" s="202" t="str">
        <f t="shared" si="9"/>
        <v> </v>
      </c>
      <c r="F362" s="55" t="str">
        <f t="shared" si="4"/>
        <v/>
      </c>
      <c r="G362" s="202" t="str">
        <f t="shared" si="5"/>
        <v/>
      </c>
      <c r="H362" s="202" t="str">
        <f t="shared" si="11"/>
        <v> </v>
      </c>
      <c r="I362" s="205" t="str">
        <f t="shared" si="7"/>
        <v/>
      </c>
      <c r="J362" s="205"/>
      <c r="K362" s="205"/>
    </row>
    <row r="363" ht="14.25" customHeight="1">
      <c r="A363" s="55">
        <v>46018.0</v>
      </c>
      <c r="B363" s="55" t="str">
        <f t="shared" si="10"/>
        <v> </v>
      </c>
      <c r="C363" s="202">
        <f t="shared" si="1"/>
        <v>27</v>
      </c>
      <c r="D363" s="202" t="str">
        <f t="shared" si="2"/>
        <v> </v>
      </c>
      <c r="E363" s="202" t="str">
        <f t="shared" si="9"/>
        <v> </v>
      </c>
      <c r="F363" s="55" t="str">
        <f t="shared" si="4"/>
        <v/>
      </c>
      <c r="G363" s="202" t="str">
        <f t="shared" si="5"/>
        <v/>
      </c>
      <c r="H363" s="202" t="str">
        <f t="shared" si="11"/>
        <v> </v>
      </c>
      <c r="I363" s="205" t="str">
        <f t="shared" si="7"/>
        <v/>
      </c>
      <c r="J363" s="205"/>
      <c r="K363" s="205"/>
    </row>
    <row r="364" ht="14.25" customHeight="1">
      <c r="A364" s="55">
        <v>46019.0</v>
      </c>
      <c r="B364" s="55" t="str">
        <f t="shared" si="10"/>
        <v> </v>
      </c>
      <c r="C364" s="202">
        <f t="shared" si="1"/>
        <v>28</v>
      </c>
      <c r="D364" s="202" t="str">
        <f t="shared" si="2"/>
        <v> </v>
      </c>
      <c r="E364" s="202" t="str">
        <f t="shared" si="9"/>
        <v> </v>
      </c>
      <c r="F364" s="55" t="str">
        <f t="shared" si="4"/>
        <v/>
      </c>
      <c r="G364" s="202" t="str">
        <f t="shared" si="5"/>
        <v/>
      </c>
      <c r="H364" s="202" t="str">
        <f t="shared" si="11"/>
        <v> </v>
      </c>
      <c r="I364" s="205" t="str">
        <f t="shared" si="7"/>
        <v/>
      </c>
      <c r="J364" s="205"/>
      <c r="K364" s="205"/>
    </row>
    <row r="365" ht="14.25" customHeight="1">
      <c r="A365" s="55">
        <v>46020.0</v>
      </c>
      <c r="B365" s="55" t="str">
        <f t="shared" si="10"/>
        <v> </v>
      </c>
      <c r="C365" s="202">
        <f t="shared" si="1"/>
        <v>29</v>
      </c>
      <c r="D365" s="202" t="str">
        <f t="shared" si="2"/>
        <v> </v>
      </c>
      <c r="E365" s="202" t="str">
        <f t="shared" si="9"/>
        <v> </v>
      </c>
      <c r="F365" s="55" t="str">
        <f t="shared" si="4"/>
        <v/>
      </c>
      <c r="G365" s="202" t="str">
        <f t="shared" si="5"/>
        <v/>
      </c>
      <c r="H365" s="202" t="str">
        <f t="shared" si="11"/>
        <v> </v>
      </c>
      <c r="I365" s="205" t="str">
        <f t="shared" si="7"/>
        <v/>
      </c>
      <c r="J365" s="205"/>
      <c r="K365" s="205"/>
    </row>
    <row r="366" ht="14.25" customHeight="1">
      <c r="A366" s="55">
        <v>46021.0</v>
      </c>
      <c r="B366" s="55" t="str">
        <f t="shared" si="10"/>
        <v> </v>
      </c>
      <c r="C366" s="202">
        <f t="shared" si="1"/>
        <v>30</v>
      </c>
      <c r="D366" s="202" t="str">
        <f t="shared" si="2"/>
        <v> </v>
      </c>
      <c r="E366" s="202" t="str">
        <f t="shared" si="9"/>
        <v> </v>
      </c>
      <c r="F366" s="55" t="str">
        <f t="shared" si="4"/>
        <v/>
      </c>
      <c r="G366" s="202" t="str">
        <f t="shared" si="5"/>
        <v/>
      </c>
      <c r="H366" s="202" t="str">
        <f t="shared" si="11"/>
        <v> </v>
      </c>
      <c r="I366" s="205" t="str">
        <f t="shared" si="7"/>
        <v/>
      </c>
      <c r="J366" s="205"/>
      <c r="K366" s="205"/>
    </row>
    <row r="367" ht="14.25" customHeight="1">
      <c r="A367" s="55">
        <v>46022.0</v>
      </c>
      <c r="B367" s="55" t="str">
        <f t="shared" si="10"/>
        <v> </v>
      </c>
      <c r="C367" s="202">
        <f t="shared" si="1"/>
        <v>31</v>
      </c>
      <c r="D367" s="202" t="str">
        <f t="shared" si="2"/>
        <v> </v>
      </c>
      <c r="E367" s="202" t="str">
        <f t="shared" si="9"/>
        <v> </v>
      </c>
      <c r="F367" s="55" t="str">
        <f t="shared" si="4"/>
        <v/>
      </c>
      <c r="G367" s="202" t="str">
        <f t="shared" si="5"/>
        <v/>
      </c>
      <c r="H367" s="202" t="str">
        <f t="shared" si="11"/>
        <v> </v>
      </c>
      <c r="I367" s="205" t="str">
        <f t="shared" si="7"/>
        <v/>
      </c>
      <c r="J367" s="205"/>
      <c r="K367" s="205"/>
    </row>
    <row r="368" ht="14.25" customHeight="1">
      <c r="A368" s="55">
        <v>46023.0</v>
      </c>
      <c r="B368" s="55" t="str">
        <f t="shared" si="10"/>
        <v> </v>
      </c>
      <c r="C368" s="202">
        <f t="shared" si="1"/>
        <v>1</v>
      </c>
      <c r="D368" s="202" t="str">
        <f t="shared" si="2"/>
        <v> </v>
      </c>
      <c r="E368" s="202" t="str">
        <f t="shared" si="9"/>
        <v> </v>
      </c>
      <c r="F368" s="55" t="str">
        <f t="shared" si="4"/>
        <v/>
      </c>
      <c r="G368" s="202" t="str">
        <f t="shared" si="5"/>
        <v/>
      </c>
      <c r="H368" s="202" t="str">
        <f t="shared" si="11"/>
        <v> </v>
      </c>
      <c r="I368" s="205" t="str">
        <f t="shared" si="7"/>
        <v/>
      </c>
      <c r="J368" s="205"/>
      <c r="K368" s="205"/>
    </row>
    <row r="369" ht="14.25" customHeight="1">
      <c r="A369" s="55">
        <v>46024.0</v>
      </c>
      <c r="B369" s="55" t="str">
        <f t="shared" si="10"/>
        <v> </v>
      </c>
      <c r="C369" s="202">
        <f t="shared" si="1"/>
        <v>2</v>
      </c>
      <c r="D369" s="202" t="str">
        <f t="shared" si="2"/>
        <v> </v>
      </c>
      <c r="E369" s="202" t="str">
        <f t="shared" si="9"/>
        <v> </v>
      </c>
      <c r="F369" s="55" t="str">
        <f t="shared" si="4"/>
        <v/>
      </c>
      <c r="G369" s="202" t="str">
        <f t="shared" si="5"/>
        <v/>
      </c>
      <c r="H369" s="202" t="str">
        <f t="shared" si="11"/>
        <v> </v>
      </c>
      <c r="I369" s="205" t="str">
        <f t="shared" si="7"/>
        <v/>
      </c>
      <c r="J369" s="205"/>
      <c r="K369" s="205"/>
    </row>
    <row r="370" ht="14.25" customHeight="1">
      <c r="A370" s="55">
        <v>46025.0</v>
      </c>
      <c r="B370" s="55" t="str">
        <f t="shared" si="10"/>
        <v> </v>
      </c>
      <c r="C370" s="202">
        <f t="shared" si="1"/>
        <v>3</v>
      </c>
      <c r="D370" s="202" t="str">
        <f t="shared" si="2"/>
        <v> </v>
      </c>
      <c r="E370" s="202" t="str">
        <f t="shared" si="9"/>
        <v> </v>
      </c>
      <c r="F370" s="55" t="str">
        <f t="shared" si="4"/>
        <v/>
      </c>
      <c r="G370" s="202" t="str">
        <f t="shared" si="5"/>
        <v/>
      </c>
      <c r="H370" s="202" t="str">
        <f t="shared" si="11"/>
        <v> </v>
      </c>
      <c r="I370" s="205" t="str">
        <f t="shared" si="7"/>
        <v/>
      </c>
      <c r="J370" s="205"/>
      <c r="K370" s="205"/>
    </row>
    <row r="371" ht="14.25" customHeight="1">
      <c r="A371" s="55">
        <v>46026.0</v>
      </c>
      <c r="B371" s="55" t="str">
        <f t="shared" si="10"/>
        <v> </v>
      </c>
      <c r="C371" s="202">
        <f t="shared" si="1"/>
        <v>4</v>
      </c>
      <c r="D371" s="202" t="str">
        <f t="shared" si="2"/>
        <v> </v>
      </c>
      <c r="E371" s="202" t="str">
        <f t="shared" si="9"/>
        <v> </v>
      </c>
      <c r="F371" s="55" t="str">
        <f t="shared" si="4"/>
        <v/>
      </c>
      <c r="G371" s="202" t="str">
        <f t="shared" si="5"/>
        <v/>
      </c>
      <c r="H371" s="202" t="str">
        <f t="shared" si="11"/>
        <v> </v>
      </c>
      <c r="I371" s="205" t="str">
        <f t="shared" si="7"/>
        <v/>
      </c>
      <c r="J371" s="205"/>
      <c r="K371" s="205"/>
    </row>
    <row r="372" ht="14.25" customHeight="1">
      <c r="A372" s="55">
        <v>46027.0</v>
      </c>
      <c r="B372" s="55" t="str">
        <f t="shared" si="10"/>
        <v> </v>
      </c>
      <c r="C372" s="202">
        <f t="shared" si="1"/>
        <v>5</v>
      </c>
      <c r="D372" s="202" t="str">
        <f t="shared" si="2"/>
        <v> </v>
      </c>
      <c r="E372" s="202" t="str">
        <f t="shared" si="9"/>
        <v> </v>
      </c>
      <c r="F372" s="55" t="str">
        <f t="shared" si="4"/>
        <v/>
      </c>
      <c r="G372" s="202" t="str">
        <f t="shared" si="5"/>
        <v/>
      </c>
      <c r="H372" s="202" t="str">
        <f t="shared" si="11"/>
        <v> </v>
      </c>
      <c r="I372" s="205" t="str">
        <f t="shared" si="7"/>
        <v/>
      </c>
      <c r="J372" s="205"/>
      <c r="K372" s="205"/>
    </row>
    <row r="373" ht="14.25" customHeight="1">
      <c r="A373" s="55">
        <v>46028.0</v>
      </c>
      <c r="B373" s="55" t="str">
        <f t="shared" si="10"/>
        <v> </v>
      </c>
      <c r="C373" s="202">
        <f t="shared" si="1"/>
        <v>6</v>
      </c>
      <c r="D373" s="202" t="str">
        <f t="shared" si="2"/>
        <v> </v>
      </c>
      <c r="E373" s="202" t="str">
        <f t="shared" si="9"/>
        <v> </v>
      </c>
      <c r="F373" s="55" t="str">
        <f t="shared" si="4"/>
        <v/>
      </c>
      <c r="G373" s="202" t="str">
        <f t="shared" si="5"/>
        <v/>
      </c>
      <c r="H373" s="202" t="str">
        <f t="shared" si="11"/>
        <v> </v>
      </c>
      <c r="I373" s="205" t="str">
        <f t="shared" si="7"/>
        <v/>
      </c>
      <c r="J373" s="205"/>
      <c r="K373" s="205"/>
    </row>
    <row r="374" ht="14.25" customHeight="1">
      <c r="A374" s="55">
        <v>46029.0</v>
      </c>
      <c r="B374" s="55" t="str">
        <f t="shared" si="10"/>
        <v> </v>
      </c>
      <c r="C374" s="202">
        <f t="shared" si="1"/>
        <v>7</v>
      </c>
      <c r="D374" s="202" t="str">
        <f t="shared" si="2"/>
        <v> </v>
      </c>
      <c r="E374" s="202" t="str">
        <f t="shared" si="9"/>
        <v> </v>
      </c>
      <c r="F374" s="55" t="str">
        <f t="shared" si="4"/>
        <v/>
      </c>
      <c r="G374" s="202" t="str">
        <f t="shared" si="5"/>
        <v/>
      </c>
      <c r="H374" s="202" t="str">
        <f t="shared" si="11"/>
        <v> </v>
      </c>
      <c r="I374" s="205" t="str">
        <f t="shared" si="7"/>
        <v/>
      </c>
      <c r="J374" s="205"/>
      <c r="K374" s="205"/>
    </row>
    <row r="375" ht="14.25" customHeight="1">
      <c r="A375" s="55">
        <v>46030.0</v>
      </c>
      <c r="B375" s="55" t="str">
        <f t="shared" si="10"/>
        <v> </v>
      </c>
      <c r="C375" s="202">
        <f t="shared" si="1"/>
        <v>8</v>
      </c>
      <c r="D375" s="202" t="str">
        <f t="shared" si="2"/>
        <v> </v>
      </c>
      <c r="E375" s="202" t="str">
        <f t="shared" si="9"/>
        <v> </v>
      </c>
      <c r="F375" s="55" t="str">
        <f t="shared" si="4"/>
        <v/>
      </c>
      <c r="G375" s="202" t="str">
        <f t="shared" si="5"/>
        <v/>
      </c>
      <c r="H375" s="202" t="str">
        <f t="shared" si="11"/>
        <v> </v>
      </c>
      <c r="I375" s="205" t="str">
        <f t="shared" si="7"/>
        <v/>
      </c>
      <c r="J375" s="205"/>
      <c r="K375" s="205"/>
    </row>
    <row r="376" ht="14.25" customHeight="1">
      <c r="A376" s="55">
        <v>46031.0</v>
      </c>
      <c r="B376" s="55" t="str">
        <f t="shared" si="10"/>
        <v> </v>
      </c>
      <c r="C376" s="202">
        <f t="shared" si="1"/>
        <v>9</v>
      </c>
      <c r="D376" s="202" t="str">
        <f t="shared" si="2"/>
        <v> </v>
      </c>
      <c r="E376" s="202" t="str">
        <f t="shared" si="9"/>
        <v> </v>
      </c>
      <c r="F376" s="55" t="str">
        <f t="shared" si="4"/>
        <v/>
      </c>
      <c r="G376" s="202" t="str">
        <f t="shared" si="5"/>
        <v/>
      </c>
      <c r="H376" s="202" t="str">
        <f t="shared" si="11"/>
        <v> </v>
      </c>
      <c r="I376" s="205" t="str">
        <f t="shared" si="7"/>
        <v/>
      </c>
      <c r="J376" s="205"/>
      <c r="K376" s="205"/>
    </row>
    <row r="377" ht="14.25" customHeight="1">
      <c r="A377" s="55">
        <v>46032.0</v>
      </c>
      <c r="B377" s="55" t="str">
        <f t="shared" si="10"/>
        <v> </v>
      </c>
      <c r="C377" s="202">
        <f t="shared" si="1"/>
        <v>10</v>
      </c>
      <c r="D377" s="202" t="str">
        <f t="shared" si="2"/>
        <v> </v>
      </c>
      <c r="E377" s="202" t="str">
        <f t="shared" si="9"/>
        <v> </v>
      </c>
      <c r="F377" s="55" t="str">
        <f t="shared" si="4"/>
        <v/>
      </c>
      <c r="G377" s="202" t="str">
        <f t="shared" si="5"/>
        <v/>
      </c>
      <c r="H377" s="202" t="str">
        <f t="shared" si="11"/>
        <v> </v>
      </c>
      <c r="I377" s="205" t="str">
        <f t="shared" si="7"/>
        <v/>
      </c>
      <c r="J377" s="205"/>
      <c r="K377" s="205"/>
    </row>
    <row r="378" ht="14.25" customHeight="1">
      <c r="A378" s="55">
        <v>46033.0</v>
      </c>
      <c r="B378" s="55" t="str">
        <f t="shared" si="10"/>
        <v> </v>
      </c>
      <c r="C378" s="202">
        <f t="shared" si="1"/>
        <v>11</v>
      </c>
      <c r="D378" s="202" t="str">
        <f t="shared" si="2"/>
        <v> </v>
      </c>
      <c r="E378" s="202" t="str">
        <f t="shared" si="9"/>
        <v> </v>
      </c>
      <c r="F378" s="55" t="str">
        <f t="shared" si="4"/>
        <v/>
      </c>
      <c r="G378" s="202" t="str">
        <f t="shared" si="5"/>
        <v/>
      </c>
      <c r="H378" s="202" t="str">
        <f t="shared" si="11"/>
        <v> </v>
      </c>
      <c r="I378" s="205" t="str">
        <f t="shared" si="7"/>
        <v/>
      </c>
      <c r="J378" s="205"/>
      <c r="K378" s="205"/>
    </row>
    <row r="379" ht="14.25" customHeight="1">
      <c r="A379" s="55">
        <v>46034.0</v>
      </c>
      <c r="B379" s="55" t="str">
        <f t="shared" si="10"/>
        <v> </v>
      </c>
      <c r="C379" s="202">
        <f t="shared" si="1"/>
        <v>12</v>
      </c>
      <c r="D379" s="202" t="str">
        <f t="shared" si="2"/>
        <v> </v>
      </c>
      <c r="E379" s="202" t="str">
        <f t="shared" si="9"/>
        <v> </v>
      </c>
      <c r="F379" s="55" t="str">
        <f t="shared" si="4"/>
        <v/>
      </c>
      <c r="G379" s="202" t="str">
        <f t="shared" si="5"/>
        <v/>
      </c>
      <c r="H379" s="202" t="str">
        <f t="shared" si="11"/>
        <v> </v>
      </c>
      <c r="I379" s="205" t="str">
        <f t="shared" si="7"/>
        <v/>
      </c>
      <c r="J379" s="205"/>
      <c r="K379" s="205"/>
    </row>
    <row r="380" ht="14.25" customHeight="1">
      <c r="A380" s="55">
        <v>46035.0</v>
      </c>
      <c r="B380" s="55" t="str">
        <f t="shared" si="10"/>
        <v> </v>
      </c>
      <c r="C380" s="202">
        <f t="shared" si="1"/>
        <v>13</v>
      </c>
      <c r="D380" s="202" t="str">
        <f t="shared" si="2"/>
        <v> </v>
      </c>
      <c r="E380" s="202" t="str">
        <f t="shared" si="9"/>
        <v> </v>
      </c>
      <c r="F380" s="55" t="str">
        <f t="shared" si="4"/>
        <v/>
      </c>
      <c r="G380" s="202" t="str">
        <f t="shared" si="5"/>
        <v/>
      </c>
      <c r="H380" s="202" t="str">
        <f t="shared" si="11"/>
        <v> </v>
      </c>
      <c r="I380" s="205" t="str">
        <f t="shared" si="7"/>
        <v/>
      </c>
      <c r="J380" s="205"/>
      <c r="K380" s="205"/>
    </row>
    <row r="381" ht="14.25" customHeight="1">
      <c r="A381" s="55">
        <v>46036.0</v>
      </c>
      <c r="B381" s="55" t="str">
        <f t="shared" si="10"/>
        <v> </v>
      </c>
      <c r="C381" s="202">
        <f t="shared" si="1"/>
        <v>14</v>
      </c>
      <c r="D381" s="202" t="str">
        <f t="shared" si="2"/>
        <v> </v>
      </c>
      <c r="E381" s="202" t="str">
        <f t="shared" si="9"/>
        <v> </v>
      </c>
      <c r="F381" s="55" t="str">
        <f t="shared" si="4"/>
        <v/>
      </c>
      <c r="G381" s="202" t="str">
        <f t="shared" si="5"/>
        <v/>
      </c>
      <c r="H381" s="202" t="str">
        <f t="shared" si="11"/>
        <v> </v>
      </c>
      <c r="I381" s="205" t="str">
        <f t="shared" si="7"/>
        <v/>
      </c>
      <c r="J381" s="205"/>
      <c r="K381" s="205"/>
    </row>
    <row r="382" ht="14.25" customHeight="1">
      <c r="A382" s="55">
        <v>46037.0</v>
      </c>
      <c r="B382" s="55" t="str">
        <f t="shared" si="10"/>
        <v> </v>
      </c>
      <c r="C382" s="202">
        <f t="shared" si="1"/>
        <v>15</v>
      </c>
      <c r="D382" s="202" t="str">
        <f t="shared" si="2"/>
        <v> </v>
      </c>
      <c r="E382" s="202" t="str">
        <f t="shared" si="9"/>
        <v> </v>
      </c>
      <c r="F382" s="55" t="str">
        <f t="shared" si="4"/>
        <v/>
      </c>
      <c r="G382" s="202" t="str">
        <f t="shared" si="5"/>
        <v/>
      </c>
      <c r="H382" s="202" t="str">
        <f t="shared" si="11"/>
        <v> </v>
      </c>
      <c r="I382" s="205" t="str">
        <f t="shared" si="7"/>
        <v/>
      </c>
      <c r="J382" s="205"/>
      <c r="K382" s="205"/>
    </row>
    <row r="383" ht="14.25" customHeight="1">
      <c r="A383" s="55">
        <v>46038.0</v>
      </c>
      <c r="B383" s="55" t="str">
        <f t="shared" si="10"/>
        <v> </v>
      </c>
      <c r="C383" s="202">
        <f t="shared" si="1"/>
        <v>16</v>
      </c>
      <c r="D383" s="202" t="str">
        <f t="shared" si="2"/>
        <v> </v>
      </c>
      <c r="E383" s="202" t="str">
        <f t="shared" si="9"/>
        <v> </v>
      </c>
      <c r="F383" s="55" t="str">
        <f t="shared" si="4"/>
        <v/>
      </c>
      <c r="G383" s="202" t="str">
        <f t="shared" si="5"/>
        <v/>
      </c>
      <c r="H383" s="202" t="str">
        <f t="shared" si="11"/>
        <v> </v>
      </c>
      <c r="I383" s="205" t="str">
        <f t="shared" si="7"/>
        <v/>
      </c>
      <c r="J383" s="205"/>
      <c r="K383" s="205"/>
    </row>
    <row r="384" ht="14.25" customHeight="1">
      <c r="A384" s="55">
        <v>46039.0</v>
      </c>
      <c r="B384" s="55" t="str">
        <f t="shared" si="10"/>
        <v> </v>
      </c>
      <c r="C384" s="202">
        <f t="shared" si="1"/>
        <v>17</v>
      </c>
      <c r="D384" s="202" t="str">
        <f t="shared" si="2"/>
        <v> </v>
      </c>
      <c r="E384" s="202" t="str">
        <f t="shared" si="9"/>
        <v> </v>
      </c>
      <c r="F384" s="55" t="str">
        <f t="shared" si="4"/>
        <v/>
      </c>
      <c r="G384" s="202" t="str">
        <f t="shared" si="5"/>
        <v/>
      </c>
      <c r="H384" s="202" t="str">
        <f t="shared" si="11"/>
        <v> </v>
      </c>
      <c r="I384" s="205" t="str">
        <f t="shared" si="7"/>
        <v/>
      </c>
      <c r="J384" s="205"/>
      <c r="K384" s="205"/>
    </row>
    <row r="385" ht="14.25" customHeight="1">
      <c r="A385" s="55">
        <v>46040.0</v>
      </c>
      <c r="B385" s="55" t="str">
        <f t="shared" si="10"/>
        <v> </v>
      </c>
      <c r="C385" s="202">
        <f t="shared" si="1"/>
        <v>18</v>
      </c>
      <c r="D385" s="202" t="str">
        <f t="shared" si="2"/>
        <v> </v>
      </c>
      <c r="E385" s="202" t="str">
        <f t="shared" si="9"/>
        <v> </v>
      </c>
      <c r="F385" s="55" t="str">
        <f t="shared" si="4"/>
        <v/>
      </c>
      <c r="G385" s="202" t="str">
        <f t="shared" si="5"/>
        <v/>
      </c>
      <c r="H385" s="202" t="str">
        <f t="shared" si="11"/>
        <v> </v>
      </c>
      <c r="I385" s="205" t="str">
        <f t="shared" si="7"/>
        <v/>
      </c>
      <c r="J385" s="205"/>
      <c r="K385" s="205"/>
    </row>
    <row r="386" ht="14.25" customHeight="1">
      <c r="A386" s="55">
        <v>46041.0</v>
      </c>
      <c r="B386" s="55" t="str">
        <f t="shared" si="10"/>
        <v> </v>
      </c>
      <c r="C386" s="202">
        <f t="shared" si="1"/>
        <v>19</v>
      </c>
      <c r="D386" s="202" t="str">
        <f t="shared" si="2"/>
        <v> </v>
      </c>
      <c r="E386" s="202" t="str">
        <f t="shared" si="9"/>
        <v> </v>
      </c>
      <c r="F386" s="55" t="str">
        <f t="shared" si="4"/>
        <v/>
      </c>
      <c r="G386" s="202" t="str">
        <f t="shared" si="5"/>
        <v/>
      </c>
      <c r="H386" s="202" t="str">
        <f t="shared" si="11"/>
        <v> </v>
      </c>
      <c r="I386" s="205" t="str">
        <f t="shared" si="7"/>
        <v/>
      </c>
      <c r="J386" s="205"/>
      <c r="K386" s="205"/>
    </row>
    <row r="387" ht="14.25" customHeight="1">
      <c r="A387" s="55">
        <v>46042.0</v>
      </c>
      <c r="B387" s="55" t="str">
        <f t="shared" si="10"/>
        <v> </v>
      </c>
      <c r="C387" s="202">
        <f t="shared" si="1"/>
        <v>20</v>
      </c>
      <c r="D387" s="202" t="str">
        <f t="shared" si="2"/>
        <v> </v>
      </c>
      <c r="E387" s="202" t="str">
        <f t="shared" si="9"/>
        <v> </v>
      </c>
      <c r="F387" s="55" t="str">
        <f t="shared" si="4"/>
        <v/>
      </c>
      <c r="G387" s="202" t="str">
        <f t="shared" si="5"/>
        <v/>
      </c>
      <c r="H387" s="202" t="str">
        <f t="shared" si="11"/>
        <v> </v>
      </c>
      <c r="I387" s="205" t="str">
        <f t="shared" si="7"/>
        <v/>
      </c>
      <c r="J387" s="205"/>
      <c r="K387" s="205"/>
    </row>
    <row r="388" ht="14.25" customHeight="1">
      <c r="A388" s="55">
        <v>46043.0</v>
      </c>
      <c r="B388" s="55" t="str">
        <f t="shared" si="10"/>
        <v> </v>
      </c>
      <c r="C388" s="202">
        <f t="shared" si="1"/>
        <v>21</v>
      </c>
      <c r="D388" s="202" t="str">
        <f t="shared" si="2"/>
        <v> </v>
      </c>
      <c r="E388" s="202" t="str">
        <f t="shared" si="9"/>
        <v> </v>
      </c>
      <c r="F388" s="55" t="str">
        <f t="shared" si="4"/>
        <v/>
      </c>
      <c r="G388" s="202" t="str">
        <f t="shared" si="5"/>
        <v/>
      </c>
      <c r="H388" s="202" t="str">
        <f t="shared" si="11"/>
        <v> </v>
      </c>
      <c r="I388" s="205" t="str">
        <f t="shared" si="7"/>
        <v/>
      </c>
      <c r="J388" s="205"/>
      <c r="K388" s="205"/>
    </row>
    <row r="389" ht="14.25" customHeight="1">
      <c r="A389" s="55">
        <v>46044.0</v>
      </c>
      <c r="B389" s="55" t="str">
        <f t="shared" si="10"/>
        <v> </v>
      </c>
      <c r="C389" s="202">
        <f t="shared" si="1"/>
        <v>22</v>
      </c>
      <c r="D389" s="202" t="str">
        <f t="shared" si="2"/>
        <v> </v>
      </c>
      <c r="E389" s="202" t="str">
        <f t="shared" si="9"/>
        <v> </v>
      </c>
      <c r="F389" s="55" t="str">
        <f t="shared" si="4"/>
        <v/>
      </c>
      <c r="G389" s="202" t="str">
        <f t="shared" si="5"/>
        <v/>
      </c>
      <c r="H389" s="202" t="str">
        <f t="shared" si="11"/>
        <v> </v>
      </c>
      <c r="I389" s="205" t="str">
        <f t="shared" si="7"/>
        <v/>
      </c>
      <c r="J389" s="205"/>
      <c r="K389" s="205"/>
    </row>
    <row r="390" ht="14.25" customHeight="1">
      <c r="A390" s="55">
        <v>46045.0</v>
      </c>
      <c r="B390" s="55" t="str">
        <f t="shared" si="10"/>
        <v> </v>
      </c>
      <c r="C390" s="202">
        <f t="shared" si="1"/>
        <v>23</v>
      </c>
      <c r="D390" s="202" t="str">
        <f t="shared" si="2"/>
        <v> </v>
      </c>
      <c r="E390" s="202" t="str">
        <f t="shared" si="9"/>
        <v> </v>
      </c>
      <c r="F390" s="55" t="str">
        <f t="shared" si="4"/>
        <v/>
      </c>
      <c r="G390" s="202" t="str">
        <f t="shared" si="5"/>
        <v/>
      </c>
      <c r="H390" s="202" t="str">
        <f t="shared" si="11"/>
        <v> </v>
      </c>
      <c r="I390" s="205" t="str">
        <f t="shared" si="7"/>
        <v/>
      </c>
      <c r="J390" s="205"/>
      <c r="K390" s="205"/>
    </row>
    <row r="391" ht="14.25" customHeight="1">
      <c r="A391" s="55">
        <v>46046.0</v>
      </c>
      <c r="B391" s="55" t="str">
        <f t="shared" si="10"/>
        <v> </v>
      </c>
      <c r="C391" s="202">
        <f t="shared" si="1"/>
        <v>24</v>
      </c>
      <c r="D391" s="202" t="str">
        <f t="shared" si="2"/>
        <v> </v>
      </c>
      <c r="E391" s="202" t="str">
        <f t="shared" si="9"/>
        <v> </v>
      </c>
      <c r="F391" s="55" t="str">
        <f t="shared" si="4"/>
        <v/>
      </c>
      <c r="G391" s="202" t="str">
        <f t="shared" si="5"/>
        <v/>
      </c>
      <c r="H391" s="202" t="str">
        <f t="shared" si="11"/>
        <v> </v>
      </c>
      <c r="I391" s="205" t="str">
        <f t="shared" si="7"/>
        <v/>
      </c>
      <c r="J391" s="205"/>
      <c r="K391" s="205"/>
    </row>
    <row r="392" ht="14.25" customHeight="1">
      <c r="A392" s="55">
        <v>46047.0</v>
      </c>
      <c r="B392" s="55" t="str">
        <f t="shared" si="10"/>
        <v> </v>
      </c>
      <c r="C392" s="202">
        <f t="shared" si="1"/>
        <v>25</v>
      </c>
      <c r="D392" s="202" t="str">
        <f t="shared" si="2"/>
        <v> </v>
      </c>
      <c r="E392" s="202" t="str">
        <f t="shared" si="9"/>
        <v> </v>
      </c>
      <c r="F392" s="55" t="str">
        <f t="shared" si="4"/>
        <v/>
      </c>
      <c r="G392" s="202" t="str">
        <f t="shared" si="5"/>
        <v/>
      </c>
      <c r="H392" s="202" t="str">
        <f t="shared" si="11"/>
        <v> </v>
      </c>
      <c r="I392" s="205" t="str">
        <f t="shared" si="7"/>
        <v/>
      </c>
      <c r="J392" s="205"/>
      <c r="K392" s="205"/>
    </row>
    <row r="393" ht="14.25" customHeight="1">
      <c r="A393" s="55">
        <v>46048.0</v>
      </c>
      <c r="B393" s="55" t="str">
        <f t="shared" si="10"/>
        <v> </v>
      </c>
      <c r="C393" s="202">
        <f t="shared" si="1"/>
        <v>26</v>
      </c>
      <c r="D393" s="202" t="str">
        <f t="shared" si="2"/>
        <v> </v>
      </c>
      <c r="E393" s="202" t="str">
        <f t="shared" si="9"/>
        <v> </v>
      </c>
      <c r="F393" s="55" t="str">
        <f t="shared" si="4"/>
        <v/>
      </c>
      <c r="G393" s="202" t="str">
        <f t="shared" si="5"/>
        <v/>
      </c>
      <c r="H393" s="202" t="str">
        <f t="shared" si="11"/>
        <v> </v>
      </c>
      <c r="I393" s="205" t="str">
        <f t="shared" si="7"/>
        <v/>
      </c>
      <c r="J393" s="205"/>
      <c r="K393" s="205"/>
    </row>
    <row r="394" ht="14.25" customHeight="1">
      <c r="A394" s="55">
        <v>46049.0</v>
      </c>
      <c r="B394" s="55" t="str">
        <f t="shared" si="10"/>
        <v> </v>
      </c>
      <c r="C394" s="202">
        <f t="shared" si="1"/>
        <v>27</v>
      </c>
      <c r="D394" s="202" t="str">
        <f t="shared" si="2"/>
        <v> </v>
      </c>
      <c r="E394" s="202" t="str">
        <f t="shared" si="9"/>
        <v> </v>
      </c>
      <c r="F394" s="55" t="str">
        <f t="shared" si="4"/>
        <v/>
      </c>
      <c r="G394" s="202" t="str">
        <f t="shared" si="5"/>
        <v/>
      </c>
      <c r="H394" s="202" t="str">
        <f t="shared" si="11"/>
        <v> </v>
      </c>
      <c r="I394" s="205" t="str">
        <f t="shared" si="7"/>
        <v/>
      </c>
      <c r="J394" s="205"/>
      <c r="K394" s="205"/>
    </row>
    <row r="395" ht="14.25" customHeight="1">
      <c r="A395" s="55">
        <v>46050.0</v>
      </c>
      <c r="B395" s="55" t="str">
        <f t="shared" si="10"/>
        <v> </v>
      </c>
      <c r="C395" s="202">
        <f t="shared" si="1"/>
        <v>28</v>
      </c>
      <c r="D395" s="202" t="str">
        <f t="shared" si="2"/>
        <v> </v>
      </c>
      <c r="E395" s="202" t="str">
        <f t="shared" si="9"/>
        <v> </v>
      </c>
      <c r="F395" s="55" t="str">
        <f t="shared" si="4"/>
        <v/>
      </c>
      <c r="G395" s="202" t="str">
        <f t="shared" si="5"/>
        <v/>
      </c>
      <c r="H395" s="202" t="str">
        <f t="shared" si="11"/>
        <v> </v>
      </c>
      <c r="I395" s="205" t="str">
        <f t="shared" si="7"/>
        <v/>
      </c>
      <c r="J395" s="205"/>
      <c r="K395" s="205"/>
    </row>
    <row r="396" ht="14.25" customHeight="1">
      <c r="A396" s="55">
        <v>46051.0</v>
      </c>
      <c r="B396" s="55" t="str">
        <f t="shared" si="10"/>
        <v> </v>
      </c>
      <c r="C396" s="202">
        <f t="shared" si="1"/>
        <v>29</v>
      </c>
      <c r="D396" s="202" t="str">
        <f t="shared" si="2"/>
        <v> </v>
      </c>
      <c r="E396" s="202" t="str">
        <f t="shared" si="9"/>
        <v> </v>
      </c>
      <c r="F396" s="55" t="str">
        <f t="shared" si="4"/>
        <v/>
      </c>
      <c r="G396" s="202" t="str">
        <f t="shared" si="5"/>
        <v/>
      </c>
      <c r="H396" s="202" t="str">
        <f t="shared" si="11"/>
        <v> </v>
      </c>
      <c r="I396" s="205" t="str">
        <f t="shared" si="7"/>
        <v/>
      </c>
      <c r="J396" s="205"/>
      <c r="K396" s="205"/>
    </row>
    <row r="397" ht="14.25" customHeight="1">
      <c r="A397" s="55">
        <v>46052.0</v>
      </c>
      <c r="B397" s="55" t="str">
        <f t="shared" si="10"/>
        <v> </v>
      </c>
      <c r="C397" s="202">
        <f t="shared" si="1"/>
        <v>30</v>
      </c>
      <c r="D397" s="202" t="str">
        <f t="shared" si="2"/>
        <v> </v>
      </c>
      <c r="E397" s="202" t="str">
        <f t="shared" si="9"/>
        <v> </v>
      </c>
      <c r="F397" s="55" t="str">
        <f t="shared" si="4"/>
        <v/>
      </c>
      <c r="G397" s="202" t="str">
        <f t="shared" si="5"/>
        <v/>
      </c>
      <c r="H397" s="202" t="str">
        <f t="shared" si="11"/>
        <v> </v>
      </c>
      <c r="I397" s="205" t="str">
        <f t="shared" si="7"/>
        <v/>
      </c>
      <c r="J397" s="205"/>
      <c r="K397" s="205"/>
    </row>
    <row r="398" ht="14.25" customHeight="1">
      <c r="A398" s="55">
        <v>46053.0</v>
      </c>
      <c r="B398" s="55" t="str">
        <f t="shared" si="10"/>
        <v> </v>
      </c>
      <c r="C398" s="202">
        <f t="shared" si="1"/>
        <v>31</v>
      </c>
      <c r="D398" s="202" t="str">
        <f t="shared" si="2"/>
        <v> </v>
      </c>
      <c r="E398" s="202" t="str">
        <f t="shared" si="9"/>
        <v> </v>
      </c>
      <c r="F398" s="55" t="str">
        <f t="shared" si="4"/>
        <v/>
      </c>
      <c r="G398" s="202" t="str">
        <f t="shared" si="5"/>
        <v/>
      </c>
      <c r="H398" s="202" t="str">
        <f t="shared" si="11"/>
        <v> </v>
      </c>
      <c r="I398" s="205" t="str">
        <f t="shared" si="7"/>
        <v/>
      </c>
      <c r="J398" s="205"/>
      <c r="K398" s="205"/>
    </row>
    <row r="399" ht="14.25" customHeight="1">
      <c r="A399" s="55">
        <v>46054.0</v>
      </c>
      <c r="B399" s="55" t="str">
        <f t="shared" si="10"/>
        <v> </v>
      </c>
      <c r="C399" s="202">
        <f t="shared" si="1"/>
        <v>1</v>
      </c>
      <c r="D399" s="202" t="str">
        <f t="shared" si="2"/>
        <v> </v>
      </c>
      <c r="E399" s="202" t="str">
        <f t="shared" si="9"/>
        <v> </v>
      </c>
      <c r="F399" s="55" t="str">
        <f t="shared" si="4"/>
        <v/>
      </c>
      <c r="G399" s="202" t="str">
        <f t="shared" si="5"/>
        <v/>
      </c>
      <c r="H399" s="202" t="str">
        <f t="shared" si="11"/>
        <v> </v>
      </c>
      <c r="I399" s="205" t="str">
        <f t="shared" si="7"/>
        <v/>
      </c>
      <c r="J399" s="205"/>
      <c r="K399" s="205"/>
    </row>
    <row r="400" ht="14.25" customHeight="1">
      <c r="A400" s="55">
        <v>46055.0</v>
      </c>
      <c r="B400" s="55" t="str">
        <f t="shared" si="10"/>
        <v>Primer dia</v>
      </c>
      <c r="C400" s="202">
        <f t="shared" si="1"/>
        <v>2</v>
      </c>
      <c r="D400" s="202" t="str">
        <f t="shared" si="2"/>
        <v>Primero</v>
      </c>
      <c r="E400" s="202">
        <f t="shared" si="9"/>
        <v>2</v>
      </c>
      <c r="F400" s="55">
        <f t="shared" si="4"/>
        <v>46055</v>
      </c>
      <c r="G400" s="202">
        <f t="shared" si="5"/>
        <v>1</v>
      </c>
      <c r="H400" s="202" t="str">
        <f t="shared" si="11"/>
        <v> </v>
      </c>
      <c r="I400" s="205">
        <f t="shared" si="7"/>
        <v>1</v>
      </c>
      <c r="J400" s="205"/>
      <c r="K400" s="205"/>
    </row>
    <row r="401" ht="14.25" customHeight="1">
      <c r="A401" s="55">
        <v>46056.0</v>
      </c>
      <c r="B401" s="55" t="str">
        <f t="shared" si="10"/>
        <v>Primer dia</v>
      </c>
      <c r="C401" s="202">
        <f t="shared" si="1"/>
        <v>3</v>
      </c>
      <c r="D401" s="202" t="str">
        <f t="shared" si="2"/>
        <v> </v>
      </c>
      <c r="E401" s="202" t="str">
        <f t="shared" si="9"/>
        <v> </v>
      </c>
      <c r="F401" s="55" t="str">
        <f t="shared" si="4"/>
        <v/>
      </c>
      <c r="G401" s="202" t="str">
        <f t="shared" si="5"/>
        <v/>
      </c>
      <c r="H401" s="202" t="str">
        <f t="shared" si="11"/>
        <v> </v>
      </c>
      <c r="I401" s="205" t="str">
        <f t="shared" si="7"/>
        <v/>
      </c>
      <c r="J401" s="205"/>
      <c r="K401" s="205"/>
    </row>
    <row r="402" ht="14.25" customHeight="1">
      <c r="A402" s="55">
        <v>46057.0</v>
      </c>
      <c r="B402" s="55" t="str">
        <f t="shared" si="10"/>
        <v>Primer dia</v>
      </c>
      <c r="C402" s="202">
        <f t="shared" si="1"/>
        <v>4</v>
      </c>
      <c r="D402" s="202" t="str">
        <f t="shared" si="2"/>
        <v> </v>
      </c>
      <c r="E402" s="202" t="str">
        <f t="shared" si="9"/>
        <v> </v>
      </c>
      <c r="F402" s="55" t="str">
        <f t="shared" si="4"/>
        <v/>
      </c>
      <c r="G402" s="202" t="str">
        <f t="shared" si="5"/>
        <v/>
      </c>
      <c r="H402" s="202" t="str">
        <f t="shared" si="11"/>
        <v> </v>
      </c>
      <c r="I402" s="205" t="str">
        <f t="shared" si="7"/>
        <v/>
      </c>
      <c r="J402" s="205"/>
      <c r="K402" s="205"/>
    </row>
    <row r="403" ht="14.25" customHeight="1">
      <c r="A403" s="55">
        <v>46058.0</v>
      </c>
      <c r="B403" s="55" t="str">
        <f t="shared" si="10"/>
        <v>Primer dia</v>
      </c>
      <c r="C403" s="202">
        <f t="shared" si="1"/>
        <v>5</v>
      </c>
      <c r="D403" s="202" t="str">
        <f t="shared" si="2"/>
        <v> </v>
      </c>
      <c r="E403" s="202" t="str">
        <f t="shared" si="9"/>
        <v> </v>
      </c>
      <c r="F403" s="55" t="str">
        <f t="shared" si="4"/>
        <v/>
      </c>
      <c r="G403" s="202" t="str">
        <f t="shared" si="5"/>
        <v/>
      </c>
      <c r="H403" s="202" t="str">
        <f t="shared" si="11"/>
        <v> </v>
      </c>
      <c r="I403" s="205" t="str">
        <f t="shared" si="7"/>
        <v/>
      </c>
      <c r="J403" s="205"/>
      <c r="K403" s="205"/>
    </row>
    <row r="404" ht="14.25" customHeight="1">
      <c r="A404" s="55">
        <v>46059.0</v>
      </c>
      <c r="B404" s="55" t="str">
        <f t="shared" si="10"/>
        <v>Primer dia</v>
      </c>
      <c r="C404" s="202">
        <f t="shared" si="1"/>
        <v>6</v>
      </c>
      <c r="D404" s="202" t="str">
        <f t="shared" si="2"/>
        <v> </v>
      </c>
      <c r="E404" s="202" t="str">
        <f t="shared" si="9"/>
        <v> </v>
      </c>
      <c r="F404" s="55" t="str">
        <f t="shared" si="4"/>
        <v/>
      </c>
      <c r="G404" s="202" t="str">
        <f t="shared" si="5"/>
        <v/>
      </c>
      <c r="H404" s="202" t="str">
        <f t="shared" si="11"/>
        <v> </v>
      </c>
      <c r="I404" s="205" t="str">
        <f t="shared" si="7"/>
        <v/>
      </c>
      <c r="J404" s="205"/>
      <c r="K404" s="205"/>
    </row>
    <row r="405" ht="14.25" customHeight="1">
      <c r="A405" s="55">
        <v>46060.0</v>
      </c>
      <c r="B405" s="55" t="str">
        <f t="shared" si="10"/>
        <v>Primer dia</v>
      </c>
      <c r="C405" s="202">
        <f t="shared" si="1"/>
        <v>7</v>
      </c>
      <c r="D405" s="202" t="str">
        <f t="shared" si="2"/>
        <v> </v>
      </c>
      <c r="E405" s="202" t="str">
        <f t="shared" si="9"/>
        <v> </v>
      </c>
      <c r="F405" s="55" t="str">
        <f t="shared" si="4"/>
        <v/>
      </c>
      <c r="G405" s="202" t="str">
        <f t="shared" si="5"/>
        <v/>
      </c>
      <c r="H405" s="202" t="str">
        <f t="shared" si="11"/>
        <v> </v>
      </c>
      <c r="I405" s="205" t="str">
        <f t="shared" si="7"/>
        <v/>
      </c>
      <c r="J405" s="205"/>
      <c r="K405" s="205"/>
    </row>
    <row r="406" ht="14.25" customHeight="1">
      <c r="A406" s="55">
        <v>46061.0</v>
      </c>
      <c r="B406" s="55" t="str">
        <f t="shared" si="10"/>
        <v>Primer dia</v>
      </c>
      <c r="C406" s="202">
        <f t="shared" si="1"/>
        <v>8</v>
      </c>
      <c r="D406" s="202" t="str">
        <f t="shared" si="2"/>
        <v> </v>
      </c>
      <c r="E406" s="202" t="str">
        <f t="shared" si="9"/>
        <v> </v>
      </c>
      <c r="F406" s="55" t="str">
        <f t="shared" si="4"/>
        <v/>
      </c>
      <c r="G406" s="202" t="str">
        <f t="shared" si="5"/>
        <v/>
      </c>
      <c r="H406" s="202" t="str">
        <f t="shared" si="11"/>
        <v> </v>
      </c>
      <c r="I406" s="205" t="str">
        <f t="shared" si="7"/>
        <v/>
      </c>
      <c r="J406" s="205"/>
      <c r="K406" s="205"/>
    </row>
    <row r="407" ht="14.25" customHeight="1">
      <c r="A407" s="55">
        <v>46062.0</v>
      </c>
      <c r="B407" s="55" t="str">
        <f t="shared" si="10"/>
        <v>Primer dia</v>
      </c>
      <c r="C407" s="202">
        <f t="shared" si="1"/>
        <v>9</v>
      </c>
      <c r="D407" s="202" t="str">
        <f t="shared" si="2"/>
        <v> </v>
      </c>
      <c r="E407" s="202" t="str">
        <f t="shared" si="9"/>
        <v> </v>
      </c>
      <c r="F407" s="55" t="str">
        <f t="shared" si="4"/>
        <v/>
      </c>
      <c r="G407" s="202" t="str">
        <f t="shared" si="5"/>
        <v/>
      </c>
      <c r="H407" s="202" t="str">
        <f t="shared" si="11"/>
        <v> </v>
      </c>
      <c r="I407" s="205" t="str">
        <f t="shared" si="7"/>
        <v/>
      </c>
      <c r="J407" s="205"/>
      <c r="K407" s="205"/>
    </row>
    <row r="408" ht="14.25" customHeight="1">
      <c r="A408" s="55">
        <v>46063.0</v>
      </c>
      <c r="B408" s="55" t="str">
        <f t="shared" si="10"/>
        <v>Primer dia</v>
      </c>
      <c r="C408" s="202">
        <f t="shared" si="1"/>
        <v>10</v>
      </c>
      <c r="D408" s="202" t="str">
        <f t="shared" si="2"/>
        <v> </v>
      </c>
      <c r="E408" s="202" t="str">
        <f t="shared" si="9"/>
        <v> </v>
      </c>
      <c r="F408" s="55" t="str">
        <f t="shared" si="4"/>
        <v/>
      </c>
      <c r="G408" s="202" t="str">
        <f t="shared" si="5"/>
        <v/>
      </c>
      <c r="H408" s="202" t="str">
        <f t="shared" si="11"/>
        <v> </v>
      </c>
      <c r="I408" s="205" t="str">
        <f t="shared" si="7"/>
        <v/>
      </c>
      <c r="J408" s="205"/>
      <c r="K408" s="205"/>
    </row>
    <row r="409" ht="14.25" customHeight="1">
      <c r="A409" s="55">
        <v>46064.0</v>
      </c>
      <c r="B409" s="55" t="str">
        <f t="shared" si="10"/>
        <v>Primer dia</v>
      </c>
      <c r="C409" s="202">
        <f t="shared" si="1"/>
        <v>11</v>
      </c>
      <c r="D409" s="202" t="str">
        <f t="shared" si="2"/>
        <v> </v>
      </c>
      <c r="E409" s="202" t="str">
        <f t="shared" si="9"/>
        <v> </v>
      </c>
      <c r="F409" s="55" t="str">
        <f t="shared" si="4"/>
        <v/>
      </c>
      <c r="G409" s="202" t="str">
        <f t="shared" si="5"/>
        <v/>
      </c>
      <c r="H409" s="202" t="str">
        <f t="shared" si="11"/>
        <v> </v>
      </c>
      <c r="I409" s="205" t="str">
        <f t="shared" si="7"/>
        <v/>
      </c>
      <c r="J409" s="205"/>
      <c r="K409" s="205"/>
    </row>
    <row r="410" ht="14.25" customHeight="1">
      <c r="A410" s="55">
        <v>46065.0</v>
      </c>
      <c r="B410" s="55" t="str">
        <f t="shared" si="10"/>
        <v>Primer dia</v>
      </c>
      <c r="C410" s="202">
        <f t="shared" si="1"/>
        <v>12</v>
      </c>
      <c r="D410" s="202" t="str">
        <f t="shared" si="2"/>
        <v> </v>
      </c>
      <c r="E410" s="202" t="str">
        <f t="shared" si="9"/>
        <v> </v>
      </c>
      <c r="F410" s="55" t="str">
        <f t="shared" si="4"/>
        <v/>
      </c>
      <c r="G410" s="202" t="str">
        <f t="shared" si="5"/>
        <v/>
      </c>
      <c r="H410" s="202" t="str">
        <f t="shared" si="11"/>
        <v> </v>
      </c>
      <c r="I410" s="205" t="str">
        <f t="shared" si="7"/>
        <v/>
      </c>
      <c r="J410" s="205"/>
      <c r="K410" s="205"/>
    </row>
    <row r="411" ht="14.25" customHeight="1">
      <c r="A411" s="55">
        <v>46066.0</v>
      </c>
      <c r="B411" s="55" t="str">
        <f t="shared" si="10"/>
        <v>Primer dia</v>
      </c>
      <c r="C411" s="202">
        <f t="shared" si="1"/>
        <v>13</v>
      </c>
      <c r="D411" s="202" t="str">
        <f t="shared" si="2"/>
        <v> </v>
      </c>
      <c r="E411" s="202" t="str">
        <f t="shared" si="9"/>
        <v> </v>
      </c>
      <c r="F411" s="55" t="str">
        <f t="shared" si="4"/>
        <v/>
      </c>
      <c r="G411" s="202" t="str">
        <f t="shared" si="5"/>
        <v/>
      </c>
      <c r="H411" s="202" t="str">
        <f t="shared" si="11"/>
        <v> </v>
      </c>
      <c r="I411" s="205" t="str">
        <f t="shared" si="7"/>
        <v/>
      </c>
      <c r="J411" s="205"/>
      <c r="K411" s="205"/>
    </row>
    <row r="412" ht="14.25" customHeight="1">
      <c r="A412" s="55">
        <v>46067.0</v>
      </c>
      <c r="B412" s="55" t="str">
        <f t="shared" si="10"/>
        <v>Primer dia</v>
      </c>
      <c r="C412" s="202">
        <f t="shared" si="1"/>
        <v>14</v>
      </c>
      <c r="D412" s="202" t="str">
        <f t="shared" si="2"/>
        <v> </v>
      </c>
      <c r="E412" s="202" t="str">
        <f t="shared" si="9"/>
        <v> </v>
      </c>
      <c r="F412" s="55" t="str">
        <f t="shared" si="4"/>
        <v/>
      </c>
      <c r="G412" s="202" t="str">
        <f t="shared" si="5"/>
        <v/>
      </c>
      <c r="H412" s="202" t="str">
        <f t="shared" si="11"/>
        <v> </v>
      </c>
      <c r="I412" s="205" t="str">
        <f t="shared" si="7"/>
        <v/>
      </c>
      <c r="J412" s="205"/>
      <c r="K412" s="205"/>
    </row>
    <row r="413" ht="14.25" customHeight="1">
      <c r="A413" s="55">
        <v>46068.0</v>
      </c>
      <c r="B413" s="55" t="str">
        <f t="shared" si="10"/>
        <v>Primer dia</v>
      </c>
      <c r="C413" s="202">
        <f t="shared" si="1"/>
        <v>15</v>
      </c>
      <c r="D413" s="202" t="str">
        <f t="shared" si="2"/>
        <v> </v>
      </c>
      <c r="E413" s="202" t="str">
        <f t="shared" si="9"/>
        <v> </v>
      </c>
      <c r="F413" s="55" t="str">
        <f t="shared" si="4"/>
        <v/>
      </c>
      <c r="G413" s="202" t="str">
        <f t="shared" si="5"/>
        <v/>
      </c>
      <c r="H413" s="202" t="str">
        <f t="shared" si="11"/>
        <v> </v>
      </c>
      <c r="I413" s="205" t="str">
        <f t="shared" si="7"/>
        <v/>
      </c>
      <c r="J413" s="205"/>
      <c r="K413" s="205"/>
    </row>
    <row r="414" ht="14.25" customHeight="1">
      <c r="A414" s="55">
        <v>46069.0</v>
      </c>
      <c r="B414" s="55" t="str">
        <f t="shared" si="10"/>
        <v>Primer dia</v>
      </c>
      <c r="C414" s="202">
        <f t="shared" si="1"/>
        <v>16</v>
      </c>
      <c r="D414" s="202" t="str">
        <f t="shared" si="2"/>
        <v> </v>
      </c>
      <c r="E414" s="202" t="str">
        <f t="shared" si="9"/>
        <v> </v>
      </c>
      <c r="F414" s="55" t="str">
        <f t="shared" si="4"/>
        <v/>
      </c>
      <c r="G414" s="202" t="str">
        <f t="shared" si="5"/>
        <v/>
      </c>
      <c r="H414" s="202" t="str">
        <f t="shared" si="11"/>
        <v> </v>
      </c>
      <c r="I414" s="205" t="str">
        <f t="shared" si="7"/>
        <v/>
      </c>
      <c r="J414" s="205"/>
      <c r="K414" s="205"/>
    </row>
    <row r="415" ht="14.25" customHeight="1">
      <c r="A415" s="55">
        <v>46070.0</v>
      </c>
      <c r="B415" s="55" t="str">
        <f t="shared" si="10"/>
        <v>Primer dia</v>
      </c>
      <c r="C415" s="202">
        <f t="shared" si="1"/>
        <v>17</v>
      </c>
      <c r="D415" s="202" t="str">
        <f t="shared" si="2"/>
        <v> </v>
      </c>
      <c r="E415" s="202">
        <f t="shared" si="9"/>
        <v>17</v>
      </c>
      <c r="F415" s="55">
        <f t="shared" si="4"/>
        <v>46070</v>
      </c>
      <c r="G415" s="202">
        <f t="shared" si="5"/>
        <v>2</v>
      </c>
      <c r="H415" s="202" t="str">
        <f t="shared" si="11"/>
        <v> </v>
      </c>
      <c r="I415" s="205" t="str">
        <f t="shared" si="7"/>
        <v/>
      </c>
      <c r="J415" s="205"/>
      <c r="K415" s="205"/>
    </row>
    <row r="416" ht="14.25" customHeight="1">
      <c r="A416" s="55">
        <v>46071.0</v>
      </c>
      <c r="B416" s="55" t="str">
        <f t="shared" si="10"/>
        <v>Primer dia</v>
      </c>
      <c r="C416" s="202">
        <f t="shared" si="1"/>
        <v>18</v>
      </c>
      <c r="D416" s="202" t="str">
        <f t="shared" si="2"/>
        <v> </v>
      </c>
      <c r="E416" s="202" t="str">
        <f t="shared" si="9"/>
        <v> </v>
      </c>
      <c r="F416" s="55" t="str">
        <f t="shared" si="4"/>
        <v/>
      </c>
      <c r="G416" s="202" t="str">
        <f t="shared" si="5"/>
        <v/>
      </c>
      <c r="H416" s="202" t="str">
        <f t="shared" si="11"/>
        <v> </v>
      </c>
      <c r="I416" s="205" t="str">
        <f t="shared" si="7"/>
        <v/>
      </c>
      <c r="J416" s="205"/>
      <c r="K416" s="205"/>
    </row>
    <row r="417" ht="14.25" customHeight="1">
      <c r="A417" s="55">
        <v>46072.0</v>
      </c>
      <c r="B417" s="55" t="str">
        <f t="shared" si="10"/>
        <v>Primer dia</v>
      </c>
      <c r="C417" s="202">
        <f t="shared" si="1"/>
        <v>19</v>
      </c>
      <c r="D417" s="202" t="str">
        <f t="shared" si="2"/>
        <v> </v>
      </c>
      <c r="E417" s="202" t="str">
        <f t="shared" si="9"/>
        <v> </v>
      </c>
      <c r="F417" s="55" t="str">
        <f t="shared" si="4"/>
        <v/>
      </c>
      <c r="G417" s="202" t="str">
        <f t="shared" si="5"/>
        <v/>
      </c>
      <c r="H417" s="202" t="str">
        <f t="shared" si="11"/>
        <v> </v>
      </c>
      <c r="I417" s="205" t="str">
        <f t="shared" si="7"/>
        <v/>
      </c>
      <c r="J417" s="205"/>
      <c r="K417" s="205"/>
    </row>
    <row r="418" ht="14.25" customHeight="1">
      <c r="A418" s="55">
        <v>46073.0</v>
      </c>
      <c r="B418" s="55" t="str">
        <f t="shared" si="10"/>
        <v>Primer dia</v>
      </c>
      <c r="C418" s="202">
        <f t="shared" si="1"/>
        <v>20</v>
      </c>
      <c r="D418" s="202" t="str">
        <f t="shared" si="2"/>
        <v> </v>
      </c>
      <c r="E418" s="202" t="str">
        <f t="shared" si="9"/>
        <v> </v>
      </c>
      <c r="F418" s="55" t="str">
        <f t="shared" si="4"/>
        <v/>
      </c>
      <c r="G418" s="202" t="str">
        <f t="shared" si="5"/>
        <v/>
      </c>
      <c r="H418" s="202" t="str">
        <f t="shared" si="11"/>
        <v> </v>
      </c>
      <c r="I418" s="205" t="str">
        <f t="shared" si="7"/>
        <v/>
      </c>
      <c r="J418" s="205"/>
      <c r="K418" s="205"/>
    </row>
    <row r="419" ht="14.25" customHeight="1">
      <c r="A419" s="55">
        <v>46074.0</v>
      </c>
      <c r="B419" s="55" t="str">
        <f t="shared" si="10"/>
        <v>Primer dia</v>
      </c>
      <c r="C419" s="202">
        <f t="shared" si="1"/>
        <v>21</v>
      </c>
      <c r="D419" s="202" t="str">
        <f t="shared" si="2"/>
        <v> </v>
      </c>
      <c r="E419" s="202" t="str">
        <f t="shared" si="9"/>
        <v> </v>
      </c>
      <c r="F419" s="55" t="str">
        <f t="shared" si="4"/>
        <v/>
      </c>
      <c r="G419" s="202" t="str">
        <f t="shared" si="5"/>
        <v/>
      </c>
      <c r="H419" s="202" t="str">
        <f t="shared" si="11"/>
        <v> </v>
      </c>
      <c r="I419" s="205" t="str">
        <f t="shared" si="7"/>
        <v/>
      </c>
      <c r="J419" s="205"/>
      <c r="K419" s="205"/>
    </row>
    <row r="420" ht="14.25" customHeight="1">
      <c r="A420" s="55">
        <v>46075.0</v>
      </c>
      <c r="B420" s="55" t="str">
        <f t="shared" si="10"/>
        <v>Primer dia</v>
      </c>
      <c r="C420" s="202">
        <f t="shared" si="1"/>
        <v>22</v>
      </c>
      <c r="D420" s="202" t="str">
        <f t="shared" si="2"/>
        <v> </v>
      </c>
      <c r="E420" s="202" t="str">
        <f t="shared" si="9"/>
        <v> </v>
      </c>
      <c r="F420" s="55" t="str">
        <f t="shared" si="4"/>
        <v/>
      </c>
      <c r="G420" s="202" t="str">
        <f t="shared" si="5"/>
        <v/>
      </c>
      <c r="H420" s="202" t="str">
        <f t="shared" si="11"/>
        <v> </v>
      </c>
      <c r="I420" s="205" t="str">
        <f t="shared" si="7"/>
        <v/>
      </c>
      <c r="J420" s="205"/>
      <c r="K420" s="205"/>
    </row>
    <row r="421" ht="14.25" customHeight="1">
      <c r="A421" s="55">
        <v>46076.0</v>
      </c>
      <c r="B421" s="55" t="str">
        <f t="shared" si="10"/>
        <v>Primer dia</v>
      </c>
      <c r="C421" s="202">
        <f t="shared" si="1"/>
        <v>23</v>
      </c>
      <c r="D421" s="202" t="str">
        <f t="shared" si="2"/>
        <v> </v>
      </c>
      <c r="E421" s="202" t="str">
        <f t="shared" si="9"/>
        <v> </v>
      </c>
      <c r="F421" s="55" t="str">
        <f t="shared" si="4"/>
        <v/>
      </c>
      <c r="G421" s="202" t="str">
        <f t="shared" si="5"/>
        <v/>
      </c>
      <c r="H421" s="202" t="str">
        <f t="shared" si="11"/>
        <v> </v>
      </c>
      <c r="I421" s="205" t="str">
        <f t="shared" si="7"/>
        <v/>
      </c>
      <c r="J421" s="205"/>
      <c r="K421" s="205"/>
    </row>
    <row r="422" ht="14.25" customHeight="1">
      <c r="A422" s="55">
        <v>46077.0</v>
      </c>
      <c r="B422" s="55" t="str">
        <f t="shared" si="10"/>
        <v>Primer dia</v>
      </c>
      <c r="C422" s="202">
        <f t="shared" si="1"/>
        <v>24</v>
      </c>
      <c r="D422" s="202" t="str">
        <f t="shared" si="2"/>
        <v> </v>
      </c>
      <c r="E422" s="202" t="str">
        <f t="shared" si="9"/>
        <v> </v>
      </c>
      <c r="F422" s="55" t="str">
        <f t="shared" si="4"/>
        <v/>
      </c>
      <c r="G422" s="202" t="str">
        <f t="shared" si="5"/>
        <v/>
      </c>
      <c r="H422" s="202" t="str">
        <f t="shared" si="11"/>
        <v> </v>
      </c>
      <c r="I422" s="205" t="str">
        <f t="shared" si="7"/>
        <v/>
      </c>
      <c r="J422" s="205"/>
      <c r="K422" s="205"/>
    </row>
    <row r="423" ht="14.25" customHeight="1">
      <c r="A423" s="55">
        <v>46078.0</v>
      </c>
      <c r="B423" s="55" t="str">
        <f t="shared" si="10"/>
        <v>Primer dia</v>
      </c>
      <c r="C423" s="202">
        <f t="shared" si="1"/>
        <v>25</v>
      </c>
      <c r="D423" s="202" t="str">
        <f t="shared" si="2"/>
        <v> </v>
      </c>
      <c r="E423" s="202" t="str">
        <f t="shared" si="9"/>
        <v> </v>
      </c>
      <c r="F423" s="55" t="str">
        <f t="shared" si="4"/>
        <v/>
      </c>
      <c r="G423" s="202" t="str">
        <f t="shared" si="5"/>
        <v/>
      </c>
      <c r="H423" s="202" t="str">
        <f t="shared" si="11"/>
        <v> </v>
      </c>
      <c r="I423" s="205" t="str">
        <f t="shared" si="7"/>
        <v/>
      </c>
      <c r="J423" s="205"/>
      <c r="K423" s="205"/>
    </row>
    <row r="424" ht="14.25" customHeight="1">
      <c r="A424" s="55">
        <v>46079.0</v>
      </c>
      <c r="B424" s="55" t="str">
        <f t="shared" si="10"/>
        <v>Primer dia</v>
      </c>
      <c r="C424" s="202">
        <f t="shared" si="1"/>
        <v>26</v>
      </c>
      <c r="D424" s="202" t="str">
        <f t="shared" si="2"/>
        <v> </v>
      </c>
      <c r="E424" s="202" t="str">
        <f t="shared" si="9"/>
        <v> </v>
      </c>
      <c r="F424" s="55" t="str">
        <f t="shared" si="4"/>
        <v/>
      </c>
      <c r="G424" s="202" t="str">
        <f t="shared" si="5"/>
        <v/>
      </c>
      <c r="H424" s="202" t="str">
        <f t="shared" si="11"/>
        <v> </v>
      </c>
      <c r="I424" s="205" t="str">
        <f t="shared" si="7"/>
        <v/>
      </c>
      <c r="J424" s="205"/>
      <c r="K424" s="205"/>
    </row>
    <row r="425" ht="14.25" customHeight="1">
      <c r="A425" s="55">
        <v>46080.0</v>
      </c>
      <c r="B425" s="55" t="str">
        <f t="shared" si="10"/>
        <v>Primer dia</v>
      </c>
      <c r="C425" s="202">
        <f t="shared" si="1"/>
        <v>27</v>
      </c>
      <c r="D425" s="202" t="str">
        <f t="shared" si="2"/>
        <v> </v>
      </c>
      <c r="E425" s="202" t="str">
        <f t="shared" si="9"/>
        <v> </v>
      </c>
      <c r="F425" s="55" t="str">
        <f t="shared" si="4"/>
        <v/>
      </c>
      <c r="G425" s="202" t="str">
        <f t="shared" si="5"/>
        <v/>
      </c>
      <c r="H425" s="202" t="str">
        <f t="shared" si="11"/>
        <v> </v>
      </c>
      <c r="I425" s="205" t="str">
        <f t="shared" si="7"/>
        <v/>
      </c>
      <c r="J425" s="205"/>
      <c r="K425" s="205"/>
    </row>
    <row r="426" ht="14.25" customHeight="1">
      <c r="A426" s="55">
        <v>46081.0</v>
      </c>
      <c r="B426" s="55" t="str">
        <f t="shared" si="10"/>
        <v>Primer dia</v>
      </c>
      <c r="C426" s="202">
        <f t="shared" si="1"/>
        <v>28</v>
      </c>
      <c r="D426" s="202" t="str">
        <f t="shared" si="2"/>
        <v> </v>
      </c>
      <c r="E426" s="202" t="str">
        <f t="shared" si="9"/>
        <v> </v>
      </c>
      <c r="F426" s="55" t="str">
        <f t="shared" si="4"/>
        <v/>
      </c>
      <c r="G426" s="202" t="str">
        <f t="shared" si="5"/>
        <v/>
      </c>
      <c r="H426" s="202" t="str">
        <f t="shared" si="11"/>
        <v> </v>
      </c>
      <c r="I426" s="205" t="str">
        <f t="shared" si="7"/>
        <v/>
      </c>
      <c r="J426" s="205"/>
      <c r="K426" s="205"/>
    </row>
    <row r="427" ht="14.25" customHeight="1">
      <c r="A427" s="55">
        <v>46082.0</v>
      </c>
      <c r="B427" s="55" t="str">
        <f t="shared" si="10"/>
        <v>Primer dia</v>
      </c>
      <c r="C427" s="202">
        <f t="shared" si="1"/>
        <v>1</v>
      </c>
      <c r="D427" s="202" t="str">
        <f t="shared" si="2"/>
        <v> </v>
      </c>
      <c r="E427" s="202" t="str">
        <f t="shared" si="9"/>
        <v> </v>
      </c>
      <c r="F427" s="55" t="str">
        <f t="shared" si="4"/>
        <v/>
      </c>
      <c r="G427" s="202" t="str">
        <f t="shared" si="5"/>
        <v/>
      </c>
      <c r="H427" s="202" t="str">
        <f t="shared" si="11"/>
        <v> </v>
      </c>
      <c r="I427" s="205" t="str">
        <f t="shared" si="7"/>
        <v/>
      </c>
      <c r="J427" s="205"/>
      <c r="K427" s="205"/>
    </row>
    <row r="428" ht="14.25" customHeight="1">
      <c r="A428" s="55">
        <v>46083.0</v>
      </c>
      <c r="B428" s="55" t="str">
        <f t="shared" si="10"/>
        <v>Primer dia</v>
      </c>
      <c r="C428" s="202">
        <f t="shared" si="1"/>
        <v>2</v>
      </c>
      <c r="D428" s="202" t="str">
        <f t="shared" si="2"/>
        <v> </v>
      </c>
      <c r="E428" s="202">
        <f t="shared" si="9"/>
        <v>2</v>
      </c>
      <c r="F428" s="55">
        <f t="shared" si="4"/>
        <v>46083</v>
      </c>
      <c r="G428" s="202">
        <f t="shared" si="5"/>
        <v>3</v>
      </c>
      <c r="H428" s="202" t="str">
        <f t="shared" si="11"/>
        <v> </v>
      </c>
      <c r="I428" s="205" t="str">
        <f t="shared" si="7"/>
        <v/>
      </c>
      <c r="J428" s="205"/>
      <c r="K428" s="205"/>
    </row>
    <row r="429" ht="14.25" customHeight="1">
      <c r="A429" s="55">
        <v>46084.0</v>
      </c>
      <c r="B429" s="55" t="str">
        <f t="shared" si="10"/>
        <v>Primer dia</v>
      </c>
      <c r="C429" s="202">
        <f t="shared" si="1"/>
        <v>3</v>
      </c>
      <c r="D429" s="202" t="str">
        <f t="shared" si="2"/>
        <v> </v>
      </c>
      <c r="E429" s="202" t="str">
        <f t="shared" si="9"/>
        <v> </v>
      </c>
      <c r="F429" s="55" t="str">
        <f t="shared" si="4"/>
        <v/>
      </c>
      <c r="G429" s="202" t="str">
        <f t="shared" si="5"/>
        <v/>
      </c>
      <c r="H429" s="202" t="str">
        <f t="shared" si="11"/>
        <v> </v>
      </c>
      <c r="I429" s="205" t="str">
        <f t="shared" si="7"/>
        <v/>
      </c>
      <c r="J429" s="205"/>
      <c r="K429" s="205"/>
    </row>
    <row r="430" ht="14.25" customHeight="1">
      <c r="A430" s="55">
        <v>46085.0</v>
      </c>
      <c r="B430" s="55" t="str">
        <f t="shared" si="10"/>
        <v>Primer dia</v>
      </c>
      <c r="C430" s="202">
        <f t="shared" si="1"/>
        <v>4</v>
      </c>
      <c r="D430" s="202" t="str">
        <f t="shared" si="2"/>
        <v> </v>
      </c>
      <c r="E430" s="202" t="str">
        <f t="shared" si="9"/>
        <v> </v>
      </c>
      <c r="F430" s="55" t="str">
        <f t="shared" si="4"/>
        <v/>
      </c>
      <c r="G430" s="202" t="str">
        <f t="shared" si="5"/>
        <v/>
      </c>
      <c r="H430" s="202" t="str">
        <f t="shared" si="11"/>
        <v> </v>
      </c>
      <c r="I430" s="205" t="str">
        <f t="shared" si="7"/>
        <v/>
      </c>
      <c r="J430" s="205"/>
      <c r="K430" s="205"/>
    </row>
    <row r="431" ht="14.25" customHeight="1">
      <c r="A431" s="55">
        <v>46086.0</v>
      </c>
      <c r="B431" s="55" t="str">
        <f t="shared" si="10"/>
        <v>Primer dia</v>
      </c>
      <c r="C431" s="202">
        <f t="shared" si="1"/>
        <v>5</v>
      </c>
      <c r="D431" s="202" t="str">
        <f t="shared" si="2"/>
        <v> </v>
      </c>
      <c r="E431" s="202" t="str">
        <f t="shared" si="9"/>
        <v> </v>
      </c>
      <c r="F431" s="55" t="str">
        <f t="shared" si="4"/>
        <v/>
      </c>
      <c r="G431" s="202" t="str">
        <f t="shared" si="5"/>
        <v/>
      </c>
      <c r="H431" s="202" t="str">
        <f t="shared" si="11"/>
        <v> </v>
      </c>
      <c r="I431" s="205" t="str">
        <f t="shared" si="7"/>
        <v/>
      </c>
      <c r="J431" s="205"/>
      <c r="K431" s="205"/>
    </row>
    <row r="432" ht="14.25" customHeight="1">
      <c r="A432" s="55">
        <v>46087.0</v>
      </c>
      <c r="B432" s="55" t="str">
        <f t="shared" si="10"/>
        <v>Primer dia</v>
      </c>
      <c r="C432" s="202">
        <f t="shared" si="1"/>
        <v>6</v>
      </c>
      <c r="D432" s="202" t="str">
        <f t="shared" si="2"/>
        <v> </v>
      </c>
      <c r="E432" s="202" t="str">
        <f t="shared" si="9"/>
        <v> </v>
      </c>
      <c r="F432" s="55" t="str">
        <f t="shared" si="4"/>
        <v/>
      </c>
      <c r="G432" s="202" t="str">
        <f t="shared" si="5"/>
        <v/>
      </c>
      <c r="H432" s="202" t="str">
        <f t="shared" si="11"/>
        <v> </v>
      </c>
      <c r="I432" s="205" t="str">
        <f t="shared" si="7"/>
        <v/>
      </c>
      <c r="J432" s="205"/>
      <c r="K432" s="205"/>
    </row>
    <row r="433" ht="14.25" customHeight="1">
      <c r="A433" s="55">
        <v>46088.0</v>
      </c>
      <c r="B433" s="55" t="str">
        <f t="shared" si="10"/>
        <v>Primer dia</v>
      </c>
      <c r="C433" s="202">
        <f t="shared" si="1"/>
        <v>7</v>
      </c>
      <c r="D433" s="202" t="str">
        <f t="shared" si="2"/>
        <v> </v>
      </c>
      <c r="E433" s="202" t="str">
        <f t="shared" si="9"/>
        <v> </v>
      </c>
      <c r="F433" s="55" t="str">
        <f t="shared" si="4"/>
        <v/>
      </c>
      <c r="G433" s="202" t="str">
        <f t="shared" si="5"/>
        <v/>
      </c>
      <c r="H433" s="202" t="str">
        <f t="shared" si="11"/>
        <v> </v>
      </c>
      <c r="I433" s="205" t="str">
        <f t="shared" si="7"/>
        <v/>
      </c>
      <c r="J433" s="205"/>
      <c r="K433" s="205"/>
    </row>
    <row r="434" ht="14.25" customHeight="1">
      <c r="A434" s="55">
        <v>46089.0</v>
      </c>
      <c r="B434" s="55" t="str">
        <f t="shared" si="10"/>
        <v>Primer dia</v>
      </c>
      <c r="C434" s="202">
        <f t="shared" si="1"/>
        <v>8</v>
      </c>
      <c r="D434" s="202" t="str">
        <f t="shared" si="2"/>
        <v> </v>
      </c>
      <c r="E434" s="202" t="str">
        <f t="shared" si="9"/>
        <v> </v>
      </c>
      <c r="F434" s="55" t="str">
        <f t="shared" si="4"/>
        <v/>
      </c>
      <c r="G434" s="202" t="str">
        <f t="shared" si="5"/>
        <v/>
      </c>
      <c r="H434" s="202" t="str">
        <f t="shared" si="11"/>
        <v> </v>
      </c>
      <c r="I434" s="205" t="str">
        <f t="shared" si="7"/>
        <v/>
      </c>
      <c r="J434" s="205"/>
      <c r="K434" s="205"/>
    </row>
    <row r="435" ht="14.25" customHeight="1">
      <c r="A435" s="55">
        <v>46090.0</v>
      </c>
      <c r="B435" s="55" t="str">
        <f t="shared" si="10"/>
        <v>Primer dia</v>
      </c>
      <c r="C435" s="202">
        <f t="shared" si="1"/>
        <v>9</v>
      </c>
      <c r="D435" s="202" t="str">
        <f t="shared" si="2"/>
        <v> </v>
      </c>
      <c r="E435" s="202" t="str">
        <f t="shared" si="9"/>
        <v> </v>
      </c>
      <c r="F435" s="55" t="str">
        <f t="shared" si="4"/>
        <v/>
      </c>
      <c r="G435" s="202" t="str">
        <f t="shared" si="5"/>
        <v/>
      </c>
      <c r="H435" s="202" t="str">
        <f t="shared" si="11"/>
        <v> </v>
      </c>
      <c r="I435" s="205" t="str">
        <f t="shared" si="7"/>
        <v/>
      </c>
      <c r="J435" s="205"/>
      <c r="K435" s="205"/>
    </row>
    <row r="436" ht="14.25" customHeight="1">
      <c r="A436" s="55">
        <v>46091.0</v>
      </c>
      <c r="B436" s="55" t="str">
        <f t="shared" si="10"/>
        <v>Primer dia</v>
      </c>
      <c r="C436" s="202">
        <f t="shared" si="1"/>
        <v>10</v>
      </c>
      <c r="D436" s="202" t="str">
        <f t="shared" si="2"/>
        <v> </v>
      </c>
      <c r="E436" s="202" t="str">
        <f t="shared" si="9"/>
        <v> </v>
      </c>
      <c r="F436" s="55" t="str">
        <f t="shared" si="4"/>
        <v/>
      </c>
      <c r="G436" s="202" t="str">
        <f t="shared" si="5"/>
        <v/>
      </c>
      <c r="H436" s="202" t="str">
        <f t="shared" si="11"/>
        <v> </v>
      </c>
      <c r="I436" s="205" t="str">
        <f t="shared" si="7"/>
        <v/>
      </c>
      <c r="J436" s="205"/>
      <c r="K436" s="205"/>
    </row>
    <row r="437" ht="14.25" customHeight="1">
      <c r="A437" s="55">
        <v>46092.0</v>
      </c>
      <c r="B437" s="55" t="str">
        <f t="shared" si="10"/>
        <v>Primer dia</v>
      </c>
      <c r="C437" s="202">
        <f t="shared" si="1"/>
        <v>11</v>
      </c>
      <c r="D437" s="202" t="str">
        <f t="shared" si="2"/>
        <v> </v>
      </c>
      <c r="E437" s="202" t="str">
        <f t="shared" si="9"/>
        <v> </v>
      </c>
      <c r="F437" s="55" t="str">
        <f t="shared" si="4"/>
        <v/>
      </c>
      <c r="G437" s="202" t="str">
        <f t="shared" si="5"/>
        <v/>
      </c>
      <c r="H437" s="202" t="str">
        <f t="shared" si="11"/>
        <v> </v>
      </c>
      <c r="I437" s="205" t="str">
        <f t="shared" si="7"/>
        <v/>
      </c>
      <c r="J437" s="205"/>
      <c r="K437" s="205"/>
    </row>
    <row r="438" ht="14.25" customHeight="1">
      <c r="A438" s="55">
        <v>46093.0</v>
      </c>
      <c r="B438" s="55" t="str">
        <f t="shared" si="10"/>
        <v>Primer dia</v>
      </c>
      <c r="C438" s="202">
        <f t="shared" si="1"/>
        <v>12</v>
      </c>
      <c r="D438" s="202" t="str">
        <f t="shared" si="2"/>
        <v> </v>
      </c>
      <c r="E438" s="202" t="str">
        <f t="shared" si="9"/>
        <v> </v>
      </c>
      <c r="F438" s="55" t="str">
        <f t="shared" si="4"/>
        <v/>
      </c>
      <c r="G438" s="202" t="str">
        <f t="shared" si="5"/>
        <v/>
      </c>
      <c r="H438" s="202" t="str">
        <f t="shared" si="11"/>
        <v> </v>
      </c>
      <c r="I438" s="205" t="str">
        <f t="shared" si="7"/>
        <v/>
      </c>
      <c r="J438" s="205"/>
      <c r="K438" s="205"/>
    </row>
    <row r="439" ht="14.25" customHeight="1">
      <c r="A439" s="55">
        <v>46094.0</v>
      </c>
      <c r="B439" s="55" t="str">
        <f t="shared" si="10"/>
        <v>Primer dia</v>
      </c>
      <c r="C439" s="202">
        <f t="shared" si="1"/>
        <v>13</v>
      </c>
      <c r="D439" s="202" t="str">
        <f t="shared" si="2"/>
        <v> </v>
      </c>
      <c r="E439" s="202" t="str">
        <f t="shared" si="9"/>
        <v> </v>
      </c>
      <c r="F439" s="55" t="str">
        <f t="shared" si="4"/>
        <v/>
      </c>
      <c r="G439" s="202" t="str">
        <f t="shared" si="5"/>
        <v/>
      </c>
      <c r="H439" s="202" t="str">
        <f t="shared" si="11"/>
        <v> </v>
      </c>
      <c r="I439" s="205" t="str">
        <f t="shared" si="7"/>
        <v/>
      </c>
      <c r="J439" s="205"/>
      <c r="K439" s="205"/>
    </row>
    <row r="440" ht="14.25" customHeight="1">
      <c r="A440" s="55">
        <v>46095.0</v>
      </c>
      <c r="B440" s="55" t="str">
        <f t="shared" si="10"/>
        <v>Primer dia</v>
      </c>
      <c r="C440" s="202">
        <f t="shared" si="1"/>
        <v>14</v>
      </c>
      <c r="D440" s="202" t="str">
        <f t="shared" si="2"/>
        <v> </v>
      </c>
      <c r="E440" s="202" t="str">
        <f t="shared" si="9"/>
        <v> </v>
      </c>
      <c r="F440" s="55" t="str">
        <f t="shared" si="4"/>
        <v/>
      </c>
      <c r="G440" s="202" t="str">
        <f t="shared" si="5"/>
        <v/>
      </c>
      <c r="H440" s="202" t="str">
        <f t="shared" si="11"/>
        <v> </v>
      </c>
      <c r="I440" s="205" t="str">
        <f t="shared" si="7"/>
        <v/>
      </c>
      <c r="J440" s="205"/>
      <c r="K440" s="205"/>
    </row>
    <row r="441" ht="14.25" customHeight="1">
      <c r="A441" s="55">
        <v>46096.0</v>
      </c>
      <c r="B441" s="55" t="str">
        <f t="shared" si="10"/>
        <v>Primer dia</v>
      </c>
      <c r="C441" s="202">
        <f t="shared" si="1"/>
        <v>15</v>
      </c>
      <c r="D441" s="202" t="str">
        <f t="shared" si="2"/>
        <v> </v>
      </c>
      <c r="E441" s="202" t="str">
        <f t="shared" si="9"/>
        <v> </v>
      </c>
      <c r="F441" s="55" t="str">
        <f t="shared" si="4"/>
        <v/>
      </c>
      <c r="G441" s="202" t="str">
        <f t="shared" si="5"/>
        <v/>
      </c>
      <c r="H441" s="202" t="str">
        <f t="shared" si="11"/>
        <v> </v>
      </c>
      <c r="I441" s="205" t="str">
        <f t="shared" si="7"/>
        <v/>
      </c>
      <c r="J441" s="205"/>
      <c r="K441" s="205"/>
    </row>
    <row r="442" ht="14.25" customHeight="1">
      <c r="A442" s="55">
        <v>46097.0</v>
      </c>
      <c r="B442" s="55" t="str">
        <f t="shared" si="10"/>
        <v>Primer dia</v>
      </c>
      <c r="C442" s="202">
        <f t="shared" si="1"/>
        <v>16</v>
      </c>
      <c r="D442" s="202" t="str">
        <f t="shared" si="2"/>
        <v> </v>
      </c>
      <c r="E442" s="202" t="str">
        <f t="shared" si="9"/>
        <v> </v>
      </c>
      <c r="F442" s="55" t="str">
        <f t="shared" si="4"/>
        <v/>
      </c>
      <c r="G442" s="202" t="str">
        <f t="shared" si="5"/>
        <v/>
      </c>
      <c r="H442" s="202" t="str">
        <f t="shared" si="11"/>
        <v> </v>
      </c>
      <c r="I442" s="205" t="str">
        <f t="shared" si="7"/>
        <v/>
      </c>
      <c r="J442" s="205"/>
      <c r="K442" s="205"/>
    </row>
    <row r="443" ht="14.25" customHeight="1">
      <c r="A443" s="55">
        <v>46098.0</v>
      </c>
      <c r="B443" s="55" t="str">
        <f t="shared" si="10"/>
        <v>Primer dia</v>
      </c>
      <c r="C443" s="202">
        <f t="shared" si="1"/>
        <v>17</v>
      </c>
      <c r="D443" s="202" t="str">
        <f t="shared" si="2"/>
        <v> </v>
      </c>
      <c r="E443" s="202">
        <f t="shared" si="9"/>
        <v>17</v>
      </c>
      <c r="F443" s="55">
        <f t="shared" si="4"/>
        <v>46098</v>
      </c>
      <c r="G443" s="202">
        <f t="shared" si="5"/>
        <v>4</v>
      </c>
      <c r="H443" s="202" t="str">
        <f t="shared" si="11"/>
        <v> </v>
      </c>
      <c r="I443" s="205" t="str">
        <f t="shared" si="7"/>
        <v/>
      </c>
      <c r="J443" s="205"/>
      <c r="K443" s="205"/>
    </row>
    <row r="444" ht="14.25" customHeight="1">
      <c r="A444" s="55">
        <v>46099.0</v>
      </c>
      <c r="B444" s="55" t="str">
        <f t="shared" si="10"/>
        <v>Primer dia</v>
      </c>
      <c r="C444" s="202">
        <f t="shared" si="1"/>
        <v>18</v>
      </c>
      <c r="D444" s="202" t="str">
        <f t="shared" si="2"/>
        <v> </v>
      </c>
      <c r="E444" s="202" t="str">
        <f t="shared" si="9"/>
        <v> </v>
      </c>
      <c r="F444" s="55" t="str">
        <f t="shared" si="4"/>
        <v/>
      </c>
      <c r="G444" s="202" t="str">
        <f t="shared" si="5"/>
        <v/>
      </c>
      <c r="H444" s="202" t="str">
        <f t="shared" si="11"/>
        <v> </v>
      </c>
      <c r="I444" s="205" t="str">
        <f t="shared" si="7"/>
        <v/>
      </c>
      <c r="J444" s="205"/>
      <c r="K444" s="205"/>
    </row>
    <row r="445" ht="14.25" customHeight="1">
      <c r="A445" s="55">
        <v>46100.0</v>
      </c>
      <c r="B445" s="55" t="str">
        <f t="shared" si="10"/>
        <v>Primer dia</v>
      </c>
      <c r="C445" s="202">
        <f t="shared" si="1"/>
        <v>19</v>
      </c>
      <c r="D445" s="202" t="str">
        <f t="shared" si="2"/>
        <v> </v>
      </c>
      <c r="E445" s="202" t="str">
        <f t="shared" si="9"/>
        <v> </v>
      </c>
      <c r="F445" s="55" t="str">
        <f t="shared" si="4"/>
        <v/>
      </c>
      <c r="G445" s="202" t="str">
        <f t="shared" si="5"/>
        <v/>
      </c>
      <c r="H445" s="202" t="str">
        <f t="shared" si="11"/>
        <v> </v>
      </c>
      <c r="I445" s="205" t="str">
        <f t="shared" si="7"/>
        <v/>
      </c>
      <c r="J445" s="205"/>
      <c r="K445" s="205"/>
    </row>
    <row r="446" ht="14.25" customHeight="1">
      <c r="A446" s="55">
        <v>46101.0</v>
      </c>
      <c r="B446" s="55" t="str">
        <f t="shared" si="10"/>
        <v>Primer dia</v>
      </c>
      <c r="C446" s="202">
        <f t="shared" si="1"/>
        <v>20</v>
      </c>
      <c r="D446" s="202" t="str">
        <f t="shared" si="2"/>
        <v> </v>
      </c>
      <c r="E446" s="202" t="str">
        <f t="shared" si="9"/>
        <v> </v>
      </c>
      <c r="F446" s="55" t="str">
        <f t="shared" si="4"/>
        <v/>
      </c>
      <c r="G446" s="202" t="str">
        <f t="shared" si="5"/>
        <v/>
      </c>
      <c r="H446" s="202" t="str">
        <f t="shared" si="11"/>
        <v> </v>
      </c>
      <c r="I446" s="205" t="str">
        <f t="shared" si="7"/>
        <v/>
      </c>
      <c r="J446" s="205"/>
      <c r="K446" s="205"/>
    </row>
    <row r="447" ht="14.25" customHeight="1">
      <c r="A447" s="55">
        <v>46102.0</v>
      </c>
      <c r="B447" s="55" t="str">
        <f t="shared" si="10"/>
        <v>Primer dia</v>
      </c>
      <c r="C447" s="202">
        <f t="shared" si="1"/>
        <v>21</v>
      </c>
      <c r="D447" s="202" t="str">
        <f t="shared" si="2"/>
        <v> </v>
      </c>
      <c r="E447" s="202" t="str">
        <f t="shared" si="9"/>
        <v> </v>
      </c>
      <c r="F447" s="55" t="str">
        <f t="shared" si="4"/>
        <v/>
      </c>
      <c r="G447" s="202" t="str">
        <f t="shared" si="5"/>
        <v/>
      </c>
      <c r="H447" s="202" t="str">
        <f t="shared" si="11"/>
        <v> </v>
      </c>
      <c r="I447" s="205" t="str">
        <f t="shared" si="7"/>
        <v/>
      </c>
      <c r="J447" s="205"/>
      <c r="K447" s="205"/>
    </row>
    <row r="448" ht="14.25" customHeight="1">
      <c r="A448" s="55">
        <v>46103.0</v>
      </c>
      <c r="B448" s="55" t="str">
        <f t="shared" si="10"/>
        <v>Primer dia</v>
      </c>
      <c r="C448" s="202">
        <f t="shared" si="1"/>
        <v>22</v>
      </c>
      <c r="D448" s="202" t="str">
        <f t="shared" si="2"/>
        <v> </v>
      </c>
      <c r="E448" s="202" t="str">
        <f t="shared" si="9"/>
        <v> </v>
      </c>
      <c r="F448" s="55" t="str">
        <f t="shared" si="4"/>
        <v/>
      </c>
      <c r="G448" s="202" t="str">
        <f t="shared" si="5"/>
        <v/>
      </c>
      <c r="H448" s="202" t="str">
        <f t="shared" si="11"/>
        <v> </v>
      </c>
      <c r="I448" s="205" t="str">
        <f t="shared" si="7"/>
        <v/>
      </c>
      <c r="J448" s="205"/>
      <c r="K448" s="205"/>
    </row>
    <row r="449" ht="14.25" customHeight="1">
      <c r="A449" s="55">
        <v>46104.0</v>
      </c>
      <c r="B449" s="55" t="str">
        <f t="shared" si="10"/>
        <v>Primer dia</v>
      </c>
      <c r="C449" s="202">
        <f t="shared" si="1"/>
        <v>23</v>
      </c>
      <c r="D449" s="202" t="str">
        <f t="shared" si="2"/>
        <v> </v>
      </c>
      <c r="E449" s="202" t="str">
        <f t="shared" si="9"/>
        <v> </v>
      </c>
      <c r="F449" s="55" t="str">
        <f t="shared" si="4"/>
        <v/>
      </c>
      <c r="G449" s="202" t="str">
        <f t="shared" si="5"/>
        <v/>
      </c>
      <c r="H449" s="202" t="str">
        <f t="shared" si="11"/>
        <v> </v>
      </c>
      <c r="I449" s="205" t="str">
        <f t="shared" si="7"/>
        <v/>
      </c>
      <c r="J449" s="205"/>
      <c r="K449" s="205"/>
    </row>
    <row r="450" ht="14.25" customHeight="1">
      <c r="A450" s="55">
        <v>46105.0</v>
      </c>
      <c r="B450" s="55" t="str">
        <f t="shared" si="10"/>
        <v>Primer dia</v>
      </c>
      <c r="C450" s="202">
        <f t="shared" si="1"/>
        <v>24</v>
      </c>
      <c r="D450" s="202" t="str">
        <f t="shared" si="2"/>
        <v> </v>
      </c>
      <c r="E450" s="202" t="str">
        <f t="shared" si="9"/>
        <v> </v>
      </c>
      <c r="F450" s="55" t="str">
        <f t="shared" si="4"/>
        <v/>
      </c>
      <c r="G450" s="202" t="str">
        <f t="shared" si="5"/>
        <v/>
      </c>
      <c r="H450" s="202" t="str">
        <f t="shared" si="11"/>
        <v> </v>
      </c>
      <c r="I450" s="205" t="str">
        <f t="shared" si="7"/>
        <v/>
      </c>
      <c r="J450" s="205"/>
      <c r="K450" s="205"/>
    </row>
    <row r="451" ht="14.25" customHeight="1">
      <c r="A451" s="55">
        <v>46106.0</v>
      </c>
      <c r="B451" s="55" t="str">
        <f t="shared" si="10"/>
        <v>Primer dia</v>
      </c>
      <c r="C451" s="202">
        <f t="shared" si="1"/>
        <v>25</v>
      </c>
      <c r="D451" s="202" t="str">
        <f t="shared" si="2"/>
        <v> </v>
      </c>
      <c r="E451" s="202" t="str">
        <f t="shared" si="9"/>
        <v> </v>
      </c>
      <c r="F451" s="55" t="str">
        <f t="shared" si="4"/>
        <v/>
      </c>
      <c r="G451" s="202" t="str">
        <f t="shared" si="5"/>
        <v/>
      </c>
      <c r="H451" s="202" t="str">
        <f t="shared" si="11"/>
        <v> </v>
      </c>
      <c r="I451" s="205" t="str">
        <f t="shared" si="7"/>
        <v/>
      </c>
      <c r="J451" s="205"/>
      <c r="K451" s="205"/>
    </row>
    <row r="452" ht="14.25" customHeight="1">
      <c r="A452" s="55">
        <v>46107.0</v>
      </c>
      <c r="B452" s="55" t="str">
        <f t="shared" si="10"/>
        <v>Primer dia</v>
      </c>
      <c r="C452" s="202">
        <f t="shared" si="1"/>
        <v>26</v>
      </c>
      <c r="D452" s="202" t="str">
        <f t="shared" si="2"/>
        <v> </v>
      </c>
      <c r="E452" s="202" t="str">
        <f t="shared" si="9"/>
        <v> </v>
      </c>
      <c r="F452" s="55" t="str">
        <f t="shared" si="4"/>
        <v/>
      </c>
      <c r="G452" s="202" t="str">
        <f t="shared" si="5"/>
        <v/>
      </c>
      <c r="H452" s="202" t="str">
        <f t="shared" si="11"/>
        <v> </v>
      </c>
      <c r="I452" s="205" t="str">
        <f t="shared" si="7"/>
        <v/>
      </c>
      <c r="J452" s="205"/>
      <c r="K452" s="205"/>
    </row>
    <row r="453" ht="14.25" customHeight="1">
      <c r="A453" s="55">
        <v>46108.0</v>
      </c>
      <c r="B453" s="55" t="str">
        <f t="shared" si="10"/>
        <v>Primer dia</v>
      </c>
      <c r="C453" s="202">
        <f t="shared" si="1"/>
        <v>27</v>
      </c>
      <c r="D453" s="202" t="str">
        <f t="shared" si="2"/>
        <v> </v>
      </c>
      <c r="E453" s="202" t="str">
        <f t="shared" si="9"/>
        <v> </v>
      </c>
      <c r="F453" s="55" t="str">
        <f t="shared" si="4"/>
        <v/>
      </c>
      <c r="G453" s="202" t="str">
        <f t="shared" si="5"/>
        <v/>
      </c>
      <c r="H453" s="202" t="str">
        <f t="shared" si="11"/>
        <v> </v>
      </c>
      <c r="I453" s="205" t="str">
        <f t="shared" si="7"/>
        <v/>
      </c>
      <c r="J453" s="205"/>
      <c r="K453" s="205"/>
    </row>
    <row r="454" ht="14.25" customHeight="1">
      <c r="A454" s="55">
        <v>46109.0</v>
      </c>
      <c r="B454" s="55" t="str">
        <f t="shared" si="10"/>
        <v>Primer dia</v>
      </c>
      <c r="C454" s="202">
        <f t="shared" si="1"/>
        <v>28</v>
      </c>
      <c r="D454" s="202" t="str">
        <f t="shared" si="2"/>
        <v> </v>
      </c>
      <c r="E454" s="202" t="str">
        <f t="shared" si="9"/>
        <v> </v>
      </c>
      <c r="F454" s="55" t="str">
        <f t="shared" si="4"/>
        <v/>
      </c>
      <c r="G454" s="202" t="str">
        <f t="shared" si="5"/>
        <v/>
      </c>
      <c r="H454" s="202" t="str">
        <f t="shared" si="11"/>
        <v> </v>
      </c>
      <c r="I454" s="205" t="str">
        <f t="shared" si="7"/>
        <v/>
      </c>
      <c r="J454" s="205"/>
      <c r="K454" s="205"/>
    </row>
    <row r="455" ht="14.25" customHeight="1">
      <c r="A455" s="55">
        <v>46110.0</v>
      </c>
      <c r="B455" s="55" t="str">
        <f t="shared" si="10"/>
        <v>Primer dia</v>
      </c>
      <c r="C455" s="202">
        <f t="shared" si="1"/>
        <v>29</v>
      </c>
      <c r="D455" s="202" t="str">
        <f t="shared" si="2"/>
        <v> </v>
      </c>
      <c r="E455" s="202" t="str">
        <f t="shared" si="9"/>
        <v> </v>
      </c>
      <c r="F455" s="55" t="str">
        <f t="shared" si="4"/>
        <v/>
      </c>
      <c r="G455" s="202" t="str">
        <f t="shared" si="5"/>
        <v/>
      </c>
      <c r="H455" s="202" t="str">
        <f t="shared" si="11"/>
        <v> </v>
      </c>
      <c r="I455" s="205" t="str">
        <f t="shared" si="7"/>
        <v/>
      </c>
      <c r="J455" s="205"/>
      <c r="K455" s="205"/>
    </row>
    <row r="456" ht="14.25" customHeight="1">
      <c r="A456" s="55">
        <v>46111.0</v>
      </c>
      <c r="B456" s="55" t="str">
        <f t="shared" si="10"/>
        <v>Primer dia</v>
      </c>
      <c r="C456" s="202">
        <f t="shared" si="1"/>
        <v>30</v>
      </c>
      <c r="D456" s="202" t="str">
        <f t="shared" si="2"/>
        <v> </v>
      </c>
      <c r="E456" s="202" t="str">
        <f t="shared" si="9"/>
        <v> </v>
      </c>
      <c r="F456" s="55" t="str">
        <f t="shared" si="4"/>
        <v/>
      </c>
      <c r="G456" s="202" t="str">
        <f t="shared" si="5"/>
        <v/>
      </c>
      <c r="H456" s="202" t="str">
        <f t="shared" si="11"/>
        <v> </v>
      </c>
      <c r="I456" s="205" t="str">
        <f t="shared" si="7"/>
        <v/>
      </c>
      <c r="J456" s="205"/>
      <c r="K456" s="205"/>
    </row>
    <row r="457" ht="14.25" customHeight="1">
      <c r="A457" s="55">
        <v>46112.0</v>
      </c>
      <c r="B457" s="55" t="str">
        <f t="shared" si="10"/>
        <v>Primer dia</v>
      </c>
      <c r="C457" s="202">
        <f t="shared" si="1"/>
        <v>31</v>
      </c>
      <c r="D457" s="202" t="str">
        <f t="shared" si="2"/>
        <v> </v>
      </c>
      <c r="E457" s="202" t="str">
        <f t="shared" si="9"/>
        <v> </v>
      </c>
      <c r="F457" s="55" t="str">
        <f t="shared" si="4"/>
        <v/>
      </c>
      <c r="G457" s="202" t="str">
        <f t="shared" si="5"/>
        <v/>
      </c>
      <c r="H457" s="202" t="str">
        <f t="shared" si="11"/>
        <v> </v>
      </c>
      <c r="I457" s="205" t="str">
        <f t="shared" si="7"/>
        <v/>
      </c>
      <c r="J457" s="205"/>
      <c r="K457" s="205"/>
    </row>
    <row r="458" ht="14.25" customHeight="1">
      <c r="A458" s="55">
        <v>46113.0</v>
      </c>
      <c r="B458" s="55" t="str">
        <f t="shared" si="10"/>
        <v>Primer dia</v>
      </c>
      <c r="C458" s="202">
        <f t="shared" si="1"/>
        <v>1</v>
      </c>
      <c r="D458" s="202" t="str">
        <f t="shared" si="2"/>
        <v> </v>
      </c>
      <c r="E458" s="202" t="str">
        <f t="shared" si="9"/>
        <v> </v>
      </c>
      <c r="F458" s="55" t="str">
        <f t="shared" si="4"/>
        <v/>
      </c>
      <c r="G458" s="202" t="str">
        <f t="shared" si="5"/>
        <v/>
      </c>
      <c r="H458" s="202" t="str">
        <f t="shared" si="11"/>
        <v> </v>
      </c>
      <c r="I458" s="205" t="str">
        <f t="shared" si="7"/>
        <v/>
      </c>
      <c r="J458" s="205"/>
      <c r="K458" s="205"/>
    </row>
    <row r="459" ht="14.25" customHeight="1">
      <c r="A459" s="55">
        <v>46114.0</v>
      </c>
      <c r="B459" s="55" t="str">
        <f t="shared" si="10"/>
        <v>Primer dia</v>
      </c>
      <c r="C459" s="202">
        <f t="shared" si="1"/>
        <v>2</v>
      </c>
      <c r="D459" s="202" t="str">
        <f t="shared" si="2"/>
        <v> </v>
      </c>
      <c r="E459" s="202">
        <f t="shared" si="9"/>
        <v>2</v>
      </c>
      <c r="F459" s="55">
        <f t="shared" si="4"/>
        <v>46114</v>
      </c>
      <c r="G459" s="202">
        <f t="shared" si="5"/>
        <v>5</v>
      </c>
      <c r="H459" s="202" t="str">
        <f t="shared" si="11"/>
        <v> </v>
      </c>
      <c r="I459" s="205" t="str">
        <f t="shared" si="7"/>
        <v/>
      </c>
      <c r="J459" s="205"/>
      <c r="K459" s="205"/>
    </row>
    <row r="460" ht="14.25" customHeight="1">
      <c r="A460" s="55">
        <v>46115.0</v>
      </c>
      <c r="B460" s="55" t="str">
        <f t="shared" si="10"/>
        <v>Primer dia</v>
      </c>
      <c r="C460" s="202">
        <f t="shared" si="1"/>
        <v>3</v>
      </c>
      <c r="D460" s="202" t="str">
        <f t="shared" si="2"/>
        <v> </v>
      </c>
      <c r="E460" s="202" t="str">
        <f t="shared" si="9"/>
        <v> </v>
      </c>
      <c r="F460" s="55" t="str">
        <f t="shared" si="4"/>
        <v/>
      </c>
      <c r="G460" s="202" t="str">
        <f t="shared" si="5"/>
        <v/>
      </c>
      <c r="H460" s="202" t="str">
        <f t="shared" si="11"/>
        <v> </v>
      </c>
      <c r="I460" s="205" t="str">
        <f t="shared" si="7"/>
        <v/>
      </c>
      <c r="J460" s="205"/>
      <c r="K460" s="205"/>
    </row>
    <row r="461" ht="14.25" customHeight="1">
      <c r="A461" s="55">
        <v>46116.0</v>
      </c>
      <c r="B461" s="55" t="str">
        <f t="shared" si="10"/>
        <v>Primer dia</v>
      </c>
      <c r="C461" s="202">
        <f t="shared" si="1"/>
        <v>4</v>
      </c>
      <c r="D461" s="202" t="str">
        <f t="shared" si="2"/>
        <v> </v>
      </c>
      <c r="E461" s="202" t="str">
        <f t="shared" si="9"/>
        <v> </v>
      </c>
      <c r="F461" s="55" t="str">
        <f t="shared" si="4"/>
        <v/>
      </c>
      <c r="G461" s="202" t="str">
        <f t="shared" si="5"/>
        <v/>
      </c>
      <c r="H461" s="202" t="str">
        <f t="shared" si="11"/>
        <v> </v>
      </c>
      <c r="I461" s="205" t="str">
        <f t="shared" si="7"/>
        <v/>
      </c>
      <c r="J461" s="205"/>
      <c r="K461" s="205"/>
    </row>
    <row r="462" ht="14.25" customHeight="1">
      <c r="A462" s="55">
        <v>46117.0</v>
      </c>
      <c r="B462" s="55" t="str">
        <f t="shared" si="10"/>
        <v>Primer dia</v>
      </c>
      <c r="C462" s="202">
        <f t="shared" si="1"/>
        <v>5</v>
      </c>
      <c r="D462" s="202" t="str">
        <f t="shared" si="2"/>
        <v> </v>
      </c>
      <c r="E462" s="202" t="str">
        <f t="shared" si="9"/>
        <v> </v>
      </c>
      <c r="F462" s="55" t="str">
        <f t="shared" si="4"/>
        <v/>
      </c>
      <c r="G462" s="202" t="str">
        <f t="shared" si="5"/>
        <v/>
      </c>
      <c r="H462" s="202" t="str">
        <f t="shared" si="11"/>
        <v> </v>
      </c>
      <c r="I462" s="205" t="str">
        <f t="shared" si="7"/>
        <v/>
      </c>
      <c r="J462" s="205"/>
      <c r="K462" s="205"/>
    </row>
    <row r="463" ht="14.25" customHeight="1">
      <c r="A463" s="55">
        <v>46118.0</v>
      </c>
      <c r="B463" s="55" t="str">
        <f t="shared" si="10"/>
        <v>Primer dia</v>
      </c>
      <c r="C463" s="202">
        <f t="shared" si="1"/>
        <v>6</v>
      </c>
      <c r="D463" s="202" t="str">
        <f t="shared" si="2"/>
        <v> </v>
      </c>
      <c r="E463" s="202" t="str">
        <f t="shared" si="9"/>
        <v> </v>
      </c>
      <c r="F463" s="55" t="str">
        <f t="shared" si="4"/>
        <v/>
      </c>
      <c r="G463" s="202" t="str">
        <f t="shared" si="5"/>
        <v/>
      </c>
      <c r="H463" s="202" t="str">
        <f t="shared" si="11"/>
        <v> </v>
      </c>
      <c r="I463" s="205" t="str">
        <f t="shared" si="7"/>
        <v/>
      </c>
      <c r="J463" s="205"/>
      <c r="K463" s="205"/>
    </row>
    <row r="464" ht="14.25" customHeight="1">
      <c r="A464" s="55">
        <v>46119.0</v>
      </c>
      <c r="B464" s="55" t="str">
        <f t="shared" si="10"/>
        <v>Primer dia</v>
      </c>
      <c r="C464" s="202">
        <f t="shared" si="1"/>
        <v>7</v>
      </c>
      <c r="D464" s="202" t="str">
        <f t="shared" si="2"/>
        <v> </v>
      </c>
      <c r="E464" s="202" t="str">
        <f t="shared" si="9"/>
        <v> </v>
      </c>
      <c r="F464" s="55" t="str">
        <f t="shared" si="4"/>
        <v/>
      </c>
      <c r="G464" s="202" t="str">
        <f t="shared" si="5"/>
        <v/>
      </c>
      <c r="H464" s="202" t="str">
        <f t="shared" si="11"/>
        <v> </v>
      </c>
      <c r="I464" s="205" t="str">
        <f t="shared" si="7"/>
        <v/>
      </c>
      <c r="J464" s="205"/>
      <c r="K464" s="205"/>
    </row>
    <row r="465" ht="14.25" customHeight="1">
      <c r="A465" s="55">
        <v>46120.0</v>
      </c>
      <c r="B465" s="55" t="str">
        <f t="shared" si="10"/>
        <v>Primer dia</v>
      </c>
      <c r="C465" s="202">
        <f t="shared" si="1"/>
        <v>8</v>
      </c>
      <c r="D465" s="202" t="str">
        <f t="shared" si="2"/>
        <v> </v>
      </c>
      <c r="E465" s="202" t="str">
        <f t="shared" si="9"/>
        <v> </v>
      </c>
      <c r="F465" s="55" t="str">
        <f t="shared" si="4"/>
        <v/>
      </c>
      <c r="G465" s="202" t="str">
        <f t="shared" si="5"/>
        <v/>
      </c>
      <c r="H465" s="202" t="str">
        <f t="shared" si="11"/>
        <v> </v>
      </c>
      <c r="I465" s="205" t="str">
        <f t="shared" si="7"/>
        <v/>
      </c>
      <c r="J465" s="205"/>
      <c r="K465" s="205"/>
    </row>
    <row r="466" ht="14.25" customHeight="1">
      <c r="A466" s="55">
        <v>46121.0</v>
      </c>
      <c r="B466" s="55" t="str">
        <f t="shared" si="10"/>
        <v>Primer dia</v>
      </c>
      <c r="C466" s="202">
        <f t="shared" si="1"/>
        <v>9</v>
      </c>
      <c r="D466" s="202" t="str">
        <f t="shared" si="2"/>
        <v> </v>
      </c>
      <c r="E466" s="202" t="str">
        <f t="shared" si="9"/>
        <v> </v>
      </c>
      <c r="F466" s="55" t="str">
        <f t="shared" si="4"/>
        <v/>
      </c>
      <c r="G466" s="202" t="str">
        <f t="shared" si="5"/>
        <v/>
      </c>
      <c r="H466" s="202" t="str">
        <f t="shared" si="11"/>
        <v> </v>
      </c>
      <c r="I466" s="205" t="str">
        <f t="shared" si="7"/>
        <v/>
      </c>
      <c r="J466" s="205"/>
      <c r="K466" s="205"/>
    </row>
    <row r="467" ht="14.25" customHeight="1">
      <c r="A467" s="55">
        <v>46122.0</v>
      </c>
      <c r="B467" s="55" t="str">
        <f t="shared" si="10"/>
        <v>Primer dia</v>
      </c>
      <c r="C467" s="202">
        <f t="shared" si="1"/>
        <v>10</v>
      </c>
      <c r="D467" s="202" t="str">
        <f t="shared" si="2"/>
        <v> </v>
      </c>
      <c r="E467" s="202" t="str">
        <f t="shared" si="9"/>
        <v> </v>
      </c>
      <c r="F467" s="55" t="str">
        <f t="shared" si="4"/>
        <v/>
      </c>
      <c r="G467" s="202" t="str">
        <f t="shared" si="5"/>
        <v/>
      </c>
      <c r="H467" s="202" t="str">
        <f t="shared" si="11"/>
        <v> </v>
      </c>
      <c r="I467" s="205" t="str">
        <f t="shared" si="7"/>
        <v/>
      </c>
      <c r="J467" s="205"/>
      <c r="K467" s="205"/>
    </row>
    <row r="468" ht="14.25" customHeight="1">
      <c r="A468" s="55">
        <v>46123.0</v>
      </c>
      <c r="B468" s="55" t="str">
        <f t="shared" si="10"/>
        <v>Primer dia</v>
      </c>
      <c r="C468" s="202">
        <f t="shared" si="1"/>
        <v>11</v>
      </c>
      <c r="D468" s="202" t="str">
        <f t="shared" si="2"/>
        <v> </v>
      </c>
      <c r="E468" s="202" t="str">
        <f t="shared" si="9"/>
        <v> </v>
      </c>
      <c r="F468" s="55" t="str">
        <f t="shared" si="4"/>
        <v/>
      </c>
      <c r="G468" s="202" t="str">
        <f t="shared" si="5"/>
        <v/>
      </c>
      <c r="H468" s="202" t="str">
        <f t="shared" si="11"/>
        <v> </v>
      </c>
      <c r="I468" s="205" t="str">
        <f t="shared" si="7"/>
        <v/>
      </c>
      <c r="J468" s="205"/>
      <c r="K468" s="205"/>
    </row>
    <row r="469" ht="14.25" customHeight="1">
      <c r="A469" s="55">
        <v>46124.0</v>
      </c>
      <c r="B469" s="55" t="str">
        <f t="shared" si="10"/>
        <v>Primer dia</v>
      </c>
      <c r="C469" s="202">
        <f t="shared" si="1"/>
        <v>12</v>
      </c>
      <c r="D469" s="202" t="str">
        <f t="shared" si="2"/>
        <v> </v>
      </c>
      <c r="E469" s="202" t="str">
        <f t="shared" si="9"/>
        <v> </v>
      </c>
      <c r="F469" s="55" t="str">
        <f t="shared" si="4"/>
        <v/>
      </c>
      <c r="G469" s="202" t="str">
        <f t="shared" si="5"/>
        <v/>
      </c>
      <c r="H469" s="202" t="str">
        <f t="shared" si="11"/>
        <v> </v>
      </c>
      <c r="I469" s="205" t="str">
        <f t="shared" si="7"/>
        <v/>
      </c>
      <c r="J469" s="205"/>
      <c r="K469" s="205"/>
    </row>
    <row r="470" ht="14.25" customHeight="1">
      <c r="A470" s="55">
        <v>46125.0</v>
      </c>
      <c r="B470" s="55" t="str">
        <f t="shared" si="10"/>
        <v>Primer dia</v>
      </c>
      <c r="C470" s="202">
        <f t="shared" si="1"/>
        <v>13</v>
      </c>
      <c r="D470" s="202" t="str">
        <f t="shared" si="2"/>
        <v> </v>
      </c>
      <c r="E470" s="202" t="str">
        <f t="shared" si="9"/>
        <v> </v>
      </c>
      <c r="F470" s="55" t="str">
        <f t="shared" si="4"/>
        <v/>
      </c>
      <c r="G470" s="202" t="str">
        <f t="shared" si="5"/>
        <v/>
      </c>
      <c r="H470" s="202" t="str">
        <f t="shared" si="11"/>
        <v> </v>
      </c>
      <c r="I470" s="205" t="str">
        <f t="shared" si="7"/>
        <v/>
      </c>
      <c r="J470" s="205"/>
      <c r="K470" s="205"/>
    </row>
    <row r="471" ht="14.25" customHeight="1">
      <c r="A471" s="55">
        <v>46126.0</v>
      </c>
      <c r="B471" s="55" t="str">
        <f t="shared" si="10"/>
        <v>Primer dia</v>
      </c>
      <c r="C471" s="202">
        <f t="shared" si="1"/>
        <v>14</v>
      </c>
      <c r="D471" s="202" t="str">
        <f t="shared" si="2"/>
        <v> </v>
      </c>
      <c r="E471" s="202" t="str">
        <f t="shared" si="9"/>
        <v> </v>
      </c>
      <c r="F471" s="55" t="str">
        <f t="shared" si="4"/>
        <v/>
      </c>
      <c r="G471" s="202" t="str">
        <f t="shared" si="5"/>
        <v/>
      </c>
      <c r="H471" s="202" t="str">
        <f t="shared" si="11"/>
        <v> </v>
      </c>
      <c r="I471" s="205" t="str">
        <f t="shared" si="7"/>
        <v/>
      </c>
      <c r="J471" s="205"/>
      <c r="K471" s="205"/>
    </row>
    <row r="472" ht="14.25" customHeight="1">
      <c r="A472" s="55">
        <v>46127.0</v>
      </c>
      <c r="B472" s="55" t="str">
        <f t="shared" si="10"/>
        <v>Primer dia</v>
      </c>
      <c r="C472" s="202">
        <f t="shared" si="1"/>
        <v>15</v>
      </c>
      <c r="D472" s="202" t="str">
        <f t="shared" si="2"/>
        <v> </v>
      </c>
      <c r="E472" s="202" t="str">
        <f t="shared" si="9"/>
        <v> </v>
      </c>
      <c r="F472" s="55" t="str">
        <f t="shared" si="4"/>
        <v/>
      </c>
      <c r="G472" s="202" t="str">
        <f t="shared" si="5"/>
        <v/>
      </c>
      <c r="H472" s="202" t="str">
        <f t="shared" si="11"/>
        <v> </v>
      </c>
      <c r="I472" s="205" t="str">
        <f t="shared" si="7"/>
        <v/>
      </c>
      <c r="J472" s="205"/>
      <c r="K472" s="205"/>
    </row>
    <row r="473" ht="14.25" customHeight="1">
      <c r="A473" s="55">
        <v>46128.0</v>
      </c>
      <c r="B473" s="55" t="str">
        <f t="shared" si="10"/>
        <v>Primer dia</v>
      </c>
      <c r="C473" s="202">
        <f t="shared" si="1"/>
        <v>16</v>
      </c>
      <c r="D473" s="202" t="str">
        <f t="shared" si="2"/>
        <v> </v>
      </c>
      <c r="E473" s="202" t="str">
        <f t="shared" si="9"/>
        <v> </v>
      </c>
      <c r="F473" s="55" t="str">
        <f t="shared" si="4"/>
        <v/>
      </c>
      <c r="G473" s="202" t="str">
        <f t="shared" si="5"/>
        <v/>
      </c>
      <c r="H473" s="202" t="str">
        <f t="shared" si="11"/>
        <v> </v>
      </c>
      <c r="I473" s="205" t="str">
        <f t="shared" si="7"/>
        <v/>
      </c>
      <c r="J473" s="205"/>
      <c r="K473" s="205"/>
    </row>
    <row r="474" ht="14.25" customHeight="1">
      <c r="A474" s="55">
        <v>46129.0</v>
      </c>
      <c r="B474" s="55" t="str">
        <f t="shared" si="10"/>
        <v>Primer dia</v>
      </c>
      <c r="C474" s="202">
        <f t="shared" si="1"/>
        <v>17</v>
      </c>
      <c r="D474" s="202" t="str">
        <f t="shared" si="2"/>
        <v> </v>
      </c>
      <c r="E474" s="202">
        <f t="shared" si="9"/>
        <v>17</v>
      </c>
      <c r="F474" s="55">
        <f t="shared" si="4"/>
        <v>46129</v>
      </c>
      <c r="G474" s="202">
        <f t="shared" si="5"/>
        <v>6</v>
      </c>
      <c r="H474" s="202" t="str">
        <f t="shared" si="11"/>
        <v> </v>
      </c>
      <c r="I474" s="205" t="str">
        <f t="shared" si="7"/>
        <v/>
      </c>
      <c r="J474" s="205"/>
      <c r="K474" s="205"/>
    </row>
    <row r="475" ht="14.25" customHeight="1">
      <c r="A475" s="55">
        <v>46130.0</v>
      </c>
      <c r="B475" s="55" t="str">
        <f t="shared" si="10"/>
        <v>Primer dia</v>
      </c>
      <c r="C475" s="202">
        <f t="shared" si="1"/>
        <v>18</v>
      </c>
      <c r="D475" s="202" t="str">
        <f t="shared" si="2"/>
        <v> </v>
      </c>
      <c r="E475" s="202" t="str">
        <f t="shared" si="9"/>
        <v> </v>
      </c>
      <c r="F475" s="55" t="str">
        <f t="shared" si="4"/>
        <v/>
      </c>
      <c r="G475" s="202" t="str">
        <f t="shared" si="5"/>
        <v/>
      </c>
      <c r="H475" s="202" t="str">
        <f t="shared" si="11"/>
        <v> </v>
      </c>
      <c r="I475" s="205" t="str">
        <f t="shared" si="7"/>
        <v/>
      </c>
      <c r="J475" s="205"/>
      <c r="K475" s="205"/>
    </row>
    <row r="476" ht="14.25" customHeight="1">
      <c r="A476" s="55">
        <v>46131.0</v>
      </c>
      <c r="B476" s="55" t="str">
        <f t="shared" si="10"/>
        <v>Primer dia</v>
      </c>
      <c r="C476" s="202">
        <f t="shared" si="1"/>
        <v>19</v>
      </c>
      <c r="D476" s="202" t="str">
        <f t="shared" si="2"/>
        <v> </v>
      </c>
      <c r="E476" s="202" t="str">
        <f t="shared" si="9"/>
        <v> </v>
      </c>
      <c r="F476" s="55" t="str">
        <f t="shared" si="4"/>
        <v/>
      </c>
      <c r="G476" s="202" t="str">
        <f t="shared" si="5"/>
        <v/>
      </c>
      <c r="H476" s="202" t="str">
        <f t="shared" si="11"/>
        <v> </v>
      </c>
      <c r="I476" s="205" t="str">
        <f t="shared" si="7"/>
        <v/>
      </c>
      <c r="J476" s="205"/>
      <c r="K476" s="205"/>
    </row>
    <row r="477" ht="14.25" customHeight="1">
      <c r="A477" s="55">
        <v>46132.0</v>
      </c>
      <c r="B477" s="55" t="str">
        <f t="shared" si="10"/>
        <v>Primer dia</v>
      </c>
      <c r="C477" s="202">
        <f t="shared" si="1"/>
        <v>20</v>
      </c>
      <c r="D477" s="202" t="str">
        <f t="shared" si="2"/>
        <v> </v>
      </c>
      <c r="E477" s="202" t="str">
        <f t="shared" si="9"/>
        <v> </v>
      </c>
      <c r="F477" s="55" t="str">
        <f t="shared" si="4"/>
        <v/>
      </c>
      <c r="G477" s="202" t="str">
        <f t="shared" si="5"/>
        <v/>
      </c>
      <c r="H477" s="202" t="str">
        <f t="shared" si="11"/>
        <v> </v>
      </c>
      <c r="I477" s="205" t="str">
        <f t="shared" si="7"/>
        <v/>
      </c>
      <c r="J477" s="205"/>
      <c r="K477" s="205"/>
    </row>
    <row r="478" ht="14.25" customHeight="1">
      <c r="A478" s="55">
        <v>46133.0</v>
      </c>
      <c r="B478" s="55" t="str">
        <f t="shared" si="10"/>
        <v>Primer dia</v>
      </c>
      <c r="C478" s="202">
        <f t="shared" si="1"/>
        <v>21</v>
      </c>
      <c r="D478" s="202" t="str">
        <f t="shared" si="2"/>
        <v> </v>
      </c>
      <c r="E478" s="202" t="str">
        <f t="shared" si="9"/>
        <v> </v>
      </c>
      <c r="F478" s="55" t="str">
        <f t="shared" si="4"/>
        <v/>
      </c>
      <c r="G478" s="202" t="str">
        <f t="shared" si="5"/>
        <v/>
      </c>
      <c r="H478" s="202" t="str">
        <f t="shared" si="11"/>
        <v> </v>
      </c>
      <c r="I478" s="205" t="str">
        <f t="shared" si="7"/>
        <v/>
      </c>
      <c r="J478" s="205"/>
      <c r="K478" s="205"/>
    </row>
    <row r="479" ht="14.25" customHeight="1">
      <c r="A479" s="55">
        <v>46134.0</v>
      </c>
      <c r="B479" s="55" t="str">
        <f t="shared" si="10"/>
        <v>Primer dia</v>
      </c>
      <c r="C479" s="202">
        <f t="shared" si="1"/>
        <v>22</v>
      </c>
      <c r="D479" s="202" t="str">
        <f t="shared" si="2"/>
        <v> </v>
      </c>
      <c r="E479" s="202" t="str">
        <f t="shared" si="9"/>
        <v> </v>
      </c>
      <c r="F479" s="55" t="str">
        <f t="shared" si="4"/>
        <v/>
      </c>
      <c r="G479" s="202" t="str">
        <f t="shared" si="5"/>
        <v/>
      </c>
      <c r="H479" s="202" t="str">
        <f t="shared" si="11"/>
        <v> </v>
      </c>
      <c r="I479" s="205" t="str">
        <f t="shared" si="7"/>
        <v/>
      </c>
      <c r="J479" s="205"/>
      <c r="K479" s="205"/>
    </row>
    <row r="480" ht="14.25" customHeight="1">
      <c r="A480" s="55">
        <v>46135.0</v>
      </c>
      <c r="B480" s="55" t="str">
        <f t="shared" si="10"/>
        <v>Primer dia</v>
      </c>
      <c r="C480" s="202">
        <f t="shared" si="1"/>
        <v>23</v>
      </c>
      <c r="D480" s="202" t="str">
        <f t="shared" si="2"/>
        <v> </v>
      </c>
      <c r="E480" s="202" t="str">
        <f t="shared" si="9"/>
        <v> </v>
      </c>
      <c r="F480" s="55" t="str">
        <f t="shared" si="4"/>
        <v/>
      </c>
      <c r="G480" s="202" t="str">
        <f t="shared" si="5"/>
        <v/>
      </c>
      <c r="H480" s="202" t="str">
        <f t="shared" si="11"/>
        <v> </v>
      </c>
      <c r="I480" s="205" t="str">
        <f t="shared" si="7"/>
        <v/>
      </c>
      <c r="J480" s="205"/>
      <c r="K480" s="205"/>
    </row>
    <row r="481" ht="14.25" customHeight="1">
      <c r="A481" s="55">
        <v>46136.0</v>
      </c>
      <c r="B481" s="55" t="str">
        <f t="shared" si="10"/>
        <v>Primer dia</v>
      </c>
      <c r="C481" s="202">
        <f t="shared" si="1"/>
        <v>24</v>
      </c>
      <c r="D481" s="202" t="str">
        <f t="shared" si="2"/>
        <v> </v>
      </c>
      <c r="E481" s="202" t="str">
        <f t="shared" si="9"/>
        <v> </v>
      </c>
      <c r="F481" s="55" t="str">
        <f t="shared" si="4"/>
        <v/>
      </c>
      <c r="G481" s="202" t="str">
        <f t="shared" si="5"/>
        <v/>
      </c>
      <c r="H481" s="202" t="str">
        <f t="shared" si="11"/>
        <v> </v>
      </c>
      <c r="I481" s="205" t="str">
        <f t="shared" si="7"/>
        <v/>
      </c>
      <c r="J481" s="205"/>
      <c r="K481" s="205"/>
    </row>
    <row r="482" ht="14.25" customHeight="1">
      <c r="A482" s="55">
        <v>46137.0</v>
      </c>
      <c r="B482" s="55" t="str">
        <f t="shared" si="10"/>
        <v>Primer dia</v>
      </c>
      <c r="C482" s="202">
        <f t="shared" si="1"/>
        <v>25</v>
      </c>
      <c r="D482" s="202" t="str">
        <f t="shared" si="2"/>
        <v> </v>
      </c>
      <c r="E482" s="202" t="str">
        <f t="shared" si="9"/>
        <v> </v>
      </c>
      <c r="F482" s="55" t="str">
        <f t="shared" si="4"/>
        <v/>
      </c>
      <c r="G482" s="202" t="str">
        <f t="shared" si="5"/>
        <v/>
      </c>
      <c r="H482" s="202" t="str">
        <f t="shared" si="11"/>
        <v> </v>
      </c>
      <c r="I482" s="205" t="str">
        <f t="shared" si="7"/>
        <v/>
      </c>
      <c r="J482" s="205"/>
      <c r="K482" s="205"/>
    </row>
    <row r="483" ht="14.25" customHeight="1">
      <c r="A483" s="55">
        <v>46138.0</v>
      </c>
      <c r="B483" s="55" t="str">
        <f t="shared" si="10"/>
        <v>Primer dia</v>
      </c>
      <c r="C483" s="202">
        <f t="shared" si="1"/>
        <v>26</v>
      </c>
      <c r="D483" s="202" t="str">
        <f t="shared" si="2"/>
        <v> </v>
      </c>
      <c r="E483" s="202" t="str">
        <f t="shared" si="9"/>
        <v> </v>
      </c>
      <c r="F483" s="55" t="str">
        <f t="shared" si="4"/>
        <v/>
      </c>
      <c r="G483" s="202" t="str">
        <f t="shared" si="5"/>
        <v/>
      </c>
      <c r="H483" s="202" t="str">
        <f t="shared" si="11"/>
        <v> </v>
      </c>
      <c r="I483" s="205" t="str">
        <f t="shared" si="7"/>
        <v/>
      </c>
      <c r="J483" s="205"/>
      <c r="K483" s="205"/>
    </row>
    <row r="484" ht="14.25" customHeight="1">
      <c r="A484" s="55">
        <v>46139.0</v>
      </c>
      <c r="B484" s="55" t="str">
        <f t="shared" si="10"/>
        <v>Primer dia</v>
      </c>
      <c r="C484" s="202">
        <f t="shared" si="1"/>
        <v>27</v>
      </c>
      <c r="D484" s="202" t="str">
        <f t="shared" si="2"/>
        <v> </v>
      </c>
      <c r="E484" s="202" t="str">
        <f t="shared" si="9"/>
        <v> </v>
      </c>
      <c r="F484" s="55" t="str">
        <f t="shared" si="4"/>
        <v/>
      </c>
      <c r="G484" s="202" t="str">
        <f t="shared" si="5"/>
        <v/>
      </c>
      <c r="H484" s="202" t="str">
        <f t="shared" si="11"/>
        <v> </v>
      </c>
      <c r="I484" s="205" t="str">
        <f t="shared" si="7"/>
        <v/>
      </c>
      <c r="J484" s="205"/>
      <c r="K484" s="205"/>
    </row>
    <row r="485" ht="14.25" customHeight="1">
      <c r="A485" s="55">
        <v>46140.0</v>
      </c>
      <c r="B485" s="55" t="str">
        <f t="shared" si="10"/>
        <v>Primer dia</v>
      </c>
      <c r="C485" s="202">
        <f t="shared" si="1"/>
        <v>28</v>
      </c>
      <c r="D485" s="202" t="str">
        <f t="shared" si="2"/>
        <v> </v>
      </c>
      <c r="E485" s="202" t="str">
        <f t="shared" si="9"/>
        <v> </v>
      </c>
      <c r="F485" s="55" t="str">
        <f t="shared" si="4"/>
        <v/>
      </c>
      <c r="G485" s="202" t="str">
        <f t="shared" si="5"/>
        <v/>
      </c>
      <c r="H485" s="202" t="str">
        <f t="shared" si="11"/>
        <v> </v>
      </c>
      <c r="I485" s="205" t="str">
        <f t="shared" si="7"/>
        <v/>
      </c>
      <c r="J485" s="205"/>
      <c r="K485" s="205"/>
    </row>
    <row r="486" ht="14.25" customHeight="1">
      <c r="A486" s="55">
        <v>46141.0</v>
      </c>
      <c r="B486" s="55" t="str">
        <f t="shared" si="10"/>
        <v>Primer dia</v>
      </c>
      <c r="C486" s="202">
        <f t="shared" si="1"/>
        <v>29</v>
      </c>
      <c r="D486" s="202" t="str">
        <f t="shared" si="2"/>
        <v> </v>
      </c>
      <c r="E486" s="202" t="str">
        <f t="shared" si="9"/>
        <v> </v>
      </c>
      <c r="F486" s="55" t="str">
        <f t="shared" si="4"/>
        <v/>
      </c>
      <c r="G486" s="202" t="str">
        <f t="shared" si="5"/>
        <v/>
      </c>
      <c r="H486" s="202" t="str">
        <f t="shared" si="11"/>
        <v> </v>
      </c>
      <c r="I486" s="205" t="str">
        <f t="shared" si="7"/>
        <v/>
      </c>
      <c r="J486" s="205"/>
      <c r="K486" s="205"/>
    </row>
    <row r="487" ht="14.25" customHeight="1">
      <c r="A487" s="55">
        <v>46142.0</v>
      </c>
      <c r="B487" s="55" t="str">
        <f t="shared" si="10"/>
        <v>Primer dia</v>
      </c>
      <c r="C487" s="202">
        <f t="shared" si="1"/>
        <v>30</v>
      </c>
      <c r="D487" s="202" t="str">
        <f t="shared" si="2"/>
        <v> </v>
      </c>
      <c r="E487" s="202" t="str">
        <f t="shared" si="9"/>
        <v> </v>
      </c>
      <c r="F487" s="55" t="str">
        <f t="shared" si="4"/>
        <v/>
      </c>
      <c r="G487" s="202" t="str">
        <f t="shared" si="5"/>
        <v/>
      </c>
      <c r="H487" s="202" t="str">
        <f t="shared" si="11"/>
        <v> </v>
      </c>
      <c r="I487" s="205" t="str">
        <f t="shared" si="7"/>
        <v/>
      </c>
      <c r="J487" s="205"/>
      <c r="K487" s="205"/>
    </row>
    <row r="488" ht="14.25" customHeight="1">
      <c r="A488" s="55">
        <v>46143.0</v>
      </c>
      <c r="B488" s="55" t="str">
        <f t="shared" si="10"/>
        <v>Primer dia</v>
      </c>
      <c r="C488" s="202">
        <f t="shared" si="1"/>
        <v>1</v>
      </c>
      <c r="D488" s="202" t="str">
        <f t="shared" si="2"/>
        <v> </v>
      </c>
      <c r="E488" s="202" t="str">
        <f t="shared" si="9"/>
        <v> </v>
      </c>
      <c r="F488" s="55" t="str">
        <f t="shared" si="4"/>
        <v/>
      </c>
      <c r="G488" s="202" t="str">
        <f t="shared" si="5"/>
        <v/>
      </c>
      <c r="H488" s="202" t="str">
        <f t="shared" si="11"/>
        <v> </v>
      </c>
      <c r="I488" s="205" t="str">
        <f t="shared" si="7"/>
        <v/>
      </c>
      <c r="J488" s="205"/>
      <c r="K488" s="205"/>
    </row>
    <row r="489" ht="14.25" customHeight="1">
      <c r="A489" s="55">
        <v>46144.0</v>
      </c>
      <c r="B489" s="55" t="str">
        <f t="shared" si="10"/>
        <v>Primer dia</v>
      </c>
      <c r="C489" s="202">
        <f t="shared" si="1"/>
        <v>2</v>
      </c>
      <c r="D489" s="202" t="str">
        <f t="shared" si="2"/>
        <v> </v>
      </c>
      <c r="E489" s="202">
        <f t="shared" si="9"/>
        <v>2</v>
      </c>
      <c r="F489" s="55">
        <f t="shared" si="4"/>
        <v>46144</v>
      </c>
      <c r="G489" s="202">
        <f t="shared" si="5"/>
        <v>7</v>
      </c>
      <c r="H489" s="202" t="str">
        <f t="shared" si="11"/>
        <v> </v>
      </c>
      <c r="I489" s="205" t="str">
        <f t="shared" si="7"/>
        <v/>
      </c>
      <c r="J489" s="205"/>
      <c r="K489" s="205"/>
    </row>
    <row r="490" ht="14.25" customHeight="1">
      <c r="A490" s="55">
        <v>46145.0</v>
      </c>
      <c r="B490" s="55" t="str">
        <f t="shared" si="10"/>
        <v>Primer dia</v>
      </c>
      <c r="C490" s="202">
        <f t="shared" si="1"/>
        <v>3</v>
      </c>
      <c r="D490" s="202" t="str">
        <f t="shared" si="2"/>
        <v> </v>
      </c>
      <c r="E490" s="202" t="str">
        <f t="shared" si="9"/>
        <v> </v>
      </c>
      <c r="F490" s="55" t="str">
        <f t="shared" si="4"/>
        <v/>
      </c>
      <c r="G490" s="202" t="str">
        <f t="shared" si="5"/>
        <v/>
      </c>
      <c r="H490" s="202" t="str">
        <f t="shared" si="11"/>
        <v> </v>
      </c>
      <c r="I490" s="205" t="str">
        <f t="shared" si="7"/>
        <v/>
      </c>
      <c r="J490" s="205"/>
      <c r="K490" s="205"/>
    </row>
    <row r="491" ht="14.25" customHeight="1">
      <c r="A491" s="55">
        <v>46146.0</v>
      </c>
      <c r="B491" s="55" t="str">
        <f t="shared" si="10"/>
        <v>Primer dia</v>
      </c>
      <c r="C491" s="202">
        <f t="shared" si="1"/>
        <v>4</v>
      </c>
      <c r="D491" s="202" t="str">
        <f t="shared" si="2"/>
        <v> </v>
      </c>
      <c r="E491" s="202" t="str">
        <f t="shared" si="9"/>
        <v> </v>
      </c>
      <c r="F491" s="55" t="str">
        <f t="shared" si="4"/>
        <v/>
      </c>
      <c r="G491" s="202" t="str">
        <f t="shared" si="5"/>
        <v/>
      </c>
      <c r="H491" s="202" t="str">
        <f t="shared" si="11"/>
        <v> </v>
      </c>
      <c r="I491" s="205" t="str">
        <f t="shared" si="7"/>
        <v/>
      </c>
      <c r="J491" s="205"/>
      <c r="K491" s="205"/>
    </row>
    <row r="492" ht="14.25" customHeight="1">
      <c r="A492" s="55">
        <v>46147.0</v>
      </c>
      <c r="B492" s="55" t="str">
        <f t="shared" si="10"/>
        <v>Primer dia</v>
      </c>
      <c r="C492" s="202">
        <f t="shared" si="1"/>
        <v>5</v>
      </c>
      <c r="D492" s="202" t="str">
        <f t="shared" si="2"/>
        <v> </v>
      </c>
      <c r="E492" s="202" t="str">
        <f t="shared" si="9"/>
        <v> </v>
      </c>
      <c r="F492" s="55" t="str">
        <f t="shared" si="4"/>
        <v/>
      </c>
      <c r="G492" s="202" t="str">
        <f t="shared" si="5"/>
        <v/>
      </c>
      <c r="H492" s="202" t="str">
        <f t="shared" si="11"/>
        <v> </v>
      </c>
      <c r="I492" s="205" t="str">
        <f t="shared" si="7"/>
        <v/>
      </c>
      <c r="J492" s="205"/>
      <c r="K492" s="205"/>
    </row>
    <row r="493" ht="14.25" customHeight="1">
      <c r="A493" s="55">
        <v>46148.0</v>
      </c>
      <c r="B493" s="55" t="str">
        <f t="shared" si="10"/>
        <v>Primer dia</v>
      </c>
      <c r="C493" s="202">
        <f t="shared" si="1"/>
        <v>6</v>
      </c>
      <c r="D493" s="202" t="str">
        <f t="shared" si="2"/>
        <v> </v>
      </c>
      <c r="E493" s="202" t="str">
        <f t="shared" si="9"/>
        <v> </v>
      </c>
      <c r="F493" s="55" t="str">
        <f t="shared" si="4"/>
        <v/>
      </c>
      <c r="G493" s="202" t="str">
        <f t="shared" si="5"/>
        <v/>
      </c>
      <c r="H493" s="202" t="str">
        <f t="shared" si="11"/>
        <v> </v>
      </c>
      <c r="I493" s="205" t="str">
        <f t="shared" si="7"/>
        <v/>
      </c>
      <c r="J493" s="205"/>
      <c r="K493" s="205"/>
    </row>
    <row r="494" ht="14.25" customHeight="1">
      <c r="A494" s="55">
        <v>46149.0</v>
      </c>
      <c r="B494" s="55" t="str">
        <f t="shared" si="10"/>
        <v>Primer dia</v>
      </c>
      <c r="C494" s="202">
        <f t="shared" si="1"/>
        <v>7</v>
      </c>
      <c r="D494" s="202" t="str">
        <f t="shared" si="2"/>
        <v> </v>
      </c>
      <c r="E494" s="202" t="str">
        <f t="shared" si="9"/>
        <v> </v>
      </c>
      <c r="F494" s="55" t="str">
        <f t="shared" si="4"/>
        <v/>
      </c>
      <c r="G494" s="202" t="str">
        <f t="shared" si="5"/>
        <v/>
      </c>
      <c r="H494" s="202" t="str">
        <f t="shared" si="11"/>
        <v> </v>
      </c>
      <c r="I494" s="205" t="str">
        <f t="shared" si="7"/>
        <v/>
      </c>
      <c r="J494" s="205"/>
      <c r="K494" s="205"/>
    </row>
    <row r="495" ht="14.25" customHeight="1">
      <c r="A495" s="55">
        <v>46150.0</v>
      </c>
      <c r="B495" s="55" t="str">
        <f t="shared" si="10"/>
        <v>Primer dia</v>
      </c>
      <c r="C495" s="202">
        <f t="shared" si="1"/>
        <v>8</v>
      </c>
      <c r="D495" s="202" t="str">
        <f t="shared" si="2"/>
        <v> </v>
      </c>
      <c r="E495" s="202" t="str">
        <f t="shared" si="9"/>
        <v> </v>
      </c>
      <c r="F495" s="55" t="str">
        <f t="shared" si="4"/>
        <v/>
      </c>
      <c r="G495" s="202" t="str">
        <f t="shared" si="5"/>
        <v/>
      </c>
      <c r="H495" s="202" t="str">
        <f t="shared" si="11"/>
        <v> </v>
      </c>
      <c r="I495" s="205" t="str">
        <f t="shared" si="7"/>
        <v/>
      </c>
      <c r="J495" s="205"/>
      <c r="K495" s="205"/>
    </row>
    <row r="496" ht="14.25" customHeight="1">
      <c r="A496" s="55">
        <v>46151.0</v>
      </c>
      <c r="B496" s="55" t="str">
        <f t="shared" si="10"/>
        <v>Primer dia</v>
      </c>
      <c r="C496" s="202">
        <f t="shared" si="1"/>
        <v>9</v>
      </c>
      <c r="D496" s="202" t="str">
        <f t="shared" si="2"/>
        <v> </v>
      </c>
      <c r="E496" s="202" t="str">
        <f t="shared" si="9"/>
        <v> </v>
      </c>
      <c r="F496" s="55" t="str">
        <f t="shared" si="4"/>
        <v/>
      </c>
      <c r="G496" s="202" t="str">
        <f t="shared" si="5"/>
        <v/>
      </c>
      <c r="H496" s="202" t="str">
        <f t="shared" si="11"/>
        <v> </v>
      </c>
      <c r="I496" s="205" t="str">
        <f t="shared" si="7"/>
        <v/>
      </c>
      <c r="J496" s="205"/>
      <c r="K496" s="205"/>
    </row>
    <row r="497" ht="14.25" customHeight="1">
      <c r="A497" s="55">
        <v>46152.0</v>
      </c>
      <c r="B497" s="55" t="str">
        <f t="shared" si="10"/>
        <v>Primer dia</v>
      </c>
      <c r="C497" s="202">
        <f t="shared" si="1"/>
        <v>10</v>
      </c>
      <c r="D497" s="202" t="str">
        <f t="shared" si="2"/>
        <v> </v>
      </c>
      <c r="E497" s="202" t="str">
        <f t="shared" si="9"/>
        <v> </v>
      </c>
      <c r="F497" s="55" t="str">
        <f t="shared" si="4"/>
        <v/>
      </c>
      <c r="G497" s="202" t="str">
        <f t="shared" si="5"/>
        <v/>
      </c>
      <c r="H497" s="202" t="str">
        <f t="shared" si="11"/>
        <v> </v>
      </c>
      <c r="I497" s="205" t="str">
        <f t="shared" si="7"/>
        <v/>
      </c>
      <c r="J497" s="205"/>
      <c r="K497" s="205"/>
    </row>
    <row r="498" ht="14.25" customHeight="1">
      <c r="A498" s="55">
        <v>46153.0</v>
      </c>
      <c r="B498" s="55" t="str">
        <f t="shared" si="10"/>
        <v>Primer dia</v>
      </c>
      <c r="C498" s="202">
        <f t="shared" si="1"/>
        <v>11</v>
      </c>
      <c r="D498" s="202" t="str">
        <f t="shared" si="2"/>
        <v> </v>
      </c>
      <c r="E498" s="202" t="str">
        <f t="shared" si="9"/>
        <v> </v>
      </c>
      <c r="F498" s="55" t="str">
        <f t="shared" si="4"/>
        <v/>
      </c>
      <c r="G498" s="202" t="str">
        <f t="shared" si="5"/>
        <v/>
      </c>
      <c r="H498" s="202" t="str">
        <f t="shared" si="11"/>
        <v> </v>
      </c>
      <c r="I498" s="205" t="str">
        <f t="shared" si="7"/>
        <v/>
      </c>
      <c r="J498" s="205"/>
      <c r="K498" s="205"/>
    </row>
    <row r="499" ht="14.25" customHeight="1">
      <c r="A499" s="55">
        <v>46154.0</v>
      </c>
      <c r="B499" s="55" t="str">
        <f t="shared" si="10"/>
        <v>Primer dia</v>
      </c>
      <c r="C499" s="202">
        <f t="shared" si="1"/>
        <v>12</v>
      </c>
      <c r="D499" s="202" t="str">
        <f t="shared" si="2"/>
        <v> </v>
      </c>
      <c r="E499" s="202" t="str">
        <f t="shared" si="9"/>
        <v> </v>
      </c>
      <c r="F499" s="55" t="str">
        <f t="shared" si="4"/>
        <v/>
      </c>
      <c r="G499" s="202" t="str">
        <f t="shared" si="5"/>
        <v/>
      </c>
      <c r="H499" s="202" t="str">
        <f t="shared" si="11"/>
        <v> </v>
      </c>
      <c r="I499" s="205" t="str">
        <f t="shared" si="7"/>
        <v/>
      </c>
      <c r="J499" s="205"/>
      <c r="K499" s="205"/>
    </row>
    <row r="500" ht="14.25" customHeight="1">
      <c r="A500" s="55">
        <v>46155.0</v>
      </c>
      <c r="B500" s="55" t="str">
        <f t="shared" si="10"/>
        <v>Primer dia</v>
      </c>
      <c r="C500" s="202">
        <f t="shared" si="1"/>
        <v>13</v>
      </c>
      <c r="D500" s="202" t="str">
        <f t="shared" si="2"/>
        <v> </v>
      </c>
      <c r="E500" s="202" t="str">
        <f t="shared" si="9"/>
        <v> </v>
      </c>
      <c r="F500" s="55" t="str">
        <f t="shared" si="4"/>
        <v/>
      </c>
      <c r="G500" s="202" t="str">
        <f t="shared" si="5"/>
        <v/>
      </c>
      <c r="H500" s="202" t="str">
        <f t="shared" si="11"/>
        <v> </v>
      </c>
      <c r="I500" s="205" t="str">
        <f t="shared" si="7"/>
        <v/>
      </c>
      <c r="J500" s="205"/>
      <c r="K500" s="205"/>
    </row>
    <row r="501" ht="14.25" customHeight="1">
      <c r="A501" s="55">
        <v>46156.0</v>
      </c>
      <c r="B501" s="55" t="str">
        <f t="shared" si="10"/>
        <v>Primer dia</v>
      </c>
      <c r="C501" s="202">
        <f t="shared" si="1"/>
        <v>14</v>
      </c>
      <c r="D501" s="202" t="str">
        <f t="shared" si="2"/>
        <v> </v>
      </c>
      <c r="E501" s="202" t="str">
        <f t="shared" si="9"/>
        <v> </v>
      </c>
      <c r="F501" s="55" t="str">
        <f t="shared" si="4"/>
        <v/>
      </c>
      <c r="G501" s="202" t="str">
        <f t="shared" si="5"/>
        <v/>
      </c>
      <c r="H501" s="202" t="str">
        <f t="shared" si="11"/>
        <v> </v>
      </c>
      <c r="I501" s="205" t="str">
        <f t="shared" si="7"/>
        <v/>
      </c>
      <c r="J501" s="205"/>
      <c r="K501" s="205"/>
    </row>
    <row r="502" ht="14.25" customHeight="1">
      <c r="A502" s="55">
        <v>46157.0</v>
      </c>
      <c r="B502" s="55" t="str">
        <f t="shared" si="10"/>
        <v>Primer dia</v>
      </c>
      <c r="C502" s="202">
        <f t="shared" si="1"/>
        <v>15</v>
      </c>
      <c r="D502" s="202" t="str">
        <f t="shared" si="2"/>
        <v> </v>
      </c>
      <c r="E502" s="202" t="str">
        <f t="shared" si="9"/>
        <v> </v>
      </c>
      <c r="F502" s="55" t="str">
        <f t="shared" si="4"/>
        <v/>
      </c>
      <c r="G502" s="202" t="str">
        <f t="shared" si="5"/>
        <v/>
      </c>
      <c r="H502" s="202" t="str">
        <f t="shared" si="11"/>
        <v> </v>
      </c>
      <c r="I502" s="205" t="str">
        <f t="shared" si="7"/>
        <v/>
      </c>
      <c r="J502" s="205"/>
      <c r="K502" s="205"/>
    </row>
    <row r="503" ht="14.25" customHeight="1">
      <c r="A503" s="55">
        <v>46158.0</v>
      </c>
      <c r="B503" s="55" t="str">
        <f t="shared" si="10"/>
        <v>Primer dia</v>
      </c>
      <c r="C503" s="202">
        <f t="shared" si="1"/>
        <v>16</v>
      </c>
      <c r="D503" s="202" t="str">
        <f t="shared" si="2"/>
        <v> </v>
      </c>
      <c r="E503" s="202" t="str">
        <f t="shared" si="9"/>
        <v> </v>
      </c>
      <c r="F503" s="55" t="str">
        <f t="shared" si="4"/>
        <v/>
      </c>
      <c r="G503" s="202" t="str">
        <f t="shared" si="5"/>
        <v/>
      </c>
      <c r="H503" s="202" t="str">
        <f t="shared" si="11"/>
        <v> </v>
      </c>
      <c r="I503" s="205" t="str">
        <f t="shared" si="7"/>
        <v/>
      </c>
      <c r="J503" s="205"/>
      <c r="K503" s="205"/>
    </row>
    <row r="504" ht="14.25" customHeight="1">
      <c r="A504" s="55">
        <v>46159.0</v>
      </c>
      <c r="B504" s="55" t="str">
        <f t="shared" si="10"/>
        <v>Primer dia</v>
      </c>
      <c r="C504" s="202">
        <f t="shared" si="1"/>
        <v>17</v>
      </c>
      <c r="D504" s="202" t="str">
        <f t="shared" si="2"/>
        <v> </v>
      </c>
      <c r="E504" s="202">
        <f t="shared" si="9"/>
        <v>17</v>
      </c>
      <c r="F504" s="55">
        <f t="shared" si="4"/>
        <v>46159</v>
      </c>
      <c r="G504" s="202">
        <f t="shared" si="5"/>
        <v>8</v>
      </c>
      <c r="H504" s="202" t="str">
        <f t="shared" si="11"/>
        <v> </v>
      </c>
      <c r="I504" s="205" t="str">
        <f t="shared" si="7"/>
        <v/>
      </c>
      <c r="J504" s="205"/>
      <c r="K504" s="205"/>
    </row>
    <row r="505" ht="14.25" customHeight="1">
      <c r="A505" s="55">
        <v>46160.0</v>
      </c>
      <c r="B505" s="55" t="str">
        <f t="shared" si="10"/>
        <v>Primer dia</v>
      </c>
      <c r="C505" s="202">
        <f t="shared" si="1"/>
        <v>18</v>
      </c>
      <c r="D505" s="202" t="str">
        <f t="shared" si="2"/>
        <v> </v>
      </c>
      <c r="E505" s="202" t="str">
        <f t="shared" si="9"/>
        <v> </v>
      </c>
      <c r="F505" s="55" t="str">
        <f t="shared" si="4"/>
        <v/>
      </c>
      <c r="G505" s="202" t="str">
        <f t="shared" si="5"/>
        <v/>
      </c>
      <c r="H505" s="202" t="str">
        <f t="shared" si="11"/>
        <v> </v>
      </c>
      <c r="I505" s="205" t="str">
        <f t="shared" si="7"/>
        <v/>
      </c>
      <c r="J505" s="205"/>
      <c r="K505" s="205"/>
    </row>
    <row r="506" ht="14.25" customHeight="1">
      <c r="A506" s="55">
        <v>46161.0</v>
      </c>
      <c r="B506" s="55" t="str">
        <f t="shared" si="10"/>
        <v>Primer dia</v>
      </c>
      <c r="C506" s="202">
        <f t="shared" si="1"/>
        <v>19</v>
      </c>
      <c r="D506" s="202" t="str">
        <f t="shared" si="2"/>
        <v> </v>
      </c>
      <c r="E506" s="202" t="str">
        <f t="shared" si="9"/>
        <v> </v>
      </c>
      <c r="F506" s="55" t="str">
        <f t="shared" si="4"/>
        <v/>
      </c>
      <c r="G506" s="202" t="str">
        <f t="shared" si="5"/>
        <v/>
      </c>
      <c r="H506" s="202" t="str">
        <f t="shared" si="11"/>
        <v> </v>
      </c>
      <c r="I506" s="205" t="str">
        <f t="shared" si="7"/>
        <v/>
      </c>
      <c r="J506" s="205"/>
      <c r="K506" s="205"/>
    </row>
    <row r="507" ht="14.25" customHeight="1">
      <c r="A507" s="55">
        <v>46162.0</v>
      </c>
      <c r="B507" s="55" t="str">
        <f t="shared" si="10"/>
        <v>Primer dia</v>
      </c>
      <c r="C507" s="202">
        <f t="shared" si="1"/>
        <v>20</v>
      </c>
      <c r="D507" s="202" t="str">
        <f t="shared" si="2"/>
        <v> </v>
      </c>
      <c r="E507" s="202" t="str">
        <f t="shared" si="9"/>
        <v> </v>
      </c>
      <c r="F507" s="55" t="str">
        <f t="shared" si="4"/>
        <v/>
      </c>
      <c r="G507" s="202" t="str">
        <f t="shared" si="5"/>
        <v/>
      </c>
      <c r="H507" s="202" t="str">
        <f t="shared" si="11"/>
        <v> </v>
      </c>
      <c r="I507" s="205" t="str">
        <f t="shared" si="7"/>
        <v/>
      </c>
      <c r="J507" s="205"/>
      <c r="K507" s="205"/>
    </row>
    <row r="508" ht="14.25" customHeight="1">
      <c r="A508" s="55">
        <v>46163.0</v>
      </c>
      <c r="B508" s="55" t="str">
        <f t="shared" si="10"/>
        <v>Primer dia</v>
      </c>
      <c r="C508" s="202">
        <f t="shared" si="1"/>
        <v>21</v>
      </c>
      <c r="D508" s="202" t="str">
        <f t="shared" si="2"/>
        <v> </v>
      </c>
      <c r="E508" s="202" t="str">
        <f t="shared" si="9"/>
        <v> </v>
      </c>
      <c r="F508" s="55" t="str">
        <f t="shared" si="4"/>
        <v/>
      </c>
      <c r="G508" s="202" t="str">
        <f t="shared" si="5"/>
        <v/>
      </c>
      <c r="H508" s="202" t="str">
        <f t="shared" si="11"/>
        <v> </v>
      </c>
      <c r="I508" s="205" t="str">
        <f t="shared" si="7"/>
        <v/>
      </c>
      <c r="J508" s="205"/>
      <c r="K508" s="205"/>
    </row>
    <row r="509" ht="14.25" customHeight="1">
      <c r="A509" s="55">
        <v>46164.0</v>
      </c>
      <c r="B509" s="55" t="str">
        <f t="shared" si="10"/>
        <v>Primer dia</v>
      </c>
      <c r="C509" s="202">
        <f t="shared" si="1"/>
        <v>22</v>
      </c>
      <c r="D509" s="202" t="str">
        <f t="shared" si="2"/>
        <v> </v>
      </c>
      <c r="E509" s="202" t="str">
        <f t="shared" si="9"/>
        <v> </v>
      </c>
      <c r="F509" s="55" t="str">
        <f t="shared" si="4"/>
        <v/>
      </c>
      <c r="G509" s="202" t="str">
        <f t="shared" si="5"/>
        <v/>
      </c>
      <c r="H509" s="202" t="str">
        <f t="shared" si="11"/>
        <v> </v>
      </c>
      <c r="I509" s="205" t="str">
        <f t="shared" si="7"/>
        <v/>
      </c>
      <c r="J509" s="205"/>
      <c r="K509" s="205"/>
    </row>
    <row r="510" ht="14.25" customHeight="1">
      <c r="A510" s="55">
        <v>46165.0</v>
      </c>
      <c r="B510" s="55" t="str">
        <f t="shared" si="10"/>
        <v>Primer dia</v>
      </c>
      <c r="C510" s="202">
        <f t="shared" si="1"/>
        <v>23</v>
      </c>
      <c r="D510" s="202" t="str">
        <f t="shared" si="2"/>
        <v> </v>
      </c>
      <c r="E510" s="202" t="str">
        <f t="shared" si="9"/>
        <v> </v>
      </c>
      <c r="F510" s="55" t="str">
        <f t="shared" si="4"/>
        <v/>
      </c>
      <c r="G510" s="202" t="str">
        <f t="shared" si="5"/>
        <v/>
      </c>
      <c r="H510" s="202" t="str">
        <f t="shared" si="11"/>
        <v> </v>
      </c>
      <c r="I510" s="205" t="str">
        <f t="shared" si="7"/>
        <v/>
      </c>
      <c r="J510" s="205"/>
      <c r="K510" s="205"/>
    </row>
    <row r="511" ht="14.25" customHeight="1">
      <c r="A511" s="55">
        <v>46166.0</v>
      </c>
      <c r="B511" s="55" t="str">
        <f t="shared" si="10"/>
        <v>Primer dia</v>
      </c>
      <c r="C511" s="202">
        <f t="shared" si="1"/>
        <v>24</v>
      </c>
      <c r="D511" s="202" t="str">
        <f t="shared" si="2"/>
        <v> </v>
      </c>
      <c r="E511" s="202" t="str">
        <f t="shared" si="9"/>
        <v> </v>
      </c>
      <c r="F511" s="55" t="str">
        <f t="shared" si="4"/>
        <v/>
      </c>
      <c r="G511" s="202" t="str">
        <f t="shared" si="5"/>
        <v/>
      </c>
      <c r="H511" s="202" t="str">
        <f t="shared" si="11"/>
        <v> </v>
      </c>
      <c r="I511" s="205" t="str">
        <f t="shared" si="7"/>
        <v/>
      </c>
      <c r="J511" s="205"/>
      <c r="K511" s="205"/>
    </row>
    <row r="512" ht="14.25" customHeight="1">
      <c r="A512" s="55">
        <v>46167.0</v>
      </c>
      <c r="B512" s="55" t="str">
        <f t="shared" si="10"/>
        <v>Primer dia</v>
      </c>
      <c r="C512" s="202">
        <f t="shared" si="1"/>
        <v>25</v>
      </c>
      <c r="D512" s="202" t="str">
        <f t="shared" si="2"/>
        <v> </v>
      </c>
      <c r="E512" s="202" t="str">
        <f t="shared" si="9"/>
        <v> </v>
      </c>
      <c r="F512" s="55" t="str">
        <f t="shared" si="4"/>
        <v/>
      </c>
      <c r="G512" s="202" t="str">
        <f t="shared" si="5"/>
        <v/>
      </c>
      <c r="H512" s="202" t="str">
        <f t="shared" si="11"/>
        <v> </v>
      </c>
      <c r="I512" s="205" t="str">
        <f t="shared" si="7"/>
        <v/>
      </c>
      <c r="J512" s="205"/>
      <c r="K512" s="205"/>
    </row>
    <row r="513" ht="14.25" customHeight="1">
      <c r="A513" s="55">
        <v>46168.0</v>
      </c>
      <c r="B513" s="55" t="str">
        <f t="shared" si="10"/>
        <v>Primer dia</v>
      </c>
      <c r="C513" s="202">
        <f t="shared" si="1"/>
        <v>26</v>
      </c>
      <c r="D513" s="202" t="str">
        <f t="shared" si="2"/>
        <v> </v>
      </c>
      <c r="E513" s="202" t="str">
        <f t="shared" si="9"/>
        <v> </v>
      </c>
      <c r="F513" s="55" t="str">
        <f t="shared" si="4"/>
        <v/>
      </c>
      <c r="G513" s="202" t="str">
        <f t="shared" si="5"/>
        <v/>
      </c>
      <c r="H513" s="202" t="str">
        <f t="shared" si="11"/>
        <v> </v>
      </c>
      <c r="I513" s="205" t="str">
        <f t="shared" si="7"/>
        <v/>
      </c>
      <c r="J513" s="205"/>
      <c r="K513" s="205"/>
    </row>
    <row r="514" ht="14.25" customHeight="1">
      <c r="A514" s="55">
        <v>46169.0</v>
      </c>
      <c r="B514" s="55" t="str">
        <f t="shared" si="10"/>
        <v>Primer dia</v>
      </c>
      <c r="C514" s="202">
        <f t="shared" si="1"/>
        <v>27</v>
      </c>
      <c r="D514" s="202" t="str">
        <f t="shared" si="2"/>
        <v> </v>
      </c>
      <c r="E514" s="202" t="str">
        <f t="shared" si="9"/>
        <v> </v>
      </c>
      <c r="F514" s="55" t="str">
        <f t="shared" si="4"/>
        <v/>
      </c>
      <c r="G514" s="202" t="str">
        <f t="shared" si="5"/>
        <v/>
      </c>
      <c r="H514" s="202" t="str">
        <f t="shared" si="11"/>
        <v> </v>
      </c>
      <c r="I514" s="205" t="str">
        <f t="shared" si="7"/>
        <v/>
      </c>
      <c r="J514" s="205"/>
      <c r="K514" s="205"/>
    </row>
    <row r="515" ht="14.25" customHeight="1">
      <c r="A515" s="55">
        <v>46170.0</v>
      </c>
      <c r="B515" s="55" t="str">
        <f t="shared" si="10"/>
        <v>Primer dia</v>
      </c>
      <c r="C515" s="202">
        <f t="shared" si="1"/>
        <v>28</v>
      </c>
      <c r="D515" s="202" t="str">
        <f t="shared" si="2"/>
        <v> </v>
      </c>
      <c r="E515" s="202" t="str">
        <f t="shared" si="9"/>
        <v> </v>
      </c>
      <c r="F515" s="55" t="str">
        <f t="shared" si="4"/>
        <v/>
      </c>
      <c r="G515" s="202" t="str">
        <f t="shared" si="5"/>
        <v/>
      </c>
      <c r="H515" s="202" t="str">
        <f t="shared" si="11"/>
        <v> </v>
      </c>
      <c r="I515" s="205" t="str">
        <f t="shared" si="7"/>
        <v/>
      </c>
      <c r="J515" s="205"/>
      <c r="K515" s="205"/>
    </row>
    <row r="516" ht="14.25" customHeight="1">
      <c r="A516" s="55">
        <v>46171.0</v>
      </c>
      <c r="B516" s="55" t="str">
        <f t="shared" si="10"/>
        <v>Primer dia</v>
      </c>
      <c r="C516" s="202">
        <f t="shared" si="1"/>
        <v>29</v>
      </c>
      <c r="D516" s="202" t="str">
        <f t="shared" si="2"/>
        <v> </v>
      </c>
      <c r="E516" s="202" t="str">
        <f t="shared" si="9"/>
        <v> </v>
      </c>
      <c r="F516" s="55" t="str">
        <f t="shared" si="4"/>
        <v/>
      </c>
      <c r="G516" s="202" t="str">
        <f t="shared" si="5"/>
        <v/>
      </c>
      <c r="H516" s="202" t="str">
        <f t="shared" si="11"/>
        <v> </v>
      </c>
      <c r="I516" s="205" t="str">
        <f t="shared" si="7"/>
        <v/>
      </c>
      <c r="J516" s="205"/>
      <c r="K516" s="205"/>
    </row>
    <row r="517" ht="14.25" customHeight="1">
      <c r="A517" s="55">
        <v>46172.0</v>
      </c>
      <c r="B517" s="55" t="str">
        <f t="shared" si="10"/>
        <v>Primer dia</v>
      </c>
      <c r="C517" s="202">
        <f t="shared" si="1"/>
        <v>30</v>
      </c>
      <c r="D517" s="202" t="str">
        <f t="shared" si="2"/>
        <v> </v>
      </c>
      <c r="E517" s="202" t="str">
        <f t="shared" si="9"/>
        <v> </v>
      </c>
      <c r="F517" s="55" t="str">
        <f t="shared" si="4"/>
        <v/>
      </c>
      <c r="G517" s="202" t="str">
        <f t="shared" si="5"/>
        <v/>
      </c>
      <c r="H517" s="202" t="str">
        <f t="shared" si="11"/>
        <v> </v>
      </c>
      <c r="I517" s="205" t="str">
        <f t="shared" si="7"/>
        <v/>
      </c>
      <c r="J517" s="205"/>
      <c r="K517" s="205"/>
    </row>
    <row r="518" ht="14.25" customHeight="1">
      <c r="A518" s="55">
        <v>46173.0</v>
      </c>
      <c r="B518" s="55" t="str">
        <f t="shared" si="10"/>
        <v>Primer dia</v>
      </c>
      <c r="C518" s="202">
        <f t="shared" si="1"/>
        <v>31</v>
      </c>
      <c r="D518" s="202" t="str">
        <f t="shared" si="2"/>
        <v> </v>
      </c>
      <c r="E518" s="202" t="str">
        <f t="shared" si="9"/>
        <v> </v>
      </c>
      <c r="F518" s="55" t="str">
        <f t="shared" si="4"/>
        <v/>
      </c>
      <c r="G518" s="202" t="str">
        <f t="shared" si="5"/>
        <v/>
      </c>
      <c r="H518" s="202" t="str">
        <f t="shared" si="11"/>
        <v> </v>
      </c>
      <c r="I518" s="205" t="str">
        <f t="shared" si="7"/>
        <v/>
      </c>
      <c r="J518" s="205"/>
      <c r="K518" s="205"/>
    </row>
    <row r="519" ht="14.25" customHeight="1">
      <c r="A519" s="55">
        <v>46174.0</v>
      </c>
      <c r="B519" s="55" t="str">
        <f t="shared" si="10"/>
        <v>Primer dia</v>
      </c>
      <c r="C519" s="202">
        <f t="shared" si="1"/>
        <v>1</v>
      </c>
      <c r="D519" s="202" t="str">
        <f t="shared" si="2"/>
        <v> </v>
      </c>
      <c r="E519" s="202" t="str">
        <f t="shared" si="9"/>
        <v> </v>
      </c>
      <c r="F519" s="55" t="str">
        <f t="shared" si="4"/>
        <v/>
      </c>
      <c r="G519" s="202" t="str">
        <f t="shared" si="5"/>
        <v/>
      </c>
      <c r="H519" s="202" t="str">
        <f t="shared" si="11"/>
        <v> </v>
      </c>
      <c r="I519" s="205" t="str">
        <f t="shared" si="7"/>
        <v/>
      </c>
      <c r="J519" s="205"/>
      <c r="K519" s="205"/>
    </row>
    <row r="520" ht="14.25" customHeight="1">
      <c r="A520" s="55">
        <v>46175.0</v>
      </c>
      <c r="B520" s="55" t="str">
        <f t="shared" si="10"/>
        <v>Primer dia</v>
      </c>
      <c r="C520" s="202">
        <f t="shared" si="1"/>
        <v>2</v>
      </c>
      <c r="D520" s="202" t="str">
        <f t="shared" si="2"/>
        <v> </v>
      </c>
      <c r="E520" s="202">
        <f t="shared" si="9"/>
        <v>2</v>
      </c>
      <c r="F520" s="55">
        <f t="shared" si="4"/>
        <v>46175</v>
      </c>
      <c r="G520" s="202">
        <f t="shared" si="5"/>
        <v>9</v>
      </c>
      <c r="H520" s="202" t="str">
        <f t="shared" si="11"/>
        <v> </v>
      </c>
      <c r="I520" s="205" t="str">
        <f t="shared" si="7"/>
        <v/>
      </c>
      <c r="J520" s="205"/>
      <c r="K520" s="205"/>
    </row>
    <row r="521" ht="14.25" customHeight="1">
      <c r="A521" s="55">
        <v>46176.0</v>
      </c>
      <c r="B521" s="55" t="str">
        <f t="shared" si="10"/>
        <v>Primer dia</v>
      </c>
      <c r="C521" s="202">
        <f t="shared" si="1"/>
        <v>3</v>
      </c>
      <c r="D521" s="202" t="str">
        <f t="shared" si="2"/>
        <v> </v>
      </c>
      <c r="E521" s="202" t="str">
        <f t="shared" si="9"/>
        <v> </v>
      </c>
      <c r="F521" s="55" t="str">
        <f t="shared" si="4"/>
        <v/>
      </c>
      <c r="G521" s="202" t="str">
        <f t="shared" si="5"/>
        <v/>
      </c>
      <c r="H521" s="202" t="str">
        <f t="shared" si="11"/>
        <v> </v>
      </c>
      <c r="I521" s="205" t="str">
        <f t="shared" si="7"/>
        <v/>
      </c>
      <c r="J521" s="205"/>
      <c r="K521" s="205"/>
    </row>
    <row r="522" ht="14.25" customHeight="1">
      <c r="A522" s="55">
        <v>46177.0</v>
      </c>
      <c r="B522" s="55" t="str">
        <f t="shared" si="10"/>
        <v>Primer dia</v>
      </c>
      <c r="C522" s="202">
        <f t="shared" si="1"/>
        <v>4</v>
      </c>
      <c r="D522" s="202" t="str">
        <f t="shared" si="2"/>
        <v> </v>
      </c>
      <c r="E522" s="202" t="str">
        <f t="shared" si="9"/>
        <v> </v>
      </c>
      <c r="F522" s="55" t="str">
        <f t="shared" si="4"/>
        <v/>
      </c>
      <c r="G522" s="202" t="str">
        <f t="shared" si="5"/>
        <v/>
      </c>
      <c r="H522" s="202" t="str">
        <f t="shared" si="11"/>
        <v> </v>
      </c>
      <c r="I522" s="205" t="str">
        <f t="shared" si="7"/>
        <v/>
      </c>
      <c r="J522" s="205"/>
      <c r="K522" s="205"/>
    </row>
    <row r="523" ht="14.25" customHeight="1">
      <c r="A523" s="55">
        <v>46178.0</v>
      </c>
      <c r="B523" s="55" t="str">
        <f t="shared" si="10"/>
        <v>Primer dia</v>
      </c>
      <c r="C523" s="202">
        <f t="shared" si="1"/>
        <v>5</v>
      </c>
      <c r="D523" s="202" t="str">
        <f t="shared" si="2"/>
        <v> </v>
      </c>
      <c r="E523" s="202" t="str">
        <f t="shared" si="9"/>
        <v> </v>
      </c>
      <c r="F523" s="55" t="str">
        <f t="shared" si="4"/>
        <v/>
      </c>
      <c r="G523" s="202" t="str">
        <f t="shared" si="5"/>
        <v/>
      </c>
      <c r="H523" s="202" t="str">
        <f t="shared" si="11"/>
        <v> </v>
      </c>
      <c r="I523" s="205" t="str">
        <f t="shared" si="7"/>
        <v/>
      </c>
      <c r="J523" s="205"/>
      <c r="K523" s="205"/>
    </row>
    <row r="524" ht="14.25" customHeight="1">
      <c r="A524" s="55">
        <v>46179.0</v>
      </c>
      <c r="B524" s="55" t="str">
        <f t="shared" si="10"/>
        <v>Primer dia</v>
      </c>
      <c r="C524" s="202">
        <f t="shared" si="1"/>
        <v>6</v>
      </c>
      <c r="D524" s="202" t="str">
        <f t="shared" si="2"/>
        <v> </v>
      </c>
      <c r="E524" s="202" t="str">
        <f t="shared" si="9"/>
        <v> </v>
      </c>
      <c r="F524" s="55" t="str">
        <f t="shared" si="4"/>
        <v/>
      </c>
      <c r="G524" s="202" t="str">
        <f t="shared" si="5"/>
        <v/>
      </c>
      <c r="H524" s="202" t="str">
        <f t="shared" si="11"/>
        <v> </v>
      </c>
      <c r="I524" s="205" t="str">
        <f t="shared" si="7"/>
        <v/>
      </c>
      <c r="J524" s="205"/>
      <c r="K524" s="205"/>
    </row>
    <row r="525" ht="14.25" customHeight="1">
      <c r="A525" s="55">
        <v>46180.0</v>
      </c>
      <c r="B525" s="55" t="str">
        <f t="shared" si="10"/>
        <v>Primer dia</v>
      </c>
      <c r="C525" s="202">
        <f t="shared" si="1"/>
        <v>7</v>
      </c>
      <c r="D525" s="202" t="str">
        <f t="shared" si="2"/>
        <v> </v>
      </c>
      <c r="E525" s="202" t="str">
        <f t="shared" si="9"/>
        <v> </v>
      </c>
      <c r="F525" s="55" t="str">
        <f t="shared" si="4"/>
        <v/>
      </c>
      <c r="G525" s="202" t="str">
        <f t="shared" si="5"/>
        <v/>
      </c>
      <c r="H525" s="202" t="str">
        <f t="shared" si="11"/>
        <v> </v>
      </c>
      <c r="I525" s="205" t="str">
        <f t="shared" si="7"/>
        <v/>
      </c>
      <c r="J525" s="205"/>
      <c r="K525" s="205"/>
    </row>
    <row r="526" ht="14.25" customHeight="1">
      <c r="A526" s="55">
        <v>46181.0</v>
      </c>
      <c r="B526" s="55" t="str">
        <f t="shared" si="10"/>
        <v>Primer dia</v>
      </c>
      <c r="C526" s="202">
        <f t="shared" si="1"/>
        <v>8</v>
      </c>
      <c r="D526" s="202" t="str">
        <f t="shared" si="2"/>
        <v> </v>
      </c>
      <c r="E526" s="202" t="str">
        <f t="shared" si="9"/>
        <v> </v>
      </c>
      <c r="F526" s="55" t="str">
        <f t="shared" si="4"/>
        <v/>
      </c>
      <c r="G526" s="202" t="str">
        <f t="shared" si="5"/>
        <v/>
      </c>
      <c r="H526" s="202" t="str">
        <f t="shared" si="11"/>
        <v> </v>
      </c>
      <c r="I526" s="205" t="str">
        <f t="shared" si="7"/>
        <v/>
      </c>
      <c r="J526" s="205"/>
      <c r="K526" s="205"/>
    </row>
    <row r="527" ht="14.25" customHeight="1">
      <c r="A527" s="55">
        <v>46182.0</v>
      </c>
      <c r="B527" s="55" t="str">
        <f t="shared" si="10"/>
        <v>Primer dia</v>
      </c>
      <c r="C527" s="202">
        <f t="shared" si="1"/>
        <v>9</v>
      </c>
      <c r="D527" s="202" t="str">
        <f t="shared" si="2"/>
        <v> </v>
      </c>
      <c r="E527" s="202" t="str">
        <f t="shared" si="9"/>
        <v> </v>
      </c>
      <c r="F527" s="55" t="str">
        <f t="shared" si="4"/>
        <v/>
      </c>
      <c r="G527" s="202" t="str">
        <f t="shared" si="5"/>
        <v/>
      </c>
      <c r="H527" s="202" t="str">
        <f t="shared" si="11"/>
        <v> </v>
      </c>
      <c r="I527" s="205" t="str">
        <f t="shared" si="7"/>
        <v/>
      </c>
      <c r="J527" s="205"/>
      <c r="K527" s="205"/>
    </row>
    <row r="528" ht="14.25" customHeight="1">
      <c r="A528" s="55">
        <v>46183.0</v>
      </c>
      <c r="B528" s="55" t="str">
        <f t="shared" si="10"/>
        <v>Primer dia</v>
      </c>
      <c r="C528" s="202">
        <f t="shared" si="1"/>
        <v>10</v>
      </c>
      <c r="D528" s="202" t="str">
        <f t="shared" si="2"/>
        <v> </v>
      </c>
      <c r="E528" s="202" t="str">
        <f t="shared" si="9"/>
        <v> </v>
      </c>
      <c r="F528" s="55" t="str">
        <f t="shared" si="4"/>
        <v/>
      </c>
      <c r="G528" s="202" t="str">
        <f t="shared" si="5"/>
        <v/>
      </c>
      <c r="H528" s="202" t="str">
        <f t="shared" si="11"/>
        <v> </v>
      </c>
      <c r="I528" s="205" t="str">
        <f t="shared" si="7"/>
        <v/>
      </c>
      <c r="J528" s="205"/>
      <c r="K528" s="205"/>
    </row>
    <row r="529" ht="14.25" customHeight="1">
      <c r="A529" s="55">
        <v>46184.0</v>
      </c>
      <c r="B529" s="55" t="str">
        <f t="shared" si="10"/>
        <v>Primer dia</v>
      </c>
      <c r="C529" s="202">
        <f t="shared" si="1"/>
        <v>11</v>
      </c>
      <c r="D529" s="202" t="str">
        <f t="shared" si="2"/>
        <v> </v>
      </c>
      <c r="E529" s="202" t="str">
        <f t="shared" si="9"/>
        <v> </v>
      </c>
      <c r="F529" s="55" t="str">
        <f t="shared" si="4"/>
        <v/>
      </c>
      <c r="G529" s="202" t="str">
        <f t="shared" si="5"/>
        <v/>
      </c>
      <c r="H529" s="202" t="str">
        <f t="shared" si="11"/>
        <v> </v>
      </c>
      <c r="I529" s="205" t="str">
        <f t="shared" si="7"/>
        <v/>
      </c>
      <c r="J529" s="205"/>
      <c r="K529" s="205"/>
    </row>
    <row r="530" ht="14.25" customHeight="1">
      <c r="A530" s="55">
        <v>46185.0</v>
      </c>
      <c r="B530" s="55" t="str">
        <f t="shared" si="10"/>
        <v>Primer dia</v>
      </c>
      <c r="C530" s="202">
        <f t="shared" si="1"/>
        <v>12</v>
      </c>
      <c r="D530" s="202" t="str">
        <f t="shared" si="2"/>
        <v> </v>
      </c>
      <c r="E530" s="202" t="str">
        <f t="shared" si="9"/>
        <v> </v>
      </c>
      <c r="F530" s="55" t="str">
        <f t="shared" si="4"/>
        <v/>
      </c>
      <c r="G530" s="202" t="str">
        <f t="shared" si="5"/>
        <v/>
      </c>
      <c r="H530" s="202" t="str">
        <f t="shared" si="11"/>
        <v> </v>
      </c>
      <c r="I530" s="205" t="str">
        <f t="shared" si="7"/>
        <v/>
      </c>
      <c r="J530" s="205"/>
      <c r="K530" s="205"/>
    </row>
    <row r="531" ht="14.25" customHeight="1">
      <c r="A531" s="55">
        <v>46186.0</v>
      </c>
      <c r="B531" s="55" t="str">
        <f t="shared" si="10"/>
        <v>Primer dia</v>
      </c>
      <c r="C531" s="202">
        <f t="shared" si="1"/>
        <v>13</v>
      </c>
      <c r="D531" s="202" t="str">
        <f t="shared" si="2"/>
        <v> </v>
      </c>
      <c r="E531" s="202" t="str">
        <f t="shared" si="9"/>
        <v> </v>
      </c>
      <c r="F531" s="55" t="str">
        <f t="shared" si="4"/>
        <v/>
      </c>
      <c r="G531" s="202" t="str">
        <f t="shared" si="5"/>
        <v/>
      </c>
      <c r="H531" s="202" t="str">
        <f t="shared" si="11"/>
        <v> </v>
      </c>
      <c r="I531" s="205" t="str">
        <f t="shared" si="7"/>
        <v/>
      </c>
      <c r="J531" s="205"/>
      <c r="K531" s="205"/>
    </row>
    <row r="532" ht="14.25" customHeight="1">
      <c r="A532" s="55">
        <v>46187.0</v>
      </c>
      <c r="B532" s="55" t="str">
        <f t="shared" si="10"/>
        <v>Primer dia</v>
      </c>
      <c r="C532" s="202">
        <f t="shared" si="1"/>
        <v>14</v>
      </c>
      <c r="D532" s="202" t="str">
        <f t="shared" si="2"/>
        <v> </v>
      </c>
      <c r="E532" s="202" t="str">
        <f t="shared" si="9"/>
        <v> </v>
      </c>
      <c r="F532" s="55" t="str">
        <f t="shared" si="4"/>
        <v/>
      </c>
      <c r="G532" s="202" t="str">
        <f t="shared" si="5"/>
        <v/>
      </c>
      <c r="H532" s="202" t="str">
        <f t="shared" si="11"/>
        <v> </v>
      </c>
      <c r="I532" s="205" t="str">
        <f t="shared" si="7"/>
        <v/>
      </c>
      <c r="J532" s="205"/>
      <c r="K532" s="205"/>
    </row>
    <row r="533" ht="14.25" customHeight="1">
      <c r="A533" s="55">
        <v>46188.0</v>
      </c>
      <c r="B533" s="55" t="str">
        <f t="shared" si="10"/>
        <v>Primer dia</v>
      </c>
      <c r="C533" s="202">
        <f t="shared" si="1"/>
        <v>15</v>
      </c>
      <c r="D533" s="202" t="str">
        <f t="shared" si="2"/>
        <v> </v>
      </c>
      <c r="E533" s="202" t="str">
        <f t="shared" si="9"/>
        <v> </v>
      </c>
      <c r="F533" s="55" t="str">
        <f t="shared" si="4"/>
        <v/>
      </c>
      <c r="G533" s="202" t="str">
        <f t="shared" si="5"/>
        <v/>
      </c>
      <c r="H533" s="202" t="str">
        <f t="shared" si="11"/>
        <v> </v>
      </c>
      <c r="I533" s="205" t="str">
        <f t="shared" si="7"/>
        <v/>
      </c>
      <c r="J533" s="205"/>
      <c r="K533" s="205"/>
    </row>
    <row r="534" ht="14.25" customHeight="1">
      <c r="A534" s="55">
        <v>46189.0</v>
      </c>
      <c r="B534" s="55" t="str">
        <f t="shared" si="10"/>
        <v>Primer dia</v>
      </c>
      <c r="C534" s="202">
        <f t="shared" si="1"/>
        <v>16</v>
      </c>
      <c r="D534" s="202" t="str">
        <f t="shared" si="2"/>
        <v> </v>
      </c>
      <c r="E534" s="202" t="str">
        <f t="shared" si="9"/>
        <v> </v>
      </c>
      <c r="F534" s="55" t="str">
        <f t="shared" si="4"/>
        <v/>
      </c>
      <c r="G534" s="202" t="str">
        <f t="shared" si="5"/>
        <v/>
      </c>
      <c r="H534" s="202" t="str">
        <f t="shared" si="11"/>
        <v> </v>
      </c>
      <c r="I534" s="205" t="str">
        <f t="shared" si="7"/>
        <v/>
      </c>
      <c r="J534" s="205"/>
      <c r="K534" s="205"/>
    </row>
    <row r="535" ht="14.25" customHeight="1">
      <c r="A535" s="55">
        <v>46190.0</v>
      </c>
      <c r="B535" s="55" t="str">
        <f t="shared" si="10"/>
        <v>Primer dia</v>
      </c>
      <c r="C535" s="202">
        <f t="shared" si="1"/>
        <v>17</v>
      </c>
      <c r="D535" s="202" t="str">
        <f t="shared" si="2"/>
        <v> </v>
      </c>
      <c r="E535" s="202">
        <f t="shared" si="9"/>
        <v>17</v>
      </c>
      <c r="F535" s="55">
        <f t="shared" si="4"/>
        <v>46190</v>
      </c>
      <c r="G535" s="202">
        <f t="shared" si="5"/>
        <v>10</v>
      </c>
      <c r="H535" s="202" t="str">
        <f t="shared" si="11"/>
        <v> </v>
      </c>
      <c r="I535" s="205" t="str">
        <f t="shared" si="7"/>
        <v/>
      </c>
      <c r="J535" s="205"/>
      <c r="K535" s="205"/>
    </row>
    <row r="536" ht="14.25" customHeight="1">
      <c r="A536" s="55">
        <v>46191.0</v>
      </c>
      <c r="B536" s="55" t="str">
        <f t="shared" si="10"/>
        <v>Primer dia</v>
      </c>
      <c r="C536" s="202">
        <f t="shared" si="1"/>
        <v>18</v>
      </c>
      <c r="D536" s="202" t="str">
        <f t="shared" si="2"/>
        <v> </v>
      </c>
      <c r="E536" s="202" t="str">
        <f t="shared" si="9"/>
        <v> </v>
      </c>
      <c r="F536" s="55" t="str">
        <f t="shared" si="4"/>
        <v/>
      </c>
      <c r="G536" s="202" t="str">
        <f t="shared" si="5"/>
        <v/>
      </c>
      <c r="H536" s="202" t="str">
        <f t="shared" si="11"/>
        <v> </v>
      </c>
      <c r="I536" s="205" t="str">
        <f t="shared" si="7"/>
        <v/>
      </c>
      <c r="J536" s="205"/>
      <c r="K536" s="205"/>
    </row>
    <row r="537" ht="14.25" customHeight="1">
      <c r="A537" s="55">
        <v>46192.0</v>
      </c>
      <c r="B537" s="55" t="str">
        <f t="shared" si="10"/>
        <v>Primer dia</v>
      </c>
      <c r="C537" s="202">
        <f t="shared" si="1"/>
        <v>19</v>
      </c>
      <c r="D537" s="202" t="str">
        <f t="shared" si="2"/>
        <v> </v>
      </c>
      <c r="E537" s="202" t="str">
        <f t="shared" si="9"/>
        <v> </v>
      </c>
      <c r="F537" s="55" t="str">
        <f t="shared" si="4"/>
        <v/>
      </c>
      <c r="G537" s="202" t="str">
        <f t="shared" si="5"/>
        <v/>
      </c>
      <c r="H537" s="202" t="str">
        <f t="shared" si="11"/>
        <v> </v>
      </c>
      <c r="I537" s="205" t="str">
        <f t="shared" si="7"/>
        <v/>
      </c>
      <c r="J537" s="205"/>
      <c r="K537" s="205"/>
    </row>
    <row r="538" ht="14.25" customHeight="1">
      <c r="A538" s="55">
        <v>46193.0</v>
      </c>
      <c r="B538" s="55" t="str">
        <f t="shared" si="10"/>
        <v>Primer dia</v>
      </c>
      <c r="C538" s="202">
        <f t="shared" si="1"/>
        <v>20</v>
      </c>
      <c r="D538" s="202" t="str">
        <f t="shared" si="2"/>
        <v> </v>
      </c>
      <c r="E538" s="202" t="str">
        <f t="shared" si="9"/>
        <v> </v>
      </c>
      <c r="F538" s="55" t="str">
        <f t="shared" si="4"/>
        <v/>
      </c>
      <c r="G538" s="202" t="str">
        <f t="shared" si="5"/>
        <v/>
      </c>
      <c r="H538" s="202" t="str">
        <f t="shared" si="11"/>
        <v> </v>
      </c>
      <c r="I538" s="205" t="str">
        <f t="shared" si="7"/>
        <v/>
      </c>
      <c r="J538" s="205"/>
      <c r="K538" s="205"/>
    </row>
    <row r="539" ht="14.25" customHeight="1">
      <c r="A539" s="55">
        <v>46194.0</v>
      </c>
      <c r="B539" s="55" t="str">
        <f t="shared" si="10"/>
        <v>Primer dia</v>
      </c>
      <c r="C539" s="202">
        <f t="shared" si="1"/>
        <v>21</v>
      </c>
      <c r="D539" s="202" t="str">
        <f t="shared" si="2"/>
        <v> </v>
      </c>
      <c r="E539" s="202" t="str">
        <f t="shared" si="9"/>
        <v> </v>
      </c>
      <c r="F539" s="55" t="str">
        <f t="shared" si="4"/>
        <v/>
      </c>
      <c r="G539" s="202" t="str">
        <f t="shared" si="5"/>
        <v/>
      </c>
      <c r="H539" s="202" t="str">
        <f t="shared" si="11"/>
        <v> </v>
      </c>
      <c r="I539" s="205" t="str">
        <f t="shared" si="7"/>
        <v/>
      </c>
      <c r="J539" s="205"/>
      <c r="K539" s="205"/>
    </row>
    <row r="540" ht="14.25" customHeight="1">
      <c r="A540" s="55">
        <v>46195.0</v>
      </c>
      <c r="B540" s="55" t="str">
        <f t="shared" si="10"/>
        <v>Primer dia</v>
      </c>
      <c r="C540" s="202">
        <f t="shared" si="1"/>
        <v>22</v>
      </c>
      <c r="D540" s="202" t="str">
        <f t="shared" si="2"/>
        <v> </v>
      </c>
      <c r="E540" s="202" t="str">
        <f t="shared" si="9"/>
        <v> </v>
      </c>
      <c r="F540" s="55" t="str">
        <f t="shared" si="4"/>
        <v/>
      </c>
      <c r="G540" s="202" t="str">
        <f t="shared" si="5"/>
        <v/>
      </c>
      <c r="H540" s="202" t="str">
        <f t="shared" si="11"/>
        <v> </v>
      </c>
      <c r="I540" s="205" t="str">
        <f t="shared" si="7"/>
        <v/>
      </c>
      <c r="J540" s="205"/>
      <c r="K540" s="205"/>
    </row>
    <row r="541" ht="14.25" customHeight="1">
      <c r="A541" s="55">
        <v>46196.0</v>
      </c>
      <c r="B541" s="55" t="str">
        <f t="shared" si="10"/>
        <v>Primer dia</v>
      </c>
      <c r="C541" s="202">
        <f t="shared" si="1"/>
        <v>23</v>
      </c>
      <c r="D541" s="202" t="str">
        <f t="shared" si="2"/>
        <v> </v>
      </c>
      <c r="E541" s="202" t="str">
        <f t="shared" si="9"/>
        <v> </v>
      </c>
      <c r="F541" s="55" t="str">
        <f t="shared" si="4"/>
        <v/>
      </c>
      <c r="G541" s="202" t="str">
        <f t="shared" si="5"/>
        <v/>
      </c>
      <c r="H541" s="202" t="str">
        <f t="shared" si="11"/>
        <v> </v>
      </c>
      <c r="I541" s="205" t="str">
        <f t="shared" si="7"/>
        <v/>
      </c>
      <c r="J541" s="205"/>
      <c r="K541" s="205"/>
    </row>
    <row r="542" ht="14.25" customHeight="1">
      <c r="A542" s="55">
        <v>46197.0</v>
      </c>
      <c r="B542" s="55" t="str">
        <f t="shared" si="10"/>
        <v>Primer dia</v>
      </c>
      <c r="C542" s="202">
        <f t="shared" si="1"/>
        <v>24</v>
      </c>
      <c r="D542" s="202" t="str">
        <f t="shared" si="2"/>
        <v> </v>
      </c>
      <c r="E542" s="202" t="str">
        <f t="shared" si="9"/>
        <v> </v>
      </c>
      <c r="F542" s="55" t="str">
        <f t="shared" si="4"/>
        <v/>
      </c>
      <c r="G542" s="202" t="str">
        <f t="shared" si="5"/>
        <v/>
      </c>
      <c r="H542" s="202" t="str">
        <f t="shared" si="11"/>
        <v> </v>
      </c>
      <c r="I542" s="205" t="str">
        <f t="shared" si="7"/>
        <v/>
      </c>
      <c r="J542" s="205"/>
      <c r="K542" s="205"/>
    </row>
    <row r="543" ht="14.25" customHeight="1">
      <c r="A543" s="55">
        <v>46198.0</v>
      </c>
      <c r="B543" s="55" t="str">
        <f t="shared" si="10"/>
        <v>Primer dia</v>
      </c>
      <c r="C543" s="202">
        <f t="shared" si="1"/>
        <v>25</v>
      </c>
      <c r="D543" s="202" t="str">
        <f t="shared" si="2"/>
        <v> </v>
      </c>
      <c r="E543" s="202" t="str">
        <f t="shared" si="9"/>
        <v> </v>
      </c>
      <c r="F543" s="55" t="str">
        <f t="shared" si="4"/>
        <v/>
      </c>
      <c r="G543" s="202" t="str">
        <f t="shared" si="5"/>
        <v/>
      </c>
      <c r="H543" s="202" t="str">
        <f t="shared" si="11"/>
        <v> </v>
      </c>
      <c r="I543" s="205" t="str">
        <f t="shared" si="7"/>
        <v/>
      </c>
      <c r="J543" s="205"/>
      <c r="K543" s="205"/>
    </row>
    <row r="544" ht="14.25" customHeight="1">
      <c r="A544" s="55">
        <v>46199.0</v>
      </c>
      <c r="B544" s="55" t="str">
        <f t="shared" si="10"/>
        <v>Primer dia</v>
      </c>
      <c r="C544" s="202">
        <f t="shared" si="1"/>
        <v>26</v>
      </c>
      <c r="D544" s="202" t="str">
        <f t="shared" si="2"/>
        <v> </v>
      </c>
      <c r="E544" s="202" t="str">
        <f t="shared" si="9"/>
        <v> </v>
      </c>
      <c r="F544" s="55" t="str">
        <f t="shared" si="4"/>
        <v/>
      </c>
      <c r="G544" s="202" t="str">
        <f t="shared" si="5"/>
        <v/>
      </c>
      <c r="H544" s="202" t="str">
        <f t="shared" si="11"/>
        <v> </v>
      </c>
      <c r="I544" s="205" t="str">
        <f t="shared" si="7"/>
        <v/>
      </c>
      <c r="J544" s="205"/>
      <c r="K544" s="205"/>
    </row>
    <row r="545" ht="14.25" customHeight="1">
      <c r="A545" s="55">
        <v>46200.0</v>
      </c>
      <c r="B545" s="55" t="str">
        <f t="shared" si="10"/>
        <v>Primer dia</v>
      </c>
      <c r="C545" s="202">
        <f t="shared" si="1"/>
        <v>27</v>
      </c>
      <c r="D545" s="202" t="str">
        <f t="shared" si="2"/>
        <v> </v>
      </c>
      <c r="E545" s="202" t="str">
        <f t="shared" si="9"/>
        <v> </v>
      </c>
      <c r="F545" s="55" t="str">
        <f t="shared" si="4"/>
        <v/>
      </c>
      <c r="G545" s="202" t="str">
        <f t="shared" si="5"/>
        <v/>
      </c>
      <c r="H545" s="202" t="str">
        <f t="shared" si="11"/>
        <v> </v>
      </c>
      <c r="I545" s="205" t="str">
        <f t="shared" si="7"/>
        <v/>
      </c>
      <c r="J545" s="205"/>
      <c r="K545" s="205"/>
    </row>
    <row r="546" ht="14.25" customHeight="1">
      <c r="A546" s="55">
        <v>46201.0</v>
      </c>
      <c r="B546" s="55" t="str">
        <f t="shared" si="10"/>
        <v>Primer dia</v>
      </c>
      <c r="C546" s="202">
        <f t="shared" si="1"/>
        <v>28</v>
      </c>
      <c r="D546" s="202" t="str">
        <f t="shared" si="2"/>
        <v> </v>
      </c>
      <c r="E546" s="202" t="str">
        <f t="shared" si="9"/>
        <v> </v>
      </c>
      <c r="F546" s="55" t="str">
        <f t="shared" si="4"/>
        <v/>
      </c>
      <c r="G546" s="202" t="str">
        <f t="shared" si="5"/>
        <v/>
      </c>
      <c r="H546" s="202" t="str">
        <f t="shared" si="11"/>
        <v> </v>
      </c>
      <c r="I546" s="205" t="str">
        <f t="shared" si="7"/>
        <v/>
      </c>
      <c r="J546" s="205"/>
      <c r="K546" s="205"/>
    </row>
    <row r="547" ht="14.25" customHeight="1">
      <c r="A547" s="55">
        <v>46202.0</v>
      </c>
      <c r="B547" s="55" t="str">
        <f t="shared" si="10"/>
        <v>Primer dia</v>
      </c>
      <c r="C547" s="202">
        <f t="shared" si="1"/>
        <v>29</v>
      </c>
      <c r="D547" s="202" t="str">
        <f t="shared" si="2"/>
        <v> </v>
      </c>
      <c r="E547" s="202" t="str">
        <f t="shared" si="9"/>
        <v> </v>
      </c>
      <c r="F547" s="55" t="str">
        <f t="shared" si="4"/>
        <v/>
      </c>
      <c r="G547" s="202" t="str">
        <f t="shared" si="5"/>
        <v/>
      </c>
      <c r="H547" s="202" t="str">
        <f t="shared" si="11"/>
        <v> </v>
      </c>
      <c r="I547" s="205" t="str">
        <f t="shared" si="7"/>
        <v/>
      </c>
      <c r="J547" s="205"/>
      <c r="K547" s="205"/>
    </row>
    <row r="548" ht="14.25" customHeight="1">
      <c r="A548" s="55">
        <v>46203.0</v>
      </c>
      <c r="B548" s="55" t="str">
        <f t="shared" si="10"/>
        <v>Primer dia</v>
      </c>
      <c r="C548" s="202">
        <f t="shared" si="1"/>
        <v>30</v>
      </c>
      <c r="D548" s="202" t="str">
        <f t="shared" si="2"/>
        <v> </v>
      </c>
      <c r="E548" s="202" t="str">
        <f t="shared" si="9"/>
        <v> </v>
      </c>
      <c r="F548" s="55" t="str">
        <f t="shared" si="4"/>
        <v/>
      </c>
      <c r="G548" s="202" t="str">
        <f t="shared" si="5"/>
        <v/>
      </c>
      <c r="H548" s="202" t="str">
        <f t="shared" si="11"/>
        <v> </v>
      </c>
      <c r="I548" s="205" t="str">
        <f t="shared" si="7"/>
        <v/>
      </c>
      <c r="J548" s="205"/>
      <c r="K548" s="205"/>
    </row>
    <row r="549" ht="14.25" customHeight="1">
      <c r="A549" s="55">
        <v>46204.0</v>
      </c>
      <c r="B549" s="55" t="str">
        <f t="shared" si="10"/>
        <v>Primer dia</v>
      </c>
      <c r="C549" s="202">
        <f t="shared" si="1"/>
        <v>1</v>
      </c>
      <c r="D549" s="202" t="str">
        <f t="shared" si="2"/>
        <v> </v>
      </c>
      <c r="E549" s="202" t="str">
        <f t="shared" si="9"/>
        <v> </v>
      </c>
      <c r="F549" s="55" t="str">
        <f t="shared" si="4"/>
        <v/>
      </c>
      <c r="G549" s="202" t="str">
        <f t="shared" si="5"/>
        <v/>
      </c>
      <c r="H549" s="202" t="str">
        <f t="shared" si="11"/>
        <v> </v>
      </c>
      <c r="I549" s="205" t="str">
        <f t="shared" si="7"/>
        <v/>
      </c>
      <c r="J549" s="205"/>
      <c r="K549" s="205"/>
    </row>
    <row r="550" ht="14.25" customHeight="1">
      <c r="A550" s="55">
        <v>46205.0</v>
      </c>
      <c r="B550" s="55" t="str">
        <f t="shared" si="10"/>
        <v>Primer dia</v>
      </c>
      <c r="C550" s="202">
        <f t="shared" si="1"/>
        <v>2</v>
      </c>
      <c r="D550" s="202" t="str">
        <f t="shared" si="2"/>
        <v> </v>
      </c>
      <c r="E550" s="202">
        <f t="shared" si="9"/>
        <v>2</v>
      </c>
      <c r="F550" s="55">
        <f t="shared" si="4"/>
        <v>46205</v>
      </c>
      <c r="G550" s="202">
        <f t="shared" si="5"/>
        <v>11</v>
      </c>
      <c r="H550" s="202" t="str">
        <f t="shared" si="11"/>
        <v> </v>
      </c>
      <c r="I550" s="205" t="str">
        <f t="shared" si="7"/>
        <v/>
      </c>
      <c r="J550" s="205"/>
      <c r="K550" s="205"/>
    </row>
    <row r="551" ht="14.25" customHeight="1">
      <c r="A551" s="55">
        <v>46206.0</v>
      </c>
      <c r="B551" s="55" t="str">
        <f t="shared" si="10"/>
        <v>Primer dia</v>
      </c>
      <c r="C551" s="202">
        <f t="shared" si="1"/>
        <v>3</v>
      </c>
      <c r="D551" s="202" t="str">
        <f t="shared" si="2"/>
        <v> </v>
      </c>
      <c r="E551" s="202" t="str">
        <f t="shared" si="9"/>
        <v> </v>
      </c>
      <c r="F551" s="55" t="str">
        <f t="shared" si="4"/>
        <v/>
      </c>
      <c r="G551" s="202" t="str">
        <f t="shared" si="5"/>
        <v/>
      </c>
      <c r="H551" s="202" t="str">
        <f t="shared" si="11"/>
        <v> </v>
      </c>
      <c r="I551" s="205" t="str">
        <f t="shared" si="7"/>
        <v/>
      </c>
      <c r="J551" s="205"/>
      <c r="K551" s="205"/>
    </row>
    <row r="552" ht="14.25" customHeight="1">
      <c r="A552" s="55">
        <v>46207.0</v>
      </c>
      <c r="B552" s="55" t="str">
        <f t="shared" si="10"/>
        <v>Primer dia</v>
      </c>
      <c r="C552" s="202">
        <f t="shared" si="1"/>
        <v>4</v>
      </c>
      <c r="D552" s="202" t="str">
        <f t="shared" si="2"/>
        <v> </v>
      </c>
      <c r="E552" s="202" t="str">
        <f t="shared" si="9"/>
        <v> </v>
      </c>
      <c r="F552" s="55" t="str">
        <f t="shared" si="4"/>
        <v/>
      </c>
      <c r="G552" s="202" t="str">
        <f t="shared" si="5"/>
        <v/>
      </c>
      <c r="H552" s="202" t="str">
        <f t="shared" si="11"/>
        <v> </v>
      </c>
      <c r="I552" s="205" t="str">
        <f t="shared" si="7"/>
        <v/>
      </c>
      <c r="J552" s="205"/>
      <c r="K552" s="205"/>
    </row>
    <row r="553" ht="14.25" customHeight="1">
      <c r="A553" s="55">
        <v>46208.0</v>
      </c>
      <c r="B553" s="55" t="str">
        <f t="shared" si="10"/>
        <v>Primer dia</v>
      </c>
      <c r="C553" s="202">
        <f t="shared" si="1"/>
        <v>5</v>
      </c>
      <c r="D553" s="202" t="str">
        <f t="shared" si="2"/>
        <v> </v>
      </c>
      <c r="E553" s="202" t="str">
        <f t="shared" si="9"/>
        <v> </v>
      </c>
      <c r="F553" s="55" t="str">
        <f t="shared" si="4"/>
        <v/>
      </c>
      <c r="G553" s="202" t="str">
        <f t="shared" si="5"/>
        <v/>
      </c>
      <c r="H553" s="202" t="str">
        <f t="shared" si="11"/>
        <v> </v>
      </c>
      <c r="I553" s="205" t="str">
        <f t="shared" si="7"/>
        <v/>
      </c>
      <c r="J553" s="205"/>
      <c r="K553" s="205"/>
    </row>
    <row r="554" ht="14.25" customHeight="1">
      <c r="A554" s="55">
        <v>46209.0</v>
      </c>
      <c r="B554" s="55" t="str">
        <f t="shared" si="10"/>
        <v>Primer dia</v>
      </c>
      <c r="C554" s="202">
        <f t="shared" si="1"/>
        <v>6</v>
      </c>
      <c r="D554" s="202" t="str">
        <f t="shared" si="2"/>
        <v> </v>
      </c>
      <c r="E554" s="202" t="str">
        <f t="shared" si="9"/>
        <v> </v>
      </c>
      <c r="F554" s="55" t="str">
        <f t="shared" si="4"/>
        <v/>
      </c>
      <c r="G554" s="202" t="str">
        <f t="shared" si="5"/>
        <v/>
      </c>
      <c r="H554" s="202" t="str">
        <f t="shared" si="11"/>
        <v> </v>
      </c>
      <c r="I554" s="205" t="str">
        <f t="shared" si="7"/>
        <v/>
      </c>
      <c r="J554" s="205"/>
      <c r="K554" s="205"/>
    </row>
    <row r="555" ht="14.25" customHeight="1">
      <c r="A555" s="55">
        <v>46210.0</v>
      </c>
      <c r="B555" s="55" t="str">
        <f t="shared" si="10"/>
        <v>Primer dia</v>
      </c>
      <c r="C555" s="202">
        <f t="shared" si="1"/>
        <v>7</v>
      </c>
      <c r="D555" s="202" t="str">
        <f t="shared" si="2"/>
        <v> </v>
      </c>
      <c r="E555" s="202" t="str">
        <f t="shared" si="9"/>
        <v> </v>
      </c>
      <c r="F555" s="55" t="str">
        <f t="shared" si="4"/>
        <v/>
      </c>
      <c r="G555" s="202" t="str">
        <f t="shared" si="5"/>
        <v/>
      </c>
      <c r="H555" s="202" t="str">
        <f t="shared" si="11"/>
        <v> </v>
      </c>
      <c r="I555" s="205" t="str">
        <f t="shared" si="7"/>
        <v/>
      </c>
      <c r="J555" s="205"/>
      <c r="K555" s="205"/>
    </row>
    <row r="556" ht="14.25" customHeight="1">
      <c r="A556" s="55">
        <v>46211.0</v>
      </c>
      <c r="B556" s="55" t="str">
        <f t="shared" si="10"/>
        <v>Primer dia</v>
      </c>
      <c r="C556" s="202">
        <f t="shared" si="1"/>
        <v>8</v>
      </c>
      <c r="D556" s="202" t="str">
        <f t="shared" si="2"/>
        <v> </v>
      </c>
      <c r="E556" s="202" t="str">
        <f t="shared" si="9"/>
        <v> </v>
      </c>
      <c r="F556" s="55" t="str">
        <f t="shared" si="4"/>
        <v/>
      </c>
      <c r="G556" s="202" t="str">
        <f t="shared" si="5"/>
        <v/>
      </c>
      <c r="H556" s="202" t="str">
        <f t="shared" si="11"/>
        <v> </v>
      </c>
      <c r="I556" s="205" t="str">
        <f t="shared" si="7"/>
        <v/>
      </c>
      <c r="J556" s="205"/>
      <c r="K556" s="205"/>
    </row>
    <row r="557" ht="14.25" customHeight="1">
      <c r="A557" s="55">
        <v>46212.0</v>
      </c>
      <c r="B557" s="55" t="str">
        <f t="shared" si="10"/>
        <v>Primer dia</v>
      </c>
      <c r="C557" s="202">
        <f t="shared" si="1"/>
        <v>9</v>
      </c>
      <c r="D557" s="202" t="str">
        <f t="shared" si="2"/>
        <v> </v>
      </c>
      <c r="E557" s="202" t="str">
        <f t="shared" si="9"/>
        <v> </v>
      </c>
      <c r="F557" s="55" t="str">
        <f t="shared" si="4"/>
        <v/>
      </c>
      <c r="G557" s="202" t="str">
        <f t="shared" si="5"/>
        <v/>
      </c>
      <c r="H557" s="202" t="str">
        <f t="shared" si="11"/>
        <v> </v>
      </c>
      <c r="I557" s="205" t="str">
        <f t="shared" si="7"/>
        <v/>
      </c>
      <c r="J557" s="205"/>
      <c r="K557" s="205"/>
    </row>
    <row r="558" ht="14.25" customHeight="1">
      <c r="A558" s="55">
        <v>46213.0</v>
      </c>
      <c r="B558" s="55" t="str">
        <f t="shared" si="10"/>
        <v>Primer dia</v>
      </c>
      <c r="C558" s="202">
        <f t="shared" si="1"/>
        <v>10</v>
      </c>
      <c r="D558" s="202" t="str">
        <f t="shared" si="2"/>
        <v> </v>
      </c>
      <c r="E558" s="202" t="str">
        <f t="shared" si="9"/>
        <v> </v>
      </c>
      <c r="F558" s="55" t="str">
        <f t="shared" si="4"/>
        <v/>
      </c>
      <c r="G558" s="202" t="str">
        <f t="shared" si="5"/>
        <v/>
      </c>
      <c r="H558" s="202" t="str">
        <f t="shared" si="11"/>
        <v> </v>
      </c>
      <c r="I558" s="205" t="str">
        <f t="shared" si="7"/>
        <v/>
      </c>
      <c r="J558" s="205"/>
      <c r="K558" s="205"/>
    </row>
    <row r="559" ht="14.25" customHeight="1">
      <c r="A559" s="55">
        <v>46214.0</v>
      </c>
      <c r="B559" s="55" t="str">
        <f t="shared" si="10"/>
        <v>Primer dia</v>
      </c>
      <c r="C559" s="202">
        <f t="shared" si="1"/>
        <v>11</v>
      </c>
      <c r="D559" s="202" t="str">
        <f t="shared" si="2"/>
        <v> </v>
      </c>
      <c r="E559" s="202" t="str">
        <f t="shared" si="9"/>
        <v> </v>
      </c>
      <c r="F559" s="55" t="str">
        <f t="shared" si="4"/>
        <v/>
      </c>
      <c r="G559" s="202" t="str">
        <f t="shared" si="5"/>
        <v/>
      </c>
      <c r="H559" s="202" t="str">
        <f t="shared" si="11"/>
        <v> </v>
      </c>
      <c r="I559" s="205" t="str">
        <f t="shared" si="7"/>
        <v/>
      </c>
      <c r="J559" s="205"/>
      <c r="K559" s="205"/>
    </row>
    <row r="560" ht="14.25" customHeight="1">
      <c r="A560" s="55">
        <v>46215.0</v>
      </c>
      <c r="B560" s="55" t="str">
        <f t="shared" si="10"/>
        <v>Primer dia</v>
      </c>
      <c r="C560" s="202">
        <f t="shared" si="1"/>
        <v>12</v>
      </c>
      <c r="D560" s="202" t="str">
        <f t="shared" si="2"/>
        <v> </v>
      </c>
      <c r="E560" s="202" t="str">
        <f t="shared" si="9"/>
        <v> </v>
      </c>
      <c r="F560" s="55" t="str">
        <f t="shared" si="4"/>
        <v/>
      </c>
      <c r="G560" s="202" t="str">
        <f t="shared" si="5"/>
        <v/>
      </c>
      <c r="H560" s="202" t="str">
        <f t="shared" si="11"/>
        <v> </v>
      </c>
      <c r="I560" s="205" t="str">
        <f t="shared" si="7"/>
        <v/>
      </c>
      <c r="J560" s="205"/>
      <c r="K560" s="205"/>
    </row>
    <row r="561" ht="14.25" customHeight="1">
      <c r="A561" s="55">
        <v>46216.0</v>
      </c>
      <c r="B561" s="55" t="str">
        <f t="shared" si="10"/>
        <v>Primer dia</v>
      </c>
      <c r="C561" s="202">
        <f t="shared" si="1"/>
        <v>13</v>
      </c>
      <c r="D561" s="202" t="str">
        <f t="shared" si="2"/>
        <v> </v>
      </c>
      <c r="E561" s="202" t="str">
        <f t="shared" si="9"/>
        <v> </v>
      </c>
      <c r="F561" s="55" t="str">
        <f t="shared" si="4"/>
        <v/>
      </c>
      <c r="G561" s="202" t="str">
        <f t="shared" si="5"/>
        <v/>
      </c>
      <c r="H561" s="202" t="str">
        <f t="shared" si="11"/>
        <v> </v>
      </c>
      <c r="I561" s="205" t="str">
        <f t="shared" si="7"/>
        <v/>
      </c>
      <c r="J561" s="205"/>
      <c r="K561" s="205"/>
    </row>
    <row r="562" ht="14.25" customHeight="1">
      <c r="A562" s="55">
        <v>46217.0</v>
      </c>
      <c r="B562" s="55" t="str">
        <f t="shared" si="10"/>
        <v>Primer dia</v>
      </c>
      <c r="C562" s="202">
        <f t="shared" si="1"/>
        <v>14</v>
      </c>
      <c r="D562" s="202" t="str">
        <f t="shared" si="2"/>
        <v> </v>
      </c>
      <c r="E562" s="202" t="str">
        <f t="shared" si="9"/>
        <v> </v>
      </c>
      <c r="F562" s="55" t="str">
        <f t="shared" si="4"/>
        <v/>
      </c>
      <c r="G562" s="202" t="str">
        <f t="shared" si="5"/>
        <v/>
      </c>
      <c r="H562" s="202" t="str">
        <f t="shared" si="11"/>
        <v> </v>
      </c>
      <c r="I562" s="205" t="str">
        <f t="shared" si="7"/>
        <v/>
      </c>
      <c r="J562" s="205"/>
      <c r="K562" s="205"/>
    </row>
    <row r="563" ht="14.25" customHeight="1">
      <c r="A563" s="55">
        <v>46218.0</v>
      </c>
      <c r="B563" s="55" t="str">
        <f t="shared" si="10"/>
        <v>Primer dia</v>
      </c>
      <c r="C563" s="202">
        <f t="shared" si="1"/>
        <v>15</v>
      </c>
      <c r="D563" s="202" t="str">
        <f t="shared" si="2"/>
        <v> </v>
      </c>
      <c r="E563" s="202" t="str">
        <f t="shared" si="9"/>
        <v> </v>
      </c>
      <c r="F563" s="55" t="str">
        <f t="shared" si="4"/>
        <v/>
      </c>
      <c r="G563" s="202" t="str">
        <f t="shared" si="5"/>
        <v/>
      </c>
      <c r="H563" s="202" t="str">
        <f t="shared" si="11"/>
        <v> </v>
      </c>
      <c r="I563" s="205" t="str">
        <f t="shared" si="7"/>
        <v/>
      </c>
      <c r="J563" s="205"/>
      <c r="K563" s="205"/>
    </row>
    <row r="564" ht="14.25" customHeight="1">
      <c r="A564" s="55">
        <v>46219.0</v>
      </c>
      <c r="B564" s="55" t="str">
        <f t="shared" si="10"/>
        <v>Primer dia</v>
      </c>
      <c r="C564" s="202">
        <f t="shared" si="1"/>
        <v>16</v>
      </c>
      <c r="D564" s="202" t="str">
        <f t="shared" si="2"/>
        <v> </v>
      </c>
      <c r="E564" s="202" t="str">
        <f t="shared" si="9"/>
        <v> </v>
      </c>
      <c r="F564" s="55" t="str">
        <f t="shared" si="4"/>
        <v/>
      </c>
      <c r="G564" s="202" t="str">
        <f t="shared" si="5"/>
        <v/>
      </c>
      <c r="H564" s="202" t="str">
        <f t="shared" si="11"/>
        <v> </v>
      </c>
      <c r="I564" s="205" t="str">
        <f t="shared" si="7"/>
        <v/>
      </c>
      <c r="J564" s="205"/>
      <c r="K564" s="205"/>
    </row>
    <row r="565" ht="14.25" customHeight="1">
      <c r="A565" s="55">
        <v>46220.0</v>
      </c>
      <c r="B565" s="55" t="str">
        <f t="shared" si="10"/>
        <v>Primer dia</v>
      </c>
      <c r="C565" s="202">
        <f t="shared" si="1"/>
        <v>17</v>
      </c>
      <c r="D565" s="202" t="str">
        <f t="shared" si="2"/>
        <v> </v>
      </c>
      <c r="E565" s="202">
        <f t="shared" si="9"/>
        <v>17</v>
      </c>
      <c r="F565" s="55">
        <f t="shared" si="4"/>
        <v>46220</v>
      </c>
      <c r="G565" s="202">
        <f t="shared" si="5"/>
        <v>12</v>
      </c>
      <c r="H565" s="202" t="str">
        <f t="shared" si="11"/>
        <v> </v>
      </c>
      <c r="I565" s="205" t="str">
        <f t="shared" si="7"/>
        <v/>
      </c>
      <c r="J565" s="205"/>
      <c r="K565" s="205"/>
    </row>
    <row r="566" ht="14.25" customHeight="1">
      <c r="A566" s="55">
        <v>46221.0</v>
      </c>
      <c r="B566" s="55" t="str">
        <f t="shared" si="10"/>
        <v>Primer dia</v>
      </c>
      <c r="C566" s="202">
        <f t="shared" si="1"/>
        <v>18</v>
      </c>
      <c r="D566" s="202" t="str">
        <f t="shared" si="2"/>
        <v> </v>
      </c>
      <c r="E566" s="202" t="str">
        <f t="shared" si="9"/>
        <v> </v>
      </c>
      <c r="F566" s="55" t="str">
        <f t="shared" si="4"/>
        <v/>
      </c>
      <c r="G566" s="202" t="str">
        <f t="shared" si="5"/>
        <v/>
      </c>
      <c r="H566" s="202" t="str">
        <f t="shared" si="11"/>
        <v> </v>
      </c>
      <c r="I566" s="205" t="str">
        <f t="shared" si="7"/>
        <v/>
      </c>
      <c r="J566" s="205"/>
      <c r="K566" s="205"/>
    </row>
    <row r="567" ht="14.25" customHeight="1">
      <c r="A567" s="55">
        <v>46222.0</v>
      </c>
      <c r="B567" s="55" t="str">
        <f t="shared" si="10"/>
        <v>Primer dia</v>
      </c>
      <c r="C567" s="202">
        <f t="shared" si="1"/>
        <v>19</v>
      </c>
      <c r="D567" s="202" t="str">
        <f t="shared" si="2"/>
        <v> </v>
      </c>
      <c r="E567" s="202" t="str">
        <f t="shared" si="9"/>
        <v> </v>
      </c>
      <c r="F567" s="55" t="str">
        <f t="shared" si="4"/>
        <v/>
      </c>
      <c r="G567" s="202" t="str">
        <f t="shared" si="5"/>
        <v/>
      </c>
      <c r="H567" s="202" t="str">
        <f t="shared" si="11"/>
        <v> </v>
      </c>
      <c r="I567" s="205" t="str">
        <f t="shared" si="7"/>
        <v/>
      </c>
      <c r="J567" s="205"/>
      <c r="K567" s="205"/>
    </row>
    <row r="568" ht="14.25" customHeight="1">
      <c r="A568" s="55">
        <v>46223.0</v>
      </c>
      <c r="B568" s="55" t="str">
        <f t="shared" si="10"/>
        <v>Primer dia</v>
      </c>
      <c r="C568" s="202">
        <f t="shared" si="1"/>
        <v>20</v>
      </c>
      <c r="D568" s="202" t="str">
        <f t="shared" si="2"/>
        <v> </v>
      </c>
      <c r="E568" s="202" t="str">
        <f t="shared" si="9"/>
        <v> </v>
      </c>
      <c r="F568" s="55" t="str">
        <f t="shared" si="4"/>
        <v/>
      </c>
      <c r="G568" s="202" t="str">
        <f t="shared" si="5"/>
        <v/>
      </c>
      <c r="H568" s="202" t="str">
        <f t="shared" si="11"/>
        <v> </v>
      </c>
      <c r="I568" s="205" t="str">
        <f t="shared" si="7"/>
        <v/>
      </c>
      <c r="J568" s="205"/>
      <c r="K568" s="205"/>
    </row>
    <row r="569" ht="14.25" customHeight="1">
      <c r="A569" s="55">
        <v>46224.0</v>
      </c>
      <c r="B569" s="55" t="str">
        <f t="shared" si="10"/>
        <v>Primer dia</v>
      </c>
      <c r="C569" s="202">
        <f t="shared" si="1"/>
        <v>21</v>
      </c>
      <c r="D569" s="202" t="str">
        <f t="shared" si="2"/>
        <v> </v>
      </c>
      <c r="E569" s="202" t="str">
        <f t="shared" si="9"/>
        <v> </v>
      </c>
      <c r="F569" s="55" t="str">
        <f t="shared" si="4"/>
        <v/>
      </c>
      <c r="G569" s="202" t="str">
        <f t="shared" si="5"/>
        <v/>
      </c>
      <c r="H569" s="202" t="str">
        <f t="shared" si="11"/>
        <v> </v>
      </c>
      <c r="I569" s="205" t="str">
        <f t="shared" si="7"/>
        <v/>
      </c>
      <c r="J569" s="205"/>
      <c r="K569" s="205"/>
    </row>
    <row r="570" ht="14.25" customHeight="1">
      <c r="A570" s="55">
        <v>46225.0</v>
      </c>
      <c r="B570" s="55" t="str">
        <f t="shared" si="10"/>
        <v>Primer dia</v>
      </c>
      <c r="C570" s="202">
        <f t="shared" si="1"/>
        <v>22</v>
      </c>
      <c r="D570" s="202" t="str">
        <f t="shared" si="2"/>
        <v> </v>
      </c>
      <c r="E570" s="202" t="str">
        <f t="shared" si="9"/>
        <v> </v>
      </c>
      <c r="F570" s="55" t="str">
        <f t="shared" si="4"/>
        <v/>
      </c>
      <c r="G570" s="202" t="str">
        <f t="shared" si="5"/>
        <v/>
      </c>
      <c r="H570" s="202" t="str">
        <f t="shared" si="11"/>
        <v> </v>
      </c>
      <c r="I570" s="205" t="str">
        <f t="shared" si="7"/>
        <v/>
      </c>
      <c r="J570" s="205"/>
      <c r="K570" s="205"/>
    </row>
    <row r="571" ht="14.25" customHeight="1">
      <c r="A571" s="55">
        <v>46226.0</v>
      </c>
      <c r="B571" s="55" t="str">
        <f t="shared" si="10"/>
        <v>Primer dia</v>
      </c>
      <c r="C571" s="202">
        <f t="shared" si="1"/>
        <v>23</v>
      </c>
      <c r="D571" s="202" t="str">
        <f t="shared" si="2"/>
        <v> </v>
      </c>
      <c r="E571" s="202" t="str">
        <f t="shared" si="9"/>
        <v> </v>
      </c>
      <c r="F571" s="55" t="str">
        <f t="shared" si="4"/>
        <v/>
      </c>
      <c r="G571" s="202" t="str">
        <f t="shared" si="5"/>
        <v/>
      </c>
      <c r="H571" s="202" t="str">
        <f t="shared" si="11"/>
        <v> </v>
      </c>
      <c r="I571" s="205" t="str">
        <f t="shared" si="7"/>
        <v/>
      </c>
      <c r="J571" s="205"/>
      <c r="K571" s="205"/>
    </row>
    <row r="572" ht="14.25" customHeight="1">
      <c r="A572" s="55">
        <v>46227.0</v>
      </c>
      <c r="B572" s="55" t="str">
        <f t="shared" si="10"/>
        <v>Primer dia</v>
      </c>
      <c r="C572" s="202">
        <f t="shared" si="1"/>
        <v>24</v>
      </c>
      <c r="D572" s="202" t="str">
        <f t="shared" si="2"/>
        <v> </v>
      </c>
      <c r="E572" s="202" t="str">
        <f t="shared" si="9"/>
        <v> </v>
      </c>
      <c r="F572" s="55" t="str">
        <f t="shared" si="4"/>
        <v/>
      </c>
      <c r="G572" s="202" t="str">
        <f t="shared" si="5"/>
        <v/>
      </c>
      <c r="H572" s="202" t="str">
        <f t="shared" si="11"/>
        <v> </v>
      </c>
      <c r="I572" s="205" t="str">
        <f t="shared" si="7"/>
        <v/>
      </c>
      <c r="J572" s="205"/>
      <c r="K572" s="205"/>
    </row>
    <row r="573" ht="14.25" customHeight="1">
      <c r="A573" s="55">
        <v>46228.0</v>
      </c>
      <c r="B573" s="55" t="str">
        <f t="shared" si="10"/>
        <v>Primer dia</v>
      </c>
      <c r="C573" s="202">
        <f t="shared" si="1"/>
        <v>25</v>
      </c>
      <c r="D573" s="202" t="str">
        <f t="shared" si="2"/>
        <v> </v>
      </c>
      <c r="E573" s="202" t="str">
        <f t="shared" si="9"/>
        <v> </v>
      </c>
      <c r="F573" s="55" t="str">
        <f t="shared" si="4"/>
        <v/>
      </c>
      <c r="G573" s="202" t="str">
        <f t="shared" si="5"/>
        <v/>
      </c>
      <c r="H573" s="202" t="str">
        <f t="shared" si="11"/>
        <v> </v>
      </c>
      <c r="I573" s="205" t="str">
        <f t="shared" si="7"/>
        <v/>
      </c>
      <c r="J573" s="205"/>
      <c r="K573" s="205"/>
    </row>
    <row r="574" ht="14.25" customHeight="1">
      <c r="A574" s="55">
        <v>46229.0</v>
      </c>
      <c r="B574" s="55" t="str">
        <f t="shared" si="10"/>
        <v>Primer dia</v>
      </c>
      <c r="C574" s="202">
        <f t="shared" si="1"/>
        <v>26</v>
      </c>
      <c r="D574" s="202" t="str">
        <f t="shared" si="2"/>
        <v> </v>
      </c>
      <c r="E574" s="202" t="str">
        <f t="shared" si="9"/>
        <v> </v>
      </c>
      <c r="F574" s="55" t="str">
        <f t="shared" si="4"/>
        <v/>
      </c>
      <c r="G574" s="202" t="str">
        <f t="shared" si="5"/>
        <v/>
      </c>
      <c r="H574" s="202" t="str">
        <f t="shared" si="11"/>
        <v> </v>
      </c>
      <c r="I574" s="205" t="str">
        <f t="shared" si="7"/>
        <v/>
      </c>
      <c r="J574" s="205"/>
      <c r="K574" s="205"/>
    </row>
    <row r="575" ht="14.25" customHeight="1">
      <c r="A575" s="55">
        <v>46230.0</v>
      </c>
      <c r="B575" s="55" t="str">
        <f t="shared" si="10"/>
        <v>Primer dia</v>
      </c>
      <c r="C575" s="202">
        <f t="shared" si="1"/>
        <v>27</v>
      </c>
      <c r="D575" s="202" t="str">
        <f t="shared" si="2"/>
        <v> </v>
      </c>
      <c r="E575" s="202" t="str">
        <f t="shared" si="9"/>
        <v> </v>
      </c>
      <c r="F575" s="55" t="str">
        <f t="shared" si="4"/>
        <v/>
      </c>
      <c r="G575" s="202" t="str">
        <f t="shared" si="5"/>
        <v/>
      </c>
      <c r="H575" s="202" t="str">
        <f t="shared" si="11"/>
        <v> </v>
      </c>
      <c r="I575" s="205" t="str">
        <f t="shared" si="7"/>
        <v/>
      </c>
      <c r="J575" s="205"/>
      <c r="K575" s="205"/>
    </row>
    <row r="576" ht="14.25" customHeight="1">
      <c r="A576" s="55">
        <v>46231.0</v>
      </c>
      <c r="B576" s="55" t="str">
        <f t="shared" si="10"/>
        <v>Primer dia</v>
      </c>
      <c r="C576" s="202">
        <f t="shared" si="1"/>
        <v>28</v>
      </c>
      <c r="D576" s="202" t="str">
        <f t="shared" si="2"/>
        <v> </v>
      </c>
      <c r="E576" s="202" t="str">
        <f t="shared" si="9"/>
        <v> </v>
      </c>
      <c r="F576" s="55" t="str">
        <f t="shared" si="4"/>
        <v/>
      </c>
      <c r="G576" s="202" t="str">
        <f t="shared" si="5"/>
        <v/>
      </c>
      <c r="H576" s="202" t="str">
        <f t="shared" si="11"/>
        <v> </v>
      </c>
      <c r="I576" s="205" t="str">
        <f t="shared" si="7"/>
        <v/>
      </c>
      <c r="J576" s="205"/>
      <c r="K576" s="205"/>
    </row>
    <row r="577" ht="14.25" customHeight="1">
      <c r="A577" s="55">
        <v>46232.0</v>
      </c>
      <c r="B577" s="55" t="str">
        <f t="shared" si="10"/>
        <v>Primer dia</v>
      </c>
      <c r="C577" s="202">
        <f t="shared" si="1"/>
        <v>29</v>
      </c>
      <c r="D577" s="202" t="str">
        <f t="shared" si="2"/>
        <v> </v>
      </c>
      <c r="E577" s="202" t="str">
        <f t="shared" si="9"/>
        <v> </v>
      </c>
      <c r="F577" s="55" t="str">
        <f t="shared" si="4"/>
        <v/>
      </c>
      <c r="G577" s="202" t="str">
        <f t="shared" si="5"/>
        <v/>
      </c>
      <c r="H577" s="202" t="str">
        <f t="shared" si="11"/>
        <v> </v>
      </c>
      <c r="I577" s="205" t="str">
        <f t="shared" si="7"/>
        <v/>
      </c>
      <c r="J577" s="205"/>
      <c r="K577" s="205"/>
    </row>
    <row r="578" ht="14.25" customHeight="1">
      <c r="A578" s="55">
        <v>46233.0</v>
      </c>
      <c r="B578" s="55" t="str">
        <f t="shared" si="10"/>
        <v>Primer dia</v>
      </c>
      <c r="C578" s="202">
        <f t="shared" si="1"/>
        <v>30</v>
      </c>
      <c r="D578" s="202" t="str">
        <f t="shared" si="2"/>
        <v> </v>
      </c>
      <c r="E578" s="202" t="str">
        <f t="shared" si="9"/>
        <v> </v>
      </c>
      <c r="F578" s="55" t="str">
        <f t="shared" si="4"/>
        <v/>
      </c>
      <c r="G578" s="202" t="str">
        <f t="shared" si="5"/>
        <v/>
      </c>
      <c r="H578" s="202" t="str">
        <f t="shared" si="11"/>
        <v> </v>
      </c>
      <c r="I578" s="205" t="str">
        <f t="shared" si="7"/>
        <v/>
      </c>
      <c r="J578" s="205"/>
      <c r="K578" s="205"/>
    </row>
    <row r="579" ht="14.25" customHeight="1">
      <c r="A579" s="55">
        <v>46234.0</v>
      </c>
      <c r="B579" s="55" t="str">
        <f t="shared" si="10"/>
        <v>Primer dia</v>
      </c>
      <c r="C579" s="202">
        <f t="shared" si="1"/>
        <v>31</v>
      </c>
      <c r="D579" s="202" t="str">
        <f t="shared" si="2"/>
        <v> </v>
      </c>
      <c r="E579" s="202" t="str">
        <f t="shared" si="9"/>
        <v> </v>
      </c>
      <c r="F579" s="55" t="str">
        <f t="shared" si="4"/>
        <v/>
      </c>
      <c r="G579" s="202" t="str">
        <f t="shared" si="5"/>
        <v/>
      </c>
      <c r="H579" s="202" t="str">
        <f t="shared" si="11"/>
        <v> </v>
      </c>
      <c r="I579" s="205" t="str">
        <f t="shared" si="7"/>
        <v/>
      </c>
      <c r="J579" s="205"/>
      <c r="K579" s="205"/>
    </row>
    <row r="580" ht="14.25" customHeight="1">
      <c r="A580" s="55">
        <v>46235.0</v>
      </c>
      <c r="B580" s="55" t="str">
        <f t="shared" si="10"/>
        <v>Primer dia</v>
      </c>
      <c r="C580" s="202">
        <f t="shared" si="1"/>
        <v>1</v>
      </c>
      <c r="D580" s="202" t="str">
        <f t="shared" si="2"/>
        <v> </v>
      </c>
      <c r="E580" s="202" t="str">
        <f t="shared" si="9"/>
        <v> </v>
      </c>
      <c r="F580" s="55" t="str">
        <f t="shared" si="4"/>
        <v/>
      </c>
      <c r="G580" s="202" t="str">
        <f t="shared" si="5"/>
        <v/>
      </c>
      <c r="H580" s="202" t="str">
        <f t="shared" si="11"/>
        <v> </v>
      </c>
      <c r="I580" s="205" t="str">
        <f t="shared" si="7"/>
        <v/>
      </c>
      <c r="J580" s="205"/>
      <c r="K580" s="205"/>
    </row>
    <row r="581" ht="14.25" customHeight="1">
      <c r="A581" s="55">
        <v>46236.0</v>
      </c>
      <c r="B581" s="55" t="str">
        <f t="shared" si="10"/>
        <v>Primer dia</v>
      </c>
      <c r="C581" s="202">
        <f t="shared" si="1"/>
        <v>2</v>
      </c>
      <c r="D581" s="202" t="str">
        <f t="shared" si="2"/>
        <v> </v>
      </c>
      <c r="E581" s="202">
        <f t="shared" si="9"/>
        <v>2</v>
      </c>
      <c r="F581" s="55">
        <f t="shared" si="4"/>
        <v>46236</v>
      </c>
      <c r="G581" s="202">
        <f t="shared" si="5"/>
        <v>13</v>
      </c>
      <c r="H581" s="202" t="str">
        <f t="shared" si="11"/>
        <v> </v>
      </c>
      <c r="I581" s="205" t="str">
        <f t="shared" si="7"/>
        <v/>
      </c>
      <c r="J581" s="205"/>
      <c r="K581" s="205"/>
    </row>
    <row r="582" ht="14.25" customHeight="1">
      <c r="A582" s="55">
        <v>46237.0</v>
      </c>
      <c r="B582" s="55" t="str">
        <f t="shared" si="10"/>
        <v>Primer dia</v>
      </c>
      <c r="C582" s="202">
        <f t="shared" si="1"/>
        <v>3</v>
      </c>
      <c r="D582" s="202" t="str">
        <f t="shared" si="2"/>
        <v> </v>
      </c>
      <c r="E582" s="202" t="str">
        <f t="shared" si="9"/>
        <v> </v>
      </c>
      <c r="F582" s="55" t="str">
        <f t="shared" si="4"/>
        <v/>
      </c>
      <c r="G582" s="202" t="str">
        <f t="shared" si="5"/>
        <v/>
      </c>
      <c r="H582" s="202" t="str">
        <f t="shared" si="11"/>
        <v> </v>
      </c>
      <c r="I582" s="205" t="str">
        <f t="shared" si="7"/>
        <v/>
      </c>
      <c r="J582" s="205"/>
      <c r="K582" s="205"/>
    </row>
    <row r="583" ht="14.25" customHeight="1">
      <c r="A583" s="55">
        <v>46238.0</v>
      </c>
      <c r="B583" s="55" t="str">
        <f t="shared" si="10"/>
        <v>Primer dia</v>
      </c>
      <c r="C583" s="202">
        <f t="shared" si="1"/>
        <v>4</v>
      </c>
      <c r="D583" s="202" t="str">
        <f t="shared" si="2"/>
        <v> </v>
      </c>
      <c r="E583" s="202" t="str">
        <f t="shared" si="9"/>
        <v> </v>
      </c>
      <c r="F583" s="55" t="str">
        <f t="shared" si="4"/>
        <v/>
      </c>
      <c r="G583" s="202" t="str">
        <f t="shared" si="5"/>
        <v/>
      </c>
      <c r="H583" s="202" t="str">
        <f t="shared" si="11"/>
        <v> </v>
      </c>
      <c r="I583" s="205" t="str">
        <f t="shared" si="7"/>
        <v/>
      </c>
      <c r="J583" s="205"/>
      <c r="K583" s="205"/>
    </row>
    <row r="584" ht="14.25" customHeight="1">
      <c r="A584" s="55">
        <v>46239.0</v>
      </c>
      <c r="B584" s="55" t="str">
        <f t="shared" si="10"/>
        <v>Primer dia</v>
      </c>
      <c r="C584" s="202">
        <f t="shared" si="1"/>
        <v>5</v>
      </c>
      <c r="D584" s="202" t="str">
        <f t="shared" si="2"/>
        <v> </v>
      </c>
      <c r="E584" s="202" t="str">
        <f t="shared" si="9"/>
        <v> </v>
      </c>
      <c r="F584" s="55" t="str">
        <f t="shared" si="4"/>
        <v/>
      </c>
      <c r="G584" s="202" t="str">
        <f t="shared" si="5"/>
        <v/>
      </c>
      <c r="H584" s="202" t="str">
        <f t="shared" si="11"/>
        <v> </v>
      </c>
      <c r="I584" s="205" t="str">
        <f t="shared" si="7"/>
        <v/>
      </c>
      <c r="J584" s="205"/>
      <c r="K584" s="205"/>
    </row>
    <row r="585" ht="14.25" customHeight="1">
      <c r="A585" s="55">
        <v>46240.0</v>
      </c>
      <c r="B585" s="55" t="str">
        <f t="shared" si="10"/>
        <v>Primer dia</v>
      </c>
      <c r="C585" s="202">
        <f t="shared" si="1"/>
        <v>6</v>
      </c>
      <c r="D585" s="202" t="str">
        <f t="shared" si="2"/>
        <v> </v>
      </c>
      <c r="E585" s="202" t="str">
        <f t="shared" si="9"/>
        <v> </v>
      </c>
      <c r="F585" s="55" t="str">
        <f t="shared" si="4"/>
        <v/>
      </c>
      <c r="G585" s="202" t="str">
        <f t="shared" si="5"/>
        <v/>
      </c>
      <c r="H585" s="202" t="str">
        <f t="shared" si="11"/>
        <v> </v>
      </c>
      <c r="I585" s="205" t="str">
        <f t="shared" si="7"/>
        <v/>
      </c>
      <c r="J585" s="205"/>
      <c r="K585" s="205"/>
    </row>
    <row r="586" ht="14.25" customHeight="1">
      <c r="A586" s="55">
        <v>46241.0</v>
      </c>
      <c r="B586" s="55" t="str">
        <f t="shared" si="10"/>
        <v>Primer dia</v>
      </c>
      <c r="C586" s="202">
        <f t="shared" si="1"/>
        <v>7</v>
      </c>
      <c r="D586" s="202" t="str">
        <f t="shared" si="2"/>
        <v> </v>
      </c>
      <c r="E586" s="202" t="str">
        <f t="shared" si="9"/>
        <v> </v>
      </c>
      <c r="F586" s="55" t="str">
        <f t="shared" si="4"/>
        <v/>
      </c>
      <c r="G586" s="202" t="str">
        <f t="shared" si="5"/>
        <v/>
      </c>
      <c r="H586" s="202" t="str">
        <f t="shared" si="11"/>
        <v> </v>
      </c>
      <c r="I586" s="205" t="str">
        <f t="shared" si="7"/>
        <v/>
      </c>
      <c r="J586" s="205"/>
      <c r="K586" s="205"/>
    </row>
    <row r="587" ht="14.25" customHeight="1">
      <c r="A587" s="55">
        <v>46242.0</v>
      </c>
      <c r="B587" s="55" t="str">
        <f t="shared" si="10"/>
        <v>Primer dia</v>
      </c>
      <c r="C587" s="202">
        <f t="shared" si="1"/>
        <v>8</v>
      </c>
      <c r="D587" s="202" t="str">
        <f t="shared" si="2"/>
        <v> </v>
      </c>
      <c r="E587" s="202" t="str">
        <f t="shared" si="9"/>
        <v> </v>
      </c>
      <c r="F587" s="55" t="str">
        <f t="shared" si="4"/>
        <v/>
      </c>
      <c r="G587" s="202" t="str">
        <f t="shared" si="5"/>
        <v/>
      </c>
      <c r="H587" s="202" t="str">
        <f t="shared" si="11"/>
        <v> </v>
      </c>
      <c r="I587" s="205" t="str">
        <f t="shared" si="7"/>
        <v/>
      </c>
      <c r="J587" s="205"/>
      <c r="K587" s="205"/>
    </row>
    <row r="588" ht="14.25" customHeight="1">
      <c r="A588" s="55">
        <v>46243.0</v>
      </c>
      <c r="B588" s="55" t="str">
        <f t="shared" si="10"/>
        <v>Primer dia</v>
      </c>
      <c r="C588" s="202">
        <f t="shared" si="1"/>
        <v>9</v>
      </c>
      <c r="D588" s="202" t="str">
        <f t="shared" si="2"/>
        <v> </v>
      </c>
      <c r="E588" s="202" t="str">
        <f t="shared" si="9"/>
        <v> </v>
      </c>
      <c r="F588" s="55" t="str">
        <f t="shared" si="4"/>
        <v/>
      </c>
      <c r="G588" s="202" t="str">
        <f t="shared" si="5"/>
        <v/>
      </c>
      <c r="H588" s="202" t="str">
        <f t="shared" si="11"/>
        <v> </v>
      </c>
      <c r="I588" s="205" t="str">
        <f t="shared" si="7"/>
        <v/>
      </c>
      <c r="J588" s="205"/>
      <c r="K588" s="205"/>
    </row>
    <row r="589" ht="14.25" customHeight="1">
      <c r="A589" s="55">
        <v>46244.0</v>
      </c>
      <c r="B589" s="55" t="str">
        <f t="shared" si="10"/>
        <v>Primer dia</v>
      </c>
      <c r="C589" s="202">
        <f t="shared" si="1"/>
        <v>10</v>
      </c>
      <c r="D589" s="202" t="str">
        <f t="shared" si="2"/>
        <v> </v>
      </c>
      <c r="E589" s="202" t="str">
        <f t="shared" si="9"/>
        <v> </v>
      </c>
      <c r="F589" s="55" t="str">
        <f t="shared" si="4"/>
        <v/>
      </c>
      <c r="G589" s="202" t="str">
        <f t="shared" si="5"/>
        <v/>
      </c>
      <c r="H589" s="202" t="str">
        <f t="shared" si="11"/>
        <v> </v>
      </c>
      <c r="I589" s="205" t="str">
        <f t="shared" si="7"/>
        <v/>
      </c>
      <c r="J589" s="205"/>
      <c r="K589" s="205"/>
    </row>
    <row r="590" ht="14.25" customHeight="1">
      <c r="A590" s="55">
        <v>46245.0</v>
      </c>
      <c r="B590" s="55" t="str">
        <f t="shared" si="10"/>
        <v>Primer dia</v>
      </c>
      <c r="C590" s="202">
        <f t="shared" si="1"/>
        <v>11</v>
      </c>
      <c r="D590" s="202" t="str">
        <f t="shared" si="2"/>
        <v> </v>
      </c>
      <c r="E590" s="202" t="str">
        <f t="shared" si="9"/>
        <v> </v>
      </c>
      <c r="F590" s="55" t="str">
        <f t="shared" si="4"/>
        <v/>
      </c>
      <c r="G590" s="202" t="str">
        <f t="shared" si="5"/>
        <v/>
      </c>
      <c r="H590" s="202" t="str">
        <f t="shared" si="11"/>
        <v> </v>
      </c>
      <c r="I590" s="205" t="str">
        <f t="shared" si="7"/>
        <v/>
      </c>
      <c r="J590" s="205"/>
      <c r="K590" s="205"/>
    </row>
    <row r="591" ht="14.25" customHeight="1">
      <c r="A591" s="55">
        <v>46246.0</v>
      </c>
      <c r="B591" s="55" t="str">
        <f t="shared" si="10"/>
        <v>Primer dia</v>
      </c>
      <c r="C591" s="202">
        <f t="shared" si="1"/>
        <v>12</v>
      </c>
      <c r="D591" s="202" t="str">
        <f t="shared" si="2"/>
        <v> </v>
      </c>
      <c r="E591" s="202" t="str">
        <f t="shared" si="9"/>
        <v> </v>
      </c>
      <c r="F591" s="55" t="str">
        <f t="shared" si="4"/>
        <v/>
      </c>
      <c r="G591" s="202" t="str">
        <f t="shared" si="5"/>
        <v/>
      </c>
      <c r="H591" s="202" t="str">
        <f t="shared" si="11"/>
        <v> </v>
      </c>
      <c r="I591" s="205" t="str">
        <f t="shared" si="7"/>
        <v/>
      </c>
      <c r="J591" s="205"/>
      <c r="K591" s="205"/>
    </row>
    <row r="592" ht="14.25" customHeight="1">
      <c r="A592" s="55">
        <v>46247.0</v>
      </c>
      <c r="B592" s="55" t="str">
        <f t="shared" si="10"/>
        <v>Primer dia</v>
      </c>
      <c r="C592" s="202">
        <f t="shared" si="1"/>
        <v>13</v>
      </c>
      <c r="D592" s="202" t="str">
        <f t="shared" si="2"/>
        <v> </v>
      </c>
      <c r="E592" s="202" t="str">
        <f t="shared" si="9"/>
        <v> </v>
      </c>
      <c r="F592" s="55" t="str">
        <f t="shared" si="4"/>
        <v/>
      </c>
      <c r="G592" s="202" t="str">
        <f t="shared" si="5"/>
        <v/>
      </c>
      <c r="H592" s="202" t="str">
        <f t="shared" si="11"/>
        <v> </v>
      </c>
      <c r="I592" s="205" t="str">
        <f t="shared" si="7"/>
        <v/>
      </c>
      <c r="J592" s="205"/>
      <c r="K592" s="205"/>
    </row>
    <row r="593" ht="14.25" customHeight="1">
      <c r="A593" s="55">
        <v>46248.0</v>
      </c>
      <c r="B593" s="55" t="str">
        <f t="shared" si="10"/>
        <v>Primer dia</v>
      </c>
      <c r="C593" s="202">
        <f t="shared" si="1"/>
        <v>14</v>
      </c>
      <c r="D593" s="202" t="str">
        <f t="shared" si="2"/>
        <v> </v>
      </c>
      <c r="E593" s="202" t="str">
        <f t="shared" si="9"/>
        <v> </v>
      </c>
      <c r="F593" s="55" t="str">
        <f t="shared" si="4"/>
        <v/>
      </c>
      <c r="G593" s="202" t="str">
        <f t="shared" si="5"/>
        <v/>
      </c>
      <c r="H593" s="202" t="str">
        <f t="shared" si="11"/>
        <v> </v>
      </c>
      <c r="I593" s="205" t="str">
        <f t="shared" si="7"/>
        <v/>
      </c>
      <c r="J593" s="205"/>
      <c r="K593" s="205"/>
    </row>
    <row r="594" ht="14.25" customHeight="1">
      <c r="A594" s="55">
        <v>46249.0</v>
      </c>
      <c r="B594" s="55" t="str">
        <f t="shared" si="10"/>
        <v>Primer dia</v>
      </c>
      <c r="C594" s="202">
        <f t="shared" si="1"/>
        <v>15</v>
      </c>
      <c r="D594" s="202" t="str">
        <f t="shared" si="2"/>
        <v> </v>
      </c>
      <c r="E594" s="202" t="str">
        <f t="shared" si="9"/>
        <v> </v>
      </c>
      <c r="F594" s="55" t="str">
        <f t="shared" si="4"/>
        <v/>
      </c>
      <c r="G594" s="202" t="str">
        <f t="shared" si="5"/>
        <v/>
      </c>
      <c r="H594" s="202" t="str">
        <f t="shared" si="11"/>
        <v> </v>
      </c>
      <c r="I594" s="205" t="str">
        <f t="shared" si="7"/>
        <v/>
      </c>
      <c r="J594" s="205"/>
      <c r="K594" s="205"/>
    </row>
    <row r="595" ht="14.25" customHeight="1">
      <c r="A595" s="55">
        <v>46250.0</v>
      </c>
      <c r="B595" s="55" t="str">
        <f t="shared" si="10"/>
        <v>Primer dia</v>
      </c>
      <c r="C595" s="202">
        <f t="shared" si="1"/>
        <v>16</v>
      </c>
      <c r="D595" s="202" t="str">
        <f t="shared" si="2"/>
        <v> </v>
      </c>
      <c r="E595" s="202" t="str">
        <f t="shared" si="9"/>
        <v> </v>
      </c>
      <c r="F595" s="55" t="str">
        <f t="shared" si="4"/>
        <v/>
      </c>
      <c r="G595" s="202" t="str">
        <f t="shared" si="5"/>
        <v/>
      </c>
      <c r="H595" s="202" t="str">
        <f t="shared" si="11"/>
        <v> </v>
      </c>
      <c r="I595" s="205" t="str">
        <f t="shared" si="7"/>
        <v/>
      </c>
      <c r="J595" s="205"/>
      <c r="K595" s="205"/>
    </row>
    <row r="596" ht="14.25" customHeight="1">
      <c r="A596" s="55">
        <v>46251.0</v>
      </c>
      <c r="B596" s="55" t="str">
        <f t="shared" si="10"/>
        <v>Primer dia</v>
      </c>
      <c r="C596" s="202">
        <f t="shared" si="1"/>
        <v>17</v>
      </c>
      <c r="D596" s="202" t="str">
        <f t="shared" si="2"/>
        <v> </v>
      </c>
      <c r="E596" s="202">
        <f t="shared" si="9"/>
        <v>17</v>
      </c>
      <c r="F596" s="55">
        <f t="shared" si="4"/>
        <v>46251</v>
      </c>
      <c r="G596" s="202">
        <f t="shared" si="5"/>
        <v>14</v>
      </c>
      <c r="H596" s="202" t="str">
        <f t="shared" si="11"/>
        <v> </v>
      </c>
      <c r="I596" s="205" t="str">
        <f t="shared" si="7"/>
        <v/>
      </c>
      <c r="J596" s="205"/>
      <c r="K596" s="205"/>
    </row>
    <row r="597" ht="14.25" customHeight="1">
      <c r="A597" s="55">
        <v>46252.0</v>
      </c>
      <c r="B597" s="55" t="str">
        <f t="shared" si="10"/>
        <v>Primer dia</v>
      </c>
      <c r="C597" s="202">
        <f t="shared" si="1"/>
        <v>18</v>
      </c>
      <c r="D597" s="202" t="str">
        <f t="shared" si="2"/>
        <v> </v>
      </c>
      <c r="E597" s="202" t="str">
        <f t="shared" si="9"/>
        <v> </v>
      </c>
      <c r="F597" s="55" t="str">
        <f t="shared" si="4"/>
        <v/>
      </c>
      <c r="G597" s="202" t="str">
        <f t="shared" si="5"/>
        <v/>
      </c>
      <c r="H597" s="202" t="str">
        <f t="shared" si="11"/>
        <v> </v>
      </c>
      <c r="I597" s="205" t="str">
        <f t="shared" si="7"/>
        <v/>
      </c>
      <c r="J597" s="205"/>
      <c r="K597" s="205"/>
    </row>
    <row r="598" ht="14.25" customHeight="1">
      <c r="A598" s="55">
        <v>46253.0</v>
      </c>
      <c r="B598" s="55" t="str">
        <f t="shared" si="10"/>
        <v>Primer dia</v>
      </c>
      <c r="C598" s="202">
        <f t="shared" si="1"/>
        <v>19</v>
      </c>
      <c r="D598" s="202" t="str">
        <f t="shared" si="2"/>
        <v> </v>
      </c>
      <c r="E598" s="202" t="str">
        <f t="shared" si="9"/>
        <v> </v>
      </c>
      <c r="F598" s="55" t="str">
        <f t="shared" si="4"/>
        <v/>
      </c>
      <c r="G598" s="202" t="str">
        <f t="shared" si="5"/>
        <v/>
      </c>
      <c r="H598" s="202" t="str">
        <f t="shared" si="11"/>
        <v> </v>
      </c>
      <c r="I598" s="205" t="str">
        <f t="shared" si="7"/>
        <v/>
      </c>
      <c r="J598" s="205"/>
      <c r="K598" s="205"/>
    </row>
    <row r="599" ht="14.25" customHeight="1">
      <c r="A599" s="55">
        <v>46254.0</v>
      </c>
      <c r="B599" s="55" t="str">
        <f t="shared" si="10"/>
        <v>Primer dia</v>
      </c>
      <c r="C599" s="202">
        <f t="shared" si="1"/>
        <v>20</v>
      </c>
      <c r="D599" s="202" t="str">
        <f t="shared" si="2"/>
        <v> </v>
      </c>
      <c r="E599" s="202" t="str">
        <f t="shared" si="9"/>
        <v> </v>
      </c>
      <c r="F599" s="55" t="str">
        <f t="shared" si="4"/>
        <v/>
      </c>
      <c r="G599" s="202" t="str">
        <f t="shared" si="5"/>
        <v/>
      </c>
      <c r="H599" s="202" t="str">
        <f t="shared" si="11"/>
        <v> </v>
      </c>
      <c r="I599" s="205" t="str">
        <f t="shared" si="7"/>
        <v/>
      </c>
      <c r="J599" s="205"/>
      <c r="K599" s="205"/>
    </row>
    <row r="600" ht="14.25" customHeight="1">
      <c r="A600" s="55">
        <v>46255.0</v>
      </c>
      <c r="B600" s="55" t="str">
        <f t="shared" si="10"/>
        <v>Primer dia</v>
      </c>
      <c r="C600" s="202">
        <f t="shared" si="1"/>
        <v>21</v>
      </c>
      <c r="D600" s="202" t="str">
        <f t="shared" si="2"/>
        <v> </v>
      </c>
      <c r="E600" s="202" t="str">
        <f t="shared" si="9"/>
        <v> </v>
      </c>
      <c r="F600" s="55" t="str">
        <f t="shared" si="4"/>
        <v/>
      </c>
      <c r="G600" s="202" t="str">
        <f t="shared" si="5"/>
        <v/>
      </c>
      <c r="H600" s="202" t="str">
        <f t="shared" si="11"/>
        <v> </v>
      </c>
      <c r="I600" s="205" t="str">
        <f t="shared" si="7"/>
        <v/>
      </c>
      <c r="J600" s="205"/>
      <c r="K600" s="205"/>
    </row>
    <row r="601" ht="14.25" customHeight="1">
      <c r="A601" s="55">
        <v>46256.0</v>
      </c>
      <c r="B601" s="55" t="str">
        <f t="shared" si="10"/>
        <v>Primer dia</v>
      </c>
      <c r="C601" s="202">
        <f t="shared" si="1"/>
        <v>22</v>
      </c>
      <c r="D601" s="202" t="str">
        <f t="shared" si="2"/>
        <v> </v>
      </c>
      <c r="E601" s="202" t="str">
        <f t="shared" si="9"/>
        <v> </v>
      </c>
      <c r="F601" s="55" t="str">
        <f t="shared" si="4"/>
        <v/>
      </c>
      <c r="G601" s="202" t="str">
        <f t="shared" si="5"/>
        <v/>
      </c>
      <c r="H601" s="202" t="str">
        <f t="shared" si="11"/>
        <v> </v>
      </c>
      <c r="I601" s="205" t="str">
        <f t="shared" si="7"/>
        <v/>
      </c>
      <c r="J601" s="205"/>
      <c r="K601" s="205"/>
    </row>
    <row r="602" ht="14.25" customHeight="1">
      <c r="A602" s="55">
        <v>46257.0</v>
      </c>
      <c r="B602" s="55" t="str">
        <f t="shared" si="10"/>
        <v>Primer dia</v>
      </c>
      <c r="C602" s="202">
        <f t="shared" si="1"/>
        <v>23</v>
      </c>
      <c r="D602" s="202" t="str">
        <f t="shared" si="2"/>
        <v> </v>
      </c>
      <c r="E602" s="202" t="str">
        <f t="shared" si="9"/>
        <v> </v>
      </c>
      <c r="F602" s="55" t="str">
        <f t="shared" si="4"/>
        <v/>
      </c>
      <c r="G602" s="202" t="str">
        <f t="shared" si="5"/>
        <v/>
      </c>
      <c r="H602" s="202" t="str">
        <f t="shared" si="11"/>
        <v> </v>
      </c>
      <c r="I602" s="205" t="str">
        <f t="shared" si="7"/>
        <v/>
      </c>
      <c r="J602" s="205"/>
      <c r="K602" s="205"/>
    </row>
    <row r="603" ht="14.25" customHeight="1">
      <c r="A603" s="55">
        <v>46258.0</v>
      </c>
      <c r="B603" s="55" t="str">
        <f t="shared" si="10"/>
        <v>Primer dia</v>
      </c>
      <c r="C603" s="202">
        <f t="shared" si="1"/>
        <v>24</v>
      </c>
      <c r="D603" s="202" t="str">
        <f t="shared" si="2"/>
        <v> </v>
      </c>
      <c r="E603" s="202" t="str">
        <f t="shared" si="9"/>
        <v> </v>
      </c>
      <c r="F603" s="55" t="str">
        <f t="shared" si="4"/>
        <v/>
      </c>
      <c r="G603" s="202" t="str">
        <f t="shared" si="5"/>
        <v/>
      </c>
      <c r="H603" s="202" t="str">
        <f t="shared" si="11"/>
        <v> </v>
      </c>
      <c r="I603" s="205" t="str">
        <f t="shared" si="7"/>
        <v/>
      </c>
      <c r="J603" s="205"/>
      <c r="K603" s="205"/>
    </row>
    <row r="604" ht="14.25" customHeight="1">
      <c r="A604" s="55">
        <v>46259.0</v>
      </c>
      <c r="B604" s="55" t="str">
        <f t="shared" si="10"/>
        <v>Primer dia</v>
      </c>
      <c r="C604" s="202">
        <f t="shared" si="1"/>
        <v>25</v>
      </c>
      <c r="D604" s="202" t="str">
        <f t="shared" si="2"/>
        <v> </v>
      </c>
      <c r="E604" s="202" t="str">
        <f t="shared" si="9"/>
        <v> </v>
      </c>
      <c r="F604" s="55" t="str">
        <f t="shared" si="4"/>
        <v/>
      </c>
      <c r="G604" s="202" t="str">
        <f t="shared" si="5"/>
        <v/>
      </c>
      <c r="H604" s="202" t="str">
        <f t="shared" si="11"/>
        <v> </v>
      </c>
      <c r="I604" s="205" t="str">
        <f t="shared" si="7"/>
        <v/>
      </c>
      <c r="J604" s="205"/>
      <c r="K604" s="205"/>
    </row>
    <row r="605" ht="14.25" customHeight="1">
      <c r="A605" s="55">
        <v>46260.0</v>
      </c>
      <c r="B605" s="55" t="str">
        <f t="shared" si="10"/>
        <v>Primer dia</v>
      </c>
      <c r="C605" s="202">
        <f t="shared" si="1"/>
        <v>26</v>
      </c>
      <c r="D605" s="202" t="str">
        <f t="shared" si="2"/>
        <v> </v>
      </c>
      <c r="E605" s="202" t="str">
        <f t="shared" si="9"/>
        <v> </v>
      </c>
      <c r="F605" s="55" t="str">
        <f t="shared" si="4"/>
        <v/>
      </c>
      <c r="G605" s="202" t="str">
        <f t="shared" si="5"/>
        <v/>
      </c>
      <c r="H605" s="202" t="str">
        <f t="shared" si="11"/>
        <v> </v>
      </c>
      <c r="I605" s="205" t="str">
        <f t="shared" si="7"/>
        <v/>
      </c>
      <c r="J605" s="205"/>
      <c r="K605" s="205"/>
    </row>
    <row r="606" ht="14.25" customHeight="1">
      <c r="A606" s="55">
        <v>46261.0</v>
      </c>
      <c r="B606" s="55" t="str">
        <f t="shared" si="10"/>
        <v>Primer dia</v>
      </c>
      <c r="C606" s="202">
        <f t="shared" si="1"/>
        <v>27</v>
      </c>
      <c r="D606" s="202" t="str">
        <f t="shared" si="2"/>
        <v> </v>
      </c>
      <c r="E606" s="202" t="str">
        <f t="shared" si="9"/>
        <v> </v>
      </c>
      <c r="F606" s="55" t="str">
        <f t="shared" si="4"/>
        <v/>
      </c>
      <c r="G606" s="202" t="str">
        <f t="shared" si="5"/>
        <v/>
      </c>
      <c r="H606" s="202" t="str">
        <f t="shared" si="11"/>
        <v> </v>
      </c>
      <c r="I606" s="205" t="str">
        <f t="shared" si="7"/>
        <v/>
      </c>
      <c r="J606" s="205"/>
      <c r="K606" s="205"/>
    </row>
    <row r="607" ht="14.25" customHeight="1">
      <c r="A607" s="55">
        <v>46262.0</v>
      </c>
      <c r="B607" s="55" t="str">
        <f t="shared" si="10"/>
        <v>Primer dia</v>
      </c>
      <c r="C607" s="202">
        <f t="shared" si="1"/>
        <v>28</v>
      </c>
      <c r="D607" s="202" t="str">
        <f t="shared" si="2"/>
        <v> </v>
      </c>
      <c r="E607" s="202" t="str">
        <f t="shared" si="9"/>
        <v> </v>
      </c>
      <c r="F607" s="55" t="str">
        <f t="shared" si="4"/>
        <v/>
      </c>
      <c r="G607" s="202" t="str">
        <f t="shared" si="5"/>
        <v/>
      </c>
      <c r="H607" s="202" t="str">
        <f t="shared" si="11"/>
        <v> </v>
      </c>
      <c r="I607" s="205" t="str">
        <f t="shared" si="7"/>
        <v/>
      </c>
      <c r="J607" s="205"/>
      <c r="K607" s="205"/>
    </row>
    <row r="608" ht="14.25" customHeight="1">
      <c r="A608" s="55">
        <v>46263.0</v>
      </c>
      <c r="B608" s="55" t="str">
        <f t="shared" si="10"/>
        <v>Primer dia</v>
      </c>
      <c r="C608" s="202">
        <f t="shared" si="1"/>
        <v>29</v>
      </c>
      <c r="D608" s="202" t="str">
        <f t="shared" si="2"/>
        <v> </v>
      </c>
      <c r="E608" s="202" t="str">
        <f t="shared" si="9"/>
        <v> </v>
      </c>
      <c r="F608" s="55" t="str">
        <f t="shared" si="4"/>
        <v/>
      </c>
      <c r="G608" s="202" t="str">
        <f t="shared" si="5"/>
        <v/>
      </c>
      <c r="H608" s="202" t="str">
        <f t="shared" si="11"/>
        <v> </v>
      </c>
      <c r="I608" s="205" t="str">
        <f t="shared" si="7"/>
        <v/>
      </c>
      <c r="J608" s="205"/>
      <c r="K608" s="205"/>
    </row>
    <row r="609" ht="14.25" customHeight="1">
      <c r="A609" s="55">
        <v>46264.0</v>
      </c>
      <c r="B609" s="55" t="str">
        <f t="shared" si="10"/>
        <v>Primer dia</v>
      </c>
      <c r="C609" s="202">
        <f t="shared" si="1"/>
        <v>30</v>
      </c>
      <c r="D609" s="202" t="str">
        <f t="shared" si="2"/>
        <v> </v>
      </c>
      <c r="E609" s="202" t="str">
        <f t="shared" si="9"/>
        <v> </v>
      </c>
      <c r="F609" s="55" t="str">
        <f t="shared" si="4"/>
        <v/>
      </c>
      <c r="G609" s="202" t="str">
        <f t="shared" si="5"/>
        <v/>
      </c>
      <c r="H609" s="202" t="str">
        <f t="shared" si="11"/>
        <v> </v>
      </c>
      <c r="I609" s="205" t="str">
        <f t="shared" si="7"/>
        <v/>
      </c>
      <c r="J609" s="205"/>
      <c r="K609" s="205"/>
    </row>
    <row r="610" ht="14.25" customHeight="1">
      <c r="A610" s="55">
        <v>46265.0</v>
      </c>
      <c r="B610" s="55" t="str">
        <f t="shared" si="10"/>
        <v>Primer dia</v>
      </c>
      <c r="C610" s="202">
        <f t="shared" si="1"/>
        <v>31</v>
      </c>
      <c r="D610" s="202" t="str">
        <f t="shared" si="2"/>
        <v> </v>
      </c>
      <c r="E610" s="202" t="str">
        <f t="shared" si="9"/>
        <v> </v>
      </c>
      <c r="F610" s="55" t="str">
        <f t="shared" si="4"/>
        <v/>
      </c>
      <c r="G610" s="202" t="str">
        <f t="shared" si="5"/>
        <v/>
      </c>
      <c r="H610" s="202" t="str">
        <f t="shared" si="11"/>
        <v> </v>
      </c>
      <c r="I610" s="205" t="str">
        <f t="shared" si="7"/>
        <v/>
      </c>
      <c r="J610" s="205"/>
      <c r="K610" s="205"/>
    </row>
    <row r="611" ht="14.25" customHeight="1">
      <c r="A611" s="55">
        <v>46266.0</v>
      </c>
      <c r="B611" s="55" t="str">
        <f t="shared" si="10"/>
        <v>Primer dia</v>
      </c>
      <c r="C611" s="202">
        <f t="shared" si="1"/>
        <v>1</v>
      </c>
      <c r="D611" s="202" t="str">
        <f t="shared" si="2"/>
        <v> </v>
      </c>
      <c r="E611" s="202" t="str">
        <f t="shared" si="9"/>
        <v> </v>
      </c>
      <c r="F611" s="55" t="str">
        <f t="shared" si="4"/>
        <v/>
      </c>
      <c r="G611" s="202" t="str">
        <f t="shared" si="5"/>
        <v/>
      </c>
      <c r="H611" s="202" t="str">
        <f t="shared" si="11"/>
        <v> </v>
      </c>
      <c r="I611" s="205" t="str">
        <f t="shared" si="7"/>
        <v/>
      </c>
      <c r="J611" s="205"/>
      <c r="K611" s="205"/>
    </row>
    <row r="612" ht="14.25" customHeight="1">
      <c r="A612" s="55">
        <v>46267.0</v>
      </c>
      <c r="B612" s="55" t="str">
        <f t="shared" si="10"/>
        <v>Primer dia</v>
      </c>
      <c r="C612" s="202">
        <f t="shared" si="1"/>
        <v>2</v>
      </c>
      <c r="D612" s="202" t="str">
        <f t="shared" si="2"/>
        <v> </v>
      </c>
      <c r="E612" s="202">
        <f t="shared" si="9"/>
        <v>2</v>
      </c>
      <c r="F612" s="55">
        <f t="shared" si="4"/>
        <v>46267</v>
      </c>
      <c r="G612" s="202">
        <f t="shared" si="5"/>
        <v>15</v>
      </c>
      <c r="H612" s="202" t="str">
        <f t="shared" si="11"/>
        <v> </v>
      </c>
      <c r="I612" s="205" t="str">
        <f t="shared" si="7"/>
        <v/>
      </c>
      <c r="J612" s="205"/>
      <c r="K612" s="205"/>
    </row>
    <row r="613" ht="14.25" customHeight="1">
      <c r="A613" s="55">
        <v>46268.0</v>
      </c>
      <c r="B613" s="55" t="str">
        <f t="shared" si="10"/>
        <v>Primer dia</v>
      </c>
      <c r="C613" s="202">
        <f t="shared" si="1"/>
        <v>3</v>
      </c>
      <c r="D613" s="202" t="str">
        <f t="shared" si="2"/>
        <v> </v>
      </c>
      <c r="E613" s="202" t="str">
        <f t="shared" si="9"/>
        <v> </v>
      </c>
      <c r="F613" s="55" t="str">
        <f t="shared" si="4"/>
        <v/>
      </c>
      <c r="G613" s="202" t="str">
        <f t="shared" si="5"/>
        <v/>
      </c>
      <c r="H613" s="202" t="str">
        <f t="shared" si="11"/>
        <v> </v>
      </c>
      <c r="I613" s="205" t="str">
        <f t="shared" si="7"/>
        <v/>
      </c>
      <c r="J613" s="205"/>
      <c r="K613" s="205"/>
    </row>
    <row r="614" ht="14.25" customHeight="1">
      <c r="A614" s="55">
        <v>46269.0</v>
      </c>
      <c r="B614" s="55" t="str">
        <f t="shared" si="10"/>
        <v>Primer dia</v>
      </c>
      <c r="C614" s="202">
        <f t="shared" si="1"/>
        <v>4</v>
      </c>
      <c r="D614" s="202" t="str">
        <f t="shared" si="2"/>
        <v> </v>
      </c>
      <c r="E614" s="202" t="str">
        <f t="shared" si="9"/>
        <v> </v>
      </c>
      <c r="F614" s="55" t="str">
        <f t="shared" si="4"/>
        <v/>
      </c>
      <c r="G614" s="202" t="str">
        <f t="shared" si="5"/>
        <v/>
      </c>
      <c r="H614" s="202" t="str">
        <f t="shared" si="11"/>
        <v> </v>
      </c>
      <c r="I614" s="205" t="str">
        <f t="shared" si="7"/>
        <v/>
      </c>
      <c r="J614" s="205"/>
      <c r="K614" s="205"/>
    </row>
    <row r="615" ht="14.25" customHeight="1">
      <c r="A615" s="55">
        <v>46270.0</v>
      </c>
      <c r="B615" s="55" t="str">
        <f t="shared" si="10"/>
        <v>Primer dia</v>
      </c>
      <c r="C615" s="202">
        <f t="shared" si="1"/>
        <v>5</v>
      </c>
      <c r="D615" s="202" t="str">
        <f t="shared" si="2"/>
        <v> </v>
      </c>
      <c r="E615" s="202" t="str">
        <f t="shared" si="9"/>
        <v> </v>
      </c>
      <c r="F615" s="55" t="str">
        <f t="shared" si="4"/>
        <v/>
      </c>
      <c r="G615" s="202" t="str">
        <f t="shared" si="5"/>
        <v/>
      </c>
      <c r="H615" s="202" t="str">
        <f t="shared" si="11"/>
        <v> </v>
      </c>
      <c r="I615" s="205" t="str">
        <f t="shared" si="7"/>
        <v/>
      </c>
      <c r="J615" s="205"/>
      <c r="K615" s="205"/>
    </row>
    <row r="616" ht="14.25" customHeight="1">
      <c r="A616" s="55">
        <v>46271.0</v>
      </c>
      <c r="B616" s="55" t="str">
        <f t="shared" si="10"/>
        <v>Primer dia</v>
      </c>
      <c r="C616" s="202">
        <f t="shared" si="1"/>
        <v>6</v>
      </c>
      <c r="D616" s="202" t="str">
        <f t="shared" si="2"/>
        <v> </v>
      </c>
      <c r="E616" s="202" t="str">
        <f t="shared" si="9"/>
        <v> </v>
      </c>
      <c r="F616" s="55" t="str">
        <f t="shared" si="4"/>
        <v/>
      </c>
      <c r="G616" s="202" t="str">
        <f t="shared" si="5"/>
        <v/>
      </c>
      <c r="H616" s="202" t="str">
        <f t="shared" si="11"/>
        <v> </v>
      </c>
      <c r="I616" s="205" t="str">
        <f t="shared" si="7"/>
        <v/>
      </c>
      <c r="J616" s="205"/>
      <c r="K616" s="205"/>
    </row>
    <row r="617" ht="14.25" customHeight="1">
      <c r="A617" s="55">
        <v>46272.0</v>
      </c>
      <c r="B617" s="55" t="str">
        <f t="shared" si="10"/>
        <v>Primer dia</v>
      </c>
      <c r="C617" s="202">
        <f t="shared" si="1"/>
        <v>7</v>
      </c>
      <c r="D617" s="202" t="str">
        <f t="shared" si="2"/>
        <v> </v>
      </c>
      <c r="E617" s="202" t="str">
        <f t="shared" si="9"/>
        <v> </v>
      </c>
      <c r="F617" s="55" t="str">
        <f t="shared" si="4"/>
        <v/>
      </c>
      <c r="G617" s="202" t="str">
        <f t="shared" si="5"/>
        <v/>
      </c>
      <c r="H617" s="202" t="str">
        <f t="shared" si="11"/>
        <v> </v>
      </c>
      <c r="I617" s="205" t="str">
        <f t="shared" si="7"/>
        <v/>
      </c>
      <c r="J617" s="205"/>
      <c r="K617" s="205"/>
    </row>
    <row r="618" ht="14.25" customHeight="1">
      <c r="A618" s="55">
        <v>46273.0</v>
      </c>
      <c r="B618" s="55" t="str">
        <f t="shared" si="10"/>
        <v>Primer dia</v>
      </c>
      <c r="C618" s="202">
        <f t="shared" si="1"/>
        <v>8</v>
      </c>
      <c r="D618" s="202" t="str">
        <f t="shared" si="2"/>
        <v> </v>
      </c>
      <c r="E618" s="202" t="str">
        <f t="shared" si="9"/>
        <v> </v>
      </c>
      <c r="F618" s="55" t="str">
        <f t="shared" si="4"/>
        <v/>
      </c>
      <c r="G618" s="202" t="str">
        <f t="shared" si="5"/>
        <v/>
      </c>
      <c r="H618" s="202" t="str">
        <f t="shared" si="11"/>
        <v> </v>
      </c>
      <c r="I618" s="205" t="str">
        <f t="shared" si="7"/>
        <v/>
      </c>
      <c r="J618" s="205"/>
      <c r="K618" s="205"/>
    </row>
    <row r="619" ht="14.25" customHeight="1">
      <c r="A619" s="55">
        <v>46274.0</v>
      </c>
      <c r="B619" s="55" t="str">
        <f t="shared" si="10"/>
        <v>Primer dia</v>
      </c>
      <c r="C619" s="202">
        <f t="shared" si="1"/>
        <v>9</v>
      </c>
      <c r="D619" s="202" t="str">
        <f t="shared" si="2"/>
        <v> </v>
      </c>
      <c r="E619" s="202" t="str">
        <f t="shared" si="9"/>
        <v> </v>
      </c>
      <c r="F619" s="55" t="str">
        <f t="shared" si="4"/>
        <v/>
      </c>
      <c r="G619" s="202" t="str">
        <f t="shared" si="5"/>
        <v/>
      </c>
      <c r="H619" s="202" t="str">
        <f t="shared" si="11"/>
        <v> </v>
      </c>
      <c r="I619" s="205" t="str">
        <f t="shared" si="7"/>
        <v/>
      </c>
      <c r="J619" s="205"/>
      <c r="K619" s="205"/>
    </row>
    <row r="620" ht="14.25" customHeight="1">
      <c r="A620" s="55">
        <v>46275.0</v>
      </c>
      <c r="B620" s="55" t="str">
        <f t="shared" si="10"/>
        <v>Primer dia</v>
      </c>
      <c r="C620" s="202">
        <f t="shared" si="1"/>
        <v>10</v>
      </c>
      <c r="D620" s="202" t="str">
        <f t="shared" si="2"/>
        <v> </v>
      </c>
      <c r="E620" s="202" t="str">
        <f t="shared" si="9"/>
        <v> </v>
      </c>
      <c r="F620" s="55" t="str">
        <f t="shared" si="4"/>
        <v/>
      </c>
      <c r="G620" s="202" t="str">
        <f t="shared" si="5"/>
        <v/>
      </c>
      <c r="H620" s="202" t="str">
        <f t="shared" si="11"/>
        <v> </v>
      </c>
      <c r="I620" s="205" t="str">
        <f t="shared" si="7"/>
        <v/>
      </c>
      <c r="J620" s="205"/>
      <c r="K620" s="205"/>
    </row>
    <row r="621" ht="14.25" customHeight="1">
      <c r="A621" s="55">
        <v>46276.0</v>
      </c>
      <c r="B621" s="55" t="str">
        <f t="shared" si="10"/>
        <v>Primer dia</v>
      </c>
      <c r="C621" s="202">
        <f t="shared" si="1"/>
        <v>11</v>
      </c>
      <c r="D621" s="202" t="str">
        <f t="shared" si="2"/>
        <v> </v>
      </c>
      <c r="E621" s="202" t="str">
        <f t="shared" si="9"/>
        <v> </v>
      </c>
      <c r="F621" s="55" t="str">
        <f t="shared" si="4"/>
        <v/>
      </c>
      <c r="G621" s="202" t="str">
        <f t="shared" si="5"/>
        <v/>
      </c>
      <c r="H621" s="202" t="str">
        <f t="shared" si="11"/>
        <v> </v>
      </c>
      <c r="I621" s="205" t="str">
        <f t="shared" si="7"/>
        <v/>
      </c>
      <c r="J621" s="205"/>
      <c r="K621" s="205"/>
    </row>
    <row r="622" ht="14.25" customHeight="1">
      <c r="A622" s="55">
        <v>46277.0</v>
      </c>
      <c r="B622" s="55" t="str">
        <f t="shared" si="10"/>
        <v>Primer dia</v>
      </c>
      <c r="C622" s="202">
        <f t="shared" si="1"/>
        <v>12</v>
      </c>
      <c r="D622" s="202" t="str">
        <f t="shared" si="2"/>
        <v> </v>
      </c>
      <c r="E622" s="202" t="str">
        <f t="shared" si="9"/>
        <v> </v>
      </c>
      <c r="F622" s="55" t="str">
        <f t="shared" si="4"/>
        <v/>
      </c>
      <c r="G622" s="202" t="str">
        <f t="shared" si="5"/>
        <v/>
      </c>
      <c r="H622" s="202" t="str">
        <f t="shared" si="11"/>
        <v> </v>
      </c>
      <c r="I622" s="205" t="str">
        <f t="shared" si="7"/>
        <v/>
      </c>
      <c r="J622" s="205"/>
      <c r="K622" s="205"/>
    </row>
    <row r="623" ht="14.25" customHeight="1">
      <c r="A623" s="55">
        <v>46278.0</v>
      </c>
      <c r="B623" s="55" t="str">
        <f t="shared" si="10"/>
        <v>Primer dia</v>
      </c>
      <c r="C623" s="202">
        <f t="shared" si="1"/>
        <v>13</v>
      </c>
      <c r="D623" s="202" t="str">
        <f t="shared" si="2"/>
        <v> </v>
      </c>
      <c r="E623" s="202" t="str">
        <f t="shared" si="9"/>
        <v> </v>
      </c>
      <c r="F623" s="55" t="str">
        <f t="shared" si="4"/>
        <v/>
      </c>
      <c r="G623" s="202" t="str">
        <f t="shared" si="5"/>
        <v/>
      </c>
      <c r="H623" s="202" t="str">
        <f t="shared" si="11"/>
        <v> </v>
      </c>
      <c r="I623" s="205" t="str">
        <f t="shared" si="7"/>
        <v/>
      </c>
      <c r="J623" s="205"/>
      <c r="K623" s="205"/>
    </row>
    <row r="624" ht="14.25" customHeight="1">
      <c r="A624" s="55">
        <v>46279.0</v>
      </c>
      <c r="B624" s="55" t="str">
        <f t="shared" si="10"/>
        <v>Primer dia</v>
      </c>
      <c r="C624" s="202">
        <f t="shared" si="1"/>
        <v>14</v>
      </c>
      <c r="D624" s="202" t="str">
        <f t="shared" si="2"/>
        <v> </v>
      </c>
      <c r="E624" s="202" t="str">
        <f t="shared" si="9"/>
        <v> </v>
      </c>
      <c r="F624" s="55" t="str">
        <f t="shared" si="4"/>
        <v/>
      </c>
      <c r="G624" s="202" t="str">
        <f t="shared" si="5"/>
        <v/>
      </c>
      <c r="H624" s="202" t="str">
        <f t="shared" si="11"/>
        <v> </v>
      </c>
      <c r="I624" s="205" t="str">
        <f t="shared" si="7"/>
        <v/>
      </c>
      <c r="J624" s="205"/>
      <c r="K624" s="205"/>
    </row>
    <row r="625" ht="14.25" customHeight="1">
      <c r="A625" s="55">
        <v>46280.0</v>
      </c>
      <c r="B625" s="55" t="str">
        <f t="shared" si="10"/>
        <v>Primer dia</v>
      </c>
      <c r="C625" s="202">
        <f t="shared" si="1"/>
        <v>15</v>
      </c>
      <c r="D625" s="202" t="str">
        <f t="shared" si="2"/>
        <v> </v>
      </c>
      <c r="E625" s="202" t="str">
        <f t="shared" si="9"/>
        <v> </v>
      </c>
      <c r="F625" s="55" t="str">
        <f t="shared" si="4"/>
        <v/>
      </c>
      <c r="G625" s="202" t="str">
        <f t="shared" si="5"/>
        <v/>
      </c>
      <c r="H625" s="202" t="str">
        <f t="shared" si="11"/>
        <v> </v>
      </c>
      <c r="I625" s="205" t="str">
        <f t="shared" si="7"/>
        <v/>
      </c>
      <c r="J625" s="205"/>
      <c r="K625" s="205"/>
    </row>
    <row r="626" ht="14.25" customHeight="1">
      <c r="A626" s="55">
        <v>46281.0</v>
      </c>
      <c r="B626" s="55" t="str">
        <f t="shared" si="10"/>
        <v>Primer dia</v>
      </c>
      <c r="C626" s="202">
        <f t="shared" si="1"/>
        <v>16</v>
      </c>
      <c r="D626" s="202" t="str">
        <f t="shared" si="2"/>
        <v> </v>
      </c>
      <c r="E626" s="202" t="str">
        <f t="shared" si="9"/>
        <v> </v>
      </c>
      <c r="F626" s="55" t="str">
        <f t="shared" si="4"/>
        <v/>
      </c>
      <c r="G626" s="202" t="str">
        <f t="shared" si="5"/>
        <v/>
      </c>
      <c r="H626" s="202" t="str">
        <f t="shared" si="11"/>
        <v> </v>
      </c>
      <c r="I626" s="205" t="str">
        <f t="shared" si="7"/>
        <v/>
      </c>
      <c r="J626" s="205"/>
      <c r="K626" s="205"/>
    </row>
    <row r="627" ht="14.25" customHeight="1">
      <c r="A627" s="55">
        <v>46282.0</v>
      </c>
      <c r="B627" s="55" t="str">
        <f t="shared" si="10"/>
        <v>Primer dia</v>
      </c>
      <c r="C627" s="202">
        <f t="shared" si="1"/>
        <v>17</v>
      </c>
      <c r="D627" s="202" t="str">
        <f t="shared" si="2"/>
        <v> </v>
      </c>
      <c r="E627" s="202">
        <f t="shared" si="9"/>
        <v>17</v>
      </c>
      <c r="F627" s="55">
        <f t="shared" si="4"/>
        <v>46282</v>
      </c>
      <c r="G627" s="202">
        <f t="shared" si="5"/>
        <v>16</v>
      </c>
      <c r="H627" s="202" t="str">
        <f t="shared" si="11"/>
        <v> </v>
      </c>
      <c r="I627" s="205" t="str">
        <f t="shared" si="7"/>
        <v/>
      </c>
      <c r="J627" s="205"/>
      <c r="K627" s="205"/>
    </row>
    <row r="628" ht="14.25" customHeight="1">
      <c r="A628" s="55">
        <v>46283.0</v>
      </c>
      <c r="B628" s="55" t="str">
        <f t="shared" si="10"/>
        <v>Primer dia</v>
      </c>
      <c r="C628" s="202">
        <f t="shared" si="1"/>
        <v>18</v>
      </c>
      <c r="D628" s="202" t="str">
        <f t="shared" si="2"/>
        <v> </v>
      </c>
      <c r="E628" s="202" t="str">
        <f t="shared" si="9"/>
        <v> </v>
      </c>
      <c r="F628" s="55" t="str">
        <f t="shared" si="4"/>
        <v/>
      </c>
      <c r="G628" s="202" t="str">
        <f t="shared" si="5"/>
        <v/>
      </c>
      <c r="H628" s="202" t="str">
        <f t="shared" si="11"/>
        <v> </v>
      </c>
      <c r="I628" s="205" t="str">
        <f t="shared" si="7"/>
        <v/>
      </c>
      <c r="J628" s="205"/>
      <c r="K628" s="205"/>
    </row>
    <row r="629" ht="14.25" customHeight="1">
      <c r="A629" s="55">
        <v>46284.0</v>
      </c>
      <c r="B629" s="55" t="str">
        <f t="shared" si="10"/>
        <v>Primer dia</v>
      </c>
      <c r="C629" s="202">
        <f t="shared" si="1"/>
        <v>19</v>
      </c>
      <c r="D629" s="202" t="str">
        <f t="shared" si="2"/>
        <v> </v>
      </c>
      <c r="E629" s="202" t="str">
        <f t="shared" si="9"/>
        <v> </v>
      </c>
      <c r="F629" s="55" t="str">
        <f t="shared" si="4"/>
        <v/>
      </c>
      <c r="G629" s="202" t="str">
        <f t="shared" si="5"/>
        <v/>
      </c>
      <c r="H629" s="202" t="str">
        <f t="shared" si="11"/>
        <v> </v>
      </c>
      <c r="I629" s="205" t="str">
        <f t="shared" si="7"/>
        <v/>
      </c>
      <c r="J629" s="205"/>
      <c r="K629" s="205"/>
    </row>
    <row r="630" ht="14.25" customHeight="1">
      <c r="A630" s="55">
        <v>46285.0</v>
      </c>
      <c r="B630" s="55" t="str">
        <f t="shared" si="10"/>
        <v>Primer dia</v>
      </c>
      <c r="C630" s="202">
        <f t="shared" si="1"/>
        <v>20</v>
      </c>
      <c r="D630" s="202" t="str">
        <f t="shared" si="2"/>
        <v> </v>
      </c>
      <c r="E630" s="202" t="str">
        <f t="shared" si="9"/>
        <v> </v>
      </c>
      <c r="F630" s="55" t="str">
        <f t="shared" si="4"/>
        <v/>
      </c>
      <c r="G630" s="202" t="str">
        <f t="shared" si="5"/>
        <v/>
      </c>
      <c r="H630" s="202" t="str">
        <f t="shared" si="11"/>
        <v> </v>
      </c>
      <c r="I630" s="205" t="str">
        <f t="shared" si="7"/>
        <v/>
      </c>
      <c r="J630" s="205"/>
      <c r="K630" s="205"/>
    </row>
    <row r="631" ht="14.25" customHeight="1">
      <c r="A631" s="55">
        <v>46286.0</v>
      </c>
      <c r="B631" s="55" t="str">
        <f t="shared" si="10"/>
        <v>Primer dia</v>
      </c>
      <c r="C631" s="202">
        <f t="shared" si="1"/>
        <v>21</v>
      </c>
      <c r="D631" s="202" t="str">
        <f t="shared" si="2"/>
        <v> </v>
      </c>
      <c r="E631" s="202" t="str">
        <f t="shared" si="9"/>
        <v> </v>
      </c>
      <c r="F631" s="55" t="str">
        <f t="shared" si="4"/>
        <v/>
      </c>
      <c r="G631" s="202" t="str">
        <f t="shared" si="5"/>
        <v/>
      </c>
      <c r="H631" s="202" t="str">
        <f t="shared" si="11"/>
        <v> </v>
      </c>
      <c r="I631" s="205" t="str">
        <f t="shared" si="7"/>
        <v/>
      </c>
      <c r="J631" s="205"/>
      <c r="K631" s="205"/>
    </row>
    <row r="632" ht="14.25" customHeight="1">
      <c r="A632" s="55">
        <v>46287.0</v>
      </c>
      <c r="B632" s="55" t="str">
        <f t="shared" si="10"/>
        <v>Primer dia</v>
      </c>
      <c r="C632" s="202">
        <f t="shared" si="1"/>
        <v>22</v>
      </c>
      <c r="D632" s="202" t="str">
        <f t="shared" si="2"/>
        <v> </v>
      </c>
      <c r="E632" s="202" t="str">
        <f t="shared" si="9"/>
        <v> </v>
      </c>
      <c r="F632" s="55" t="str">
        <f t="shared" si="4"/>
        <v/>
      </c>
      <c r="G632" s="202" t="str">
        <f t="shared" si="5"/>
        <v/>
      </c>
      <c r="H632" s="202" t="str">
        <f t="shared" si="11"/>
        <v> </v>
      </c>
      <c r="I632" s="205" t="str">
        <f t="shared" si="7"/>
        <v/>
      </c>
      <c r="J632" s="205"/>
      <c r="K632" s="205"/>
    </row>
    <row r="633" ht="14.25" customHeight="1">
      <c r="A633" s="55">
        <v>46288.0</v>
      </c>
      <c r="B633" s="55" t="str">
        <f t="shared" si="10"/>
        <v>Primer dia</v>
      </c>
      <c r="C633" s="202">
        <f t="shared" si="1"/>
        <v>23</v>
      </c>
      <c r="D633" s="202" t="str">
        <f t="shared" si="2"/>
        <v> </v>
      </c>
      <c r="E633" s="202" t="str">
        <f t="shared" si="9"/>
        <v> </v>
      </c>
      <c r="F633" s="55" t="str">
        <f t="shared" si="4"/>
        <v/>
      </c>
      <c r="G633" s="202" t="str">
        <f t="shared" si="5"/>
        <v/>
      </c>
      <c r="H633" s="202" t="str">
        <f t="shared" si="11"/>
        <v> </v>
      </c>
      <c r="I633" s="205" t="str">
        <f t="shared" si="7"/>
        <v/>
      </c>
      <c r="J633" s="205"/>
      <c r="K633" s="205"/>
    </row>
    <row r="634" ht="14.25" customHeight="1">
      <c r="A634" s="55">
        <v>46289.0</v>
      </c>
      <c r="B634" s="55" t="str">
        <f t="shared" si="10"/>
        <v>Primer dia</v>
      </c>
      <c r="C634" s="202">
        <f t="shared" si="1"/>
        <v>24</v>
      </c>
      <c r="D634" s="202" t="str">
        <f t="shared" si="2"/>
        <v> </v>
      </c>
      <c r="E634" s="202" t="str">
        <f t="shared" si="9"/>
        <v> </v>
      </c>
      <c r="F634" s="55" t="str">
        <f t="shared" si="4"/>
        <v/>
      </c>
      <c r="G634" s="202" t="str">
        <f t="shared" si="5"/>
        <v/>
      </c>
      <c r="H634" s="202" t="str">
        <f t="shared" si="11"/>
        <v> </v>
      </c>
      <c r="I634" s="205" t="str">
        <f t="shared" si="7"/>
        <v/>
      </c>
      <c r="J634" s="205"/>
      <c r="K634" s="205"/>
    </row>
    <row r="635" ht="14.25" customHeight="1">
      <c r="A635" s="55">
        <v>46290.0</v>
      </c>
      <c r="B635" s="55" t="str">
        <f t="shared" si="10"/>
        <v>Primer dia</v>
      </c>
      <c r="C635" s="202">
        <f t="shared" si="1"/>
        <v>25</v>
      </c>
      <c r="D635" s="202" t="str">
        <f t="shared" si="2"/>
        <v> </v>
      </c>
      <c r="E635" s="202" t="str">
        <f t="shared" si="9"/>
        <v> </v>
      </c>
      <c r="F635" s="55" t="str">
        <f t="shared" si="4"/>
        <v/>
      </c>
      <c r="G635" s="202" t="str">
        <f t="shared" si="5"/>
        <v/>
      </c>
      <c r="H635" s="202" t="str">
        <f t="shared" si="11"/>
        <v> </v>
      </c>
      <c r="I635" s="205" t="str">
        <f t="shared" si="7"/>
        <v/>
      </c>
      <c r="J635" s="205"/>
      <c r="K635" s="205"/>
    </row>
    <row r="636" ht="14.25" customHeight="1">
      <c r="A636" s="55">
        <v>46291.0</v>
      </c>
      <c r="B636" s="55" t="str">
        <f t="shared" si="10"/>
        <v>Primer dia</v>
      </c>
      <c r="C636" s="202">
        <f t="shared" si="1"/>
        <v>26</v>
      </c>
      <c r="D636" s="202" t="str">
        <f t="shared" si="2"/>
        <v> </v>
      </c>
      <c r="E636" s="202" t="str">
        <f t="shared" si="9"/>
        <v> </v>
      </c>
      <c r="F636" s="55" t="str">
        <f t="shared" si="4"/>
        <v/>
      </c>
      <c r="G636" s="202" t="str">
        <f t="shared" si="5"/>
        <v/>
      </c>
      <c r="H636" s="202" t="str">
        <f t="shared" si="11"/>
        <v> </v>
      </c>
      <c r="I636" s="205" t="str">
        <f t="shared" si="7"/>
        <v/>
      </c>
      <c r="J636" s="205"/>
      <c r="K636" s="205"/>
    </row>
    <row r="637" ht="14.25" customHeight="1">
      <c r="A637" s="55">
        <v>46292.0</v>
      </c>
      <c r="B637" s="55" t="str">
        <f t="shared" si="10"/>
        <v>Primer dia</v>
      </c>
      <c r="C637" s="202">
        <f t="shared" si="1"/>
        <v>27</v>
      </c>
      <c r="D637" s="202" t="str">
        <f t="shared" si="2"/>
        <v> </v>
      </c>
      <c r="E637" s="202" t="str">
        <f t="shared" si="9"/>
        <v> </v>
      </c>
      <c r="F637" s="55" t="str">
        <f t="shared" si="4"/>
        <v/>
      </c>
      <c r="G637" s="202" t="str">
        <f t="shared" si="5"/>
        <v/>
      </c>
      <c r="H637" s="202" t="str">
        <f t="shared" si="11"/>
        <v> </v>
      </c>
      <c r="I637" s="205" t="str">
        <f t="shared" si="7"/>
        <v/>
      </c>
      <c r="J637" s="205"/>
      <c r="K637" s="205"/>
    </row>
    <row r="638" ht="14.25" customHeight="1">
      <c r="A638" s="55">
        <v>46293.0</v>
      </c>
      <c r="B638" s="55" t="str">
        <f t="shared" si="10"/>
        <v>Primer dia</v>
      </c>
      <c r="C638" s="202">
        <f t="shared" si="1"/>
        <v>28</v>
      </c>
      <c r="D638" s="202" t="str">
        <f t="shared" si="2"/>
        <v> </v>
      </c>
      <c r="E638" s="202" t="str">
        <f t="shared" si="9"/>
        <v> </v>
      </c>
      <c r="F638" s="55" t="str">
        <f t="shared" si="4"/>
        <v/>
      </c>
      <c r="G638" s="202" t="str">
        <f t="shared" si="5"/>
        <v/>
      </c>
      <c r="H638" s="202" t="str">
        <f t="shared" si="11"/>
        <v> </v>
      </c>
      <c r="I638" s="205" t="str">
        <f t="shared" si="7"/>
        <v/>
      </c>
      <c r="J638" s="205"/>
      <c r="K638" s="205"/>
    </row>
    <row r="639" ht="14.25" customHeight="1">
      <c r="A639" s="55">
        <v>46294.0</v>
      </c>
      <c r="B639" s="55" t="str">
        <f t="shared" si="10"/>
        <v>Primer dia</v>
      </c>
      <c r="C639" s="202">
        <f t="shared" si="1"/>
        <v>29</v>
      </c>
      <c r="D639" s="202" t="str">
        <f t="shared" si="2"/>
        <v> </v>
      </c>
      <c r="E639" s="202" t="str">
        <f t="shared" si="9"/>
        <v> </v>
      </c>
      <c r="F639" s="55" t="str">
        <f t="shared" si="4"/>
        <v/>
      </c>
      <c r="G639" s="202" t="str">
        <f t="shared" si="5"/>
        <v/>
      </c>
      <c r="H639" s="202" t="str">
        <f t="shared" si="11"/>
        <v> </v>
      </c>
      <c r="I639" s="205" t="str">
        <f t="shared" si="7"/>
        <v/>
      </c>
      <c r="J639" s="205"/>
      <c r="K639" s="205"/>
    </row>
    <row r="640" ht="14.25" customHeight="1">
      <c r="A640" s="55">
        <v>46295.0</v>
      </c>
      <c r="B640" s="55" t="str">
        <f t="shared" si="10"/>
        <v>Primer dia</v>
      </c>
      <c r="C640" s="202">
        <f t="shared" si="1"/>
        <v>30</v>
      </c>
      <c r="D640" s="202" t="str">
        <f t="shared" si="2"/>
        <v> </v>
      </c>
      <c r="E640" s="202" t="str">
        <f t="shared" si="9"/>
        <v> </v>
      </c>
      <c r="F640" s="55" t="str">
        <f t="shared" si="4"/>
        <v/>
      </c>
      <c r="G640" s="202" t="str">
        <f t="shared" si="5"/>
        <v/>
      </c>
      <c r="H640" s="202" t="str">
        <f t="shared" si="11"/>
        <v> </v>
      </c>
      <c r="I640" s="205" t="str">
        <f t="shared" si="7"/>
        <v/>
      </c>
      <c r="J640" s="205"/>
      <c r="K640" s="205"/>
    </row>
    <row r="641" ht="14.25" customHeight="1">
      <c r="A641" s="55">
        <v>46296.0</v>
      </c>
      <c r="B641" s="55" t="str">
        <f t="shared" si="10"/>
        <v>Primer dia</v>
      </c>
      <c r="C641" s="202">
        <f t="shared" si="1"/>
        <v>1</v>
      </c>
      <c r="D641" s="202" t="str">
        <f t="shared" si="2"/>
        <v> </v>
      </c>
      <c r="E641" s="202" t="str">
        <f t="shared" si="9"/>
        <v> </v>
      </c>
      <c r="F641" s="55" t="str">
        <f t="shared" si="4"/>
        <v/>
      </c>
      <c r="G641" s="202" t="str">
        <f t="shared" si="5"/>
        <v/>
      </c>
      <c r="H641" s="202" t="str">
        <f t="shared" si="11"/>
        <v> </v>
      </c>
      <c r="I641" s="205" t="str">
        <f t="shared" si="7"/>
        <v/>
      </c>
      <c r="J641" s="205"/>
      <c r="K641" s="205"/>
    </row>
    <row r="642" ht="14.25" customHeight="1">
      <c r="A642" s="55">
        <v>46297.0</v>
      </c>
      <c r="B642" s="55" t="str">
        <f t="shared" si="10"/>
        <v>Primer dia</v>
      </c>
      <c r="C642" s="202">
        <f t="shared" si="1"/>
        <v>2</v>
      </c>
      <c r="D642" s="202" t="str">
        <f t="shared" si="2"/>
        <v> </v>
      </c>
      <c r="E642" s="202">
        <f t="shared" si="9"/>
        <v>2</v>
      </c>
      <c r="F642" s="55">
        <f t="shared" si="4"/>
        <v>46297</v>
      </c>
      <c r="G642" s="202">
        <f t="shared" si="5"/>
        <v>17</v>
      </c>
      <c r="H642" s="202" t="str">
        <f t="shared" si="11"/>
        <v> </v>
      </c>
      <c r="I642" s="205" t="str">
        <f t="shared" si="7"/>
        <v/>
      </c>
      <c r="J642" s="205"/>
      <c r="K642" s="205"/>
    </row>
    <row r="643" ht="14.25" customHeight="1">
      <c r="A643" s="55">
        <v>46298.0</v>
      </c>
      <c r="B643" s="55" t="str">
        <f t="shared" si="10"/>
        <v>Primer dia</v>
      </c>
      <c r="C643" s="202">
        <f t="shared" si="1"/>
        <v>3</v>
      </c>
      <c r="D643" s="202" t="str">
        <f t="shared" si="2"/>
        <v> </v>
      </c>
      <c r="E643" s="202" t="str">
        <f t="shared" si="9"/>
        <v> </v>
      </c>
      <c r="F643" s="55" t="str">
        <f t="shared" si="4"/>
        <v/>
      </c>
      <c r="G643" s="202" t="str">
        <f t="shared" si="5"/>
        <v/>
      </c>
      <c r="H643" s="202" t="str">
        <f t="shared" si="11"/>
        <v> </v>
      </c>
      <c r="I643" s="205" t="str">
        <f t="shared" si="7"/>
        <v/>
      </c>
      <c r="J643" s="205"/>
      <c r="K643" s="205"/>
    </row>
    <row r="644" ht="14.25" customHeight="1">
      <c r="A644" s="55">
        <v>46299.0</v>
      </c>
      <c r="B644" s="55" t="str">
        <f t="shared" si="10"/>
        <v>Primer dia</v>
      </c>
      <c r="C644" s="202">
        <f t="shared" si="1"/>
        <v>4</v>
      </c>
      <c r="D644" s="202" t="str">
        <f t="shared" si="2"/>
        <v> </v>
      </c>
      <c r="E644" s="202" t="str">
        <f t="shared" si="9"/>
        <v> </v>
      </c>
      <c r="F644" s="55" t="str">
        <f t="shared" si="4"/>
        <v/>
      </c>
      <c r="G644" s="202" t="str">
        <f t="shared" si="5"/>
        <v/>
      </c>
      <c r="H644" s="202" t="str">
        <f t="shared" si="11"/>
        <v> </v>
      </c>
      <c r="I644" s="205" t="str">
        <f t="shared" si="7"/>
        <v/>
      </c>
      <c r="J644" s="205"/>
      <c r="K644" s="205"/>
    </row>
    <row r="645" ht="14.25" customHeight="1">
      <c r="A645" s="55">
        <v>46300.0</v>
      </c>
      <c r="B645" s="55" t="str">
        <f t="shared" si="10"/>
        <v>Primer dia</v>
      </c>
      <c r="C645" s="202">
        <f t="shared" si="1"/>
        <v>5</v>
      </c>
      <c r="D645" s="202" t="str">
        <f t="shared" si="2"/>
        <v> </v>
      </c>
      <c r="E645" s="202" t="str">
        <f t="shared" si="9"/>
        <v> </v>
      </c>
      <c r="F645" s="55" t="str">
        <f t="shared" si="4"/>
        <v/>
      </c>
      <c r="G645" s="202" t="str">
        <f t="shared" si="5"/>
        <v/>
      </c>
      <c r="H645" s="202" t="str">
        <f t="shared" si="11"/>
        <v> </v>
      </c>
      <c r="I645" s="205" t="str">
        <f t="shared" si="7"/>
        <v/>
      </c>
      <c r="J645" s="205"/>
      <c r="K645" s="205"/>
    </row>
    <row r="646" ht="14.25" customHeight="1">
      <c r="A646" s="55">
        <v>46301.0</v>
      </c>
      <c r="B646" s="55" t="str">
        <f t="shared" si="10"/>
        <v>Primer dia</v>
      </c>
      <c r="C646" s="202">
        <f t="shared" si="1"/>
        <v>6</v>
      </c>
      <c r="D646" s="202" t="str">
        <f t="shared" si="2"/>
        <v> </v>
      </c>
      <c r="E646" s="202" t="str">
        <f t="shared" si="9"/>
        <v> </v>
      </c>
      <c r="F646" s="55" t="str">
        <f t="shared" si="4"/>
        <v/>
      </c>
      <c r="G646" s="202" t="str">
        <f t="shared" si="5"/>
        <v/>
      </c>
      <c r="H646" s="202" t="str">
        <f t="shared" si="11"/>
        <v> </v>
      </c>
      <c r="I646" s="205" t="str">
        <f t="shared" si="7"/>
        <v/>
      </c>
      <c r="J646" s="205"/>
      <c r="K646" s="205"/>
    </row>
    <row r="647" ht="14.25" customHeight="1">
      <c r="A647" s="55">
        <v>46302.0</v>
      </c>
      <c r="B647" s="55" t="str">
        <f t="shared" si="10"/>
        <v>Primer dia</v>
      </c>
      <c r="C647" s="202">
        <f t="shared" si="1"/>
        <v>7</v>
      </c>
      <c r="D647" s="202" t="str">
        <f t="shared" si="2"/>
        <v> </v>
      </c>
      <c r="E647" s="202" t="str">
        <f t="shared" si="9"/>
        <v> </v>
      </c>
      <c r="F647" s="55" t="str">
        <f t="shared" si="4"/>
        <v/>
      </c>
      <c r="G647" s="202" t="str">
        <f t="shared" si="5"/>
        <v/>
      </c>
      <c r="H647" s="202" t="str">
        <f t="shared" si="11"/>
        <v> </v>
      </c>
      <c r="I647" s="205" t="str">
        <f t="shared" si="7"/>
        <v/>
      </c>
      <c r="J647" s="205"/>
      <c r="K647" s="205"/>
    </row>
    <row r="648" ht="14.25" customHeight="1">
      <c r="A648" s="55">
        <v>46303.0</v>
      </c>
      <c r="B648" s="55" t="str">
        <f t="shared" si="10"/>
        <v>Primer dia</v>
      </c>
      <c r="C648" s="202">
        <f t="shared" si="1"/>
        <v>8</v>
      </c>
      <c r="D648" s="202" t="str">
        <f t="shared" si="2"/>
        <v> </v>
      </c>
      <c r="E648" s="202" t="str">
        <f t="shared" si="9"/>
        <v> </v>
      </c>
      <c r="F648" s="55" t="str">
        <f t="shared" si="4"/>
        <v/>
      </c>
      <c r="G648" s="202" t="str">
        <f t="shared" si="5"/>
        <v/>
      </c>
      <c r="H648" s="202" t="str">
        <f t="shared" si="11"/>
        <v> </v>
      </c>
      <c r="I648" s="205" t="str">
        <f t="shared" si="7"/>
        <v/>
      </c>
      <c r="J648" s="205"/>
      <c r="K648" s="205"/>
    </row>
    <row r="649" ht="14.25" customHeight="1">
      <c r="A649" s="55">
        <v>46304.0</v>
      </c>
      <c r="B649" s="55" t="str">
        <f t="shared" si="10"/>
        <v>Primer dia</v>
      </c>
      <c r="C649" s="202">
        <f t="shared" si="1"/>
        <v>9</v>
      </c>
      <c r="D649" s="202" t="str">
        <f t="shared" si="2"/>
        <v> </v>
      </c>
      <c r="E649" s="202" t="str">
        <f t="shared" si="9"/>
        <v> </v>
      </c>
      <c r="F649" s="55" t="str">
        <f t="shared" si="4"/>
        <v/>
      </c>
      <c r="G649" s="202" t="str">
        <f t="shared" si="5"/>
        <v/>
      </c>
      <c r="H649" s="202" t="str">
        <f t="shared" si="11"/>
        <v> </v>
      </c>
      <c r="I649" s="205" t="str">
        <f t="shared" si="7"/>
        <v/>
      </c>
      <c r="J649" s="205"/>
      <c r="K649" s="205"/>
    </row>
    <row r="650" ht="14.25" customHeight="1">
      <c r="A650" s="55">
        <v>46305.0</v>
      </c>
      <c r="B650" s="55" t="str">
        <f t="shared" si="10"/>
        <v>Primer dia</v>
      </c>
      <c r="C650" s="202">
        <f t="shared" si="1"/>
        <v>10</v>
      </c>
      <c r="D650" s="202" t="str">
        <f t="shared" si="2"/>
        <v> </v>
      </c>
      <c r="E650" s="202" t="str">
        <f t="shared" si="9"/>
        <v> </v>
      </c>
      <c r="F650" s="55" t="str">
        <f t="shared" si="4"/>
        <v/>
      </c>
      <c r="G650" s="202" t="str">
        <f t="shared" si="5"/>
        <v/>
      </c>
      <c r="H650" s="202" t="str">
        <f t="shared" si="11"/>
        <v> </v>
      </c>
      <c r="I650" s="205" t="str">
        <f t="shared" si="7"/>
        <v/>
      </c>
      <c r="J650" s="205"/>
      <c r="K650" s="205"/>
    </row>
    <row r="651" ht="14.25" customHeight="1">
      <c r="A651" s="55">
        <v>46306.0</v>
      </c>
      <c r="B651" s="55" t="str">
        <f t="shared" si="10"/>
        <v>Primer dia</v>
      </c>
      <c r="C651" s="202">
        <f t="shared" si="1"/>
        <v>11</v>
      </c>
      <c r="D651" s="202" t="str">
        <f t="shared" si="2"/>
        <v> </v>
      </c>
      <c r="E651" s="202" t="str">
        <f t="shared" si="9"/>
        <v> </v>
      </c>
      <c r="F651" s="55" t="str">
        <f t="shared" si="4"/>
        <v/>
      </c>
      <c r="G651" s="202" t="str">
        <f t="shared" si="5"/>
        <v/>
      </c>
      <c r="H651" s="202" t="str">
        <f t="shared" si="11"/>
        <v> </v>
      </c>
      <c r="I651" s="205" t="str">
        <f t="shared" si="7"/>
        <v/>
      </c>
      <c r="J651" s="205"/>
      <c r="K651" s="205"/>
    </row>
    <row r="652" ht="14.25" customHeight="1">
      <c r="A652" s="55">
        <v>46307.0</v>
      </c>
      <c r="B652" s="55" t="str">
        <f t="shared" si="10"/>
        <v>Primer dia</v>
      </c>
      <c r="C652" s="202">
        <f t="shared" si="1"/>
        <v>12</v>
      </c>
      <c r="D652" s="202" t="str">
        <f t="shared" si="2"/>
        <v> </v>
      </c>
      <c r="E652" s="202" t="str">
        <f t="shared" si="9"/>
        <v> </v>
      </c>
      <c r="F652" s="55" t="str">
        <f t="shared" si="4"/>
        <v/>
      </c>
      <c r="G652" s="202" t="str">
        <f t="shared" si="5"/>
        <v/>
      </c>
      <c r="H652" s="202" t="str">
        <f t="shared" si="11"/>
        <v> </v>
      </c>
      <c r="I652" s="205" t="str">
        <f t="shared" si="7"/>
        <v/>
      </c>
      <c r="J652" s="205"/>
      <c r="K652" s="205"/>
    </row>
    <row r="653" ht="14.25" customHeight="1">
      <c r="A653" s="55">
        <v>46308.0</v>
      </c>
      <c r="B653" s="55" t="str">
        <f t="shared" si="10"/>
        <v>Primer dia</v>
      </c>
      <c r="C653" s="202">
        <f t="shared" si="1"/>
        <v>13</v>
      </c>
      <c r="D653" s="202" t="str">
        <f t="shared" si="2"/>
        <v> </v>
      </c>
      <c r="E653" s="202" t="str">
        <f t="shared" si="9"/>
        <v> </v>
      </c>
      <c r="F653" s="55" t="str">
        <f t="shared" si="4"/>
        <v/>
      </c>
      <c r="G653" s="202" t="str">
        <f t="shared" si="5"/>
        <v/>
      </c>
      <c r="H653" s="202" t="str">
        <f t="shared" si="11"/>
        <v> </v>
      </c>
      <c r="I653" s="205" t="str">
        <f t="shared" si="7"/>
        <v/>
      </c>
      <c r="J653" s="205"/>
      <c r="K653" s="205"/>
    </row>
    <row r="654" ht="14.25" customHeight="1">
      <c r="A654" s="55">
        <v>46309.0</v>
      </c>
      <c r="B654" s="55" t="str">
        <f t="shared" si="10"/>
        <v>Primer dia</v>
      </c>
      <c r="C654" s="202">
        <f t="shared" si="1"/>
        <v>14</v>
      </c>
      <c r="D654" s="202" t="str">
        <f t="shared" si="2"/>
        <v> </v>
      </c>
      <c r="E654" s="202" t="str">
        <f t="shared" si="9"/>
        <v> </v>
      </c>
      <c r="F654" s="55" t="str">
        <f t="shared" si="4"/>
        <v/>
      </c>
      <c r="G654" s="202" t="str">
        <f t="shared" si="5"/>
        <v/>
      </c>
      <c r="H654" s="202" t="str">
        <f t="shared" si="11"/>
        <v> </v>
      </c>
      <c r="I654" s="205" t="str">
        <f t="shared" si="7"/>
        <v/>
      </c>
      <c r="J654" s="205"/>
      <c r="K654" s="205"/>
    </row>
    <row r="655" ht="14.25" customHeight="1">
      <c r="A655" s="55">
        <v>46310.0</v>
      </c>
      <c r="B655" s="55" t="str">
        <f t="shared" si="10"/>
        <v>Primer dia</v>
      </c>
      <c r="C655" s="202">
        <f t="shared" si="1"/>
        <v>15</v>
      </c>
      <c r="D655" s="202" t="str">
        <f t="shared" si="2"/>
        <v> </v>
      </c>
      <c r="E655" s="202" t="str">
        <f t="shared" si="9"/>
        <v> </v>
      </c>
      <c r="F655" s="55" t="str">
        <f t="shared" si="4"/>
        <v/>
      </c>
      <c r="G655" s="202" t="str">
        <f t="shared" si="5"/>
        <v/>
      </c>
      <c r="H655" s="202" t="str">
        <f t="shared" si="11"/>
        <v> </v>
      </c>
      <c r="I655" s="205" t="str">
        <f t="shared" si="7"/>
        <v/>
      </c>
      <c r="J655" s="205"/>
      <c r="K655" s="205"/>
    </row>
    <row r="656" ht="14.25" customHeight="1">
      <c r="A656" s="55">
        <v>46311.0</v>
      </c>
      <c r="B656" s="55" t="str">
        <f t="shared" si="10"/>
        <v>Primer dia</v>
      </c>
      <c r="C656" s="202">
        <f t="shared" si="1"/>
        <v>16</v>
      </c>
      <c r="D656" s="202" t="str">
        <f t="shared" si="2"/>
        <v> </v>
      </c>
      <c r="E656" s="202" t="str">
        <f t="shared" si="9"/>
        <v> </v>
      </c>
      <c r="F656" s="55" t="str">
        <f t="shared" si="4"/>
        <v/>
      </c>
      <c r="G656" s="202" t="str">
        <f t="shared" si="5"/>
        <v/>
      </c>
      <c r="H656" s="202" t="str">
        <f t="shared" si="11"/>
        <v> </v>
      </c>
      <c r="I656" s="205" t="str">
        <f t="shared" si="7"/>
        <v/>
      </c>
      <c r="J656" s="205"/>
      <c r="K656" s="205"/>
    </row>
    <row r="657" ht="14.25" customHeight="1">
      <c r="A657" s="55">
        <v>46312.0</v>
      </c>
      <c r="B657" s="55" t="str">
        <f t="shared" si="10"/>
        <v>Primer dia</v>
      </c>
      <c r="C657" s="202">
        <f t="shared" si="1"/>
        <v>17</v>
      </c>
      <c r="D657" s="202" t="str">
        <f t="shared" si="2"/>
        <v> </v>
      </c>
      <c r="E657" s="202">
        <f t="shared" si="9"/>
        <v>17</v>
      </c>
      <c r="F657" s="55">
        <f t="shared" si="4"/>
        <v>46312</v>
      </c>
      <c r="G657" s="202">
        <f t="shared" si="5"/>
        <v>18</v>
      </c>
      <c r="H657" s="202" t="str">
        <f t="shared" si="11"/>
        <v> </v>
      </c>
      <c r="I657" s="205" t="str">
        <f t="shared" si="7"/>
        <v/>
      </c>
      <c r="J657" s="205"/>
      <c r="K657" s="205"/>
    </row>
    <row r="658" ht="14.25" customHeight="1">
      <c r="A658" s="55">
        <v>46313.0</v>
      </c>
      <c r="B658" s="55" t="str">
        <f t="shared" si="10"/>
        <v>Primer dia</v>
      </c>
      <c r="C658" s="202">
        <f t="shared" si="1"/>
        <v>18</v>
      </c>
      <c r="D658" s="202" t="str">
        <f t="shared" si="2"/>
        <v> </v>
      </c>
      <c r="E658" s="202" t="str">
        <f t="shared" si="9"/>
        <v> </v>
      </c>
      <c r="F658" s="55" t="str">
        <f t="shared" si="4"/>
        <v/>
      </c>
      <c r="G658" s="202" t="str">
        <f t="shared" si="5"/>
        <v/>
      </c>
      <c r="H658" s="202" t="str">
        <f t="shared" si="11"/>
        <v> </v>
      </c>
      <c r="I658" s="205" t="str">
        <f t="shared" si="7"/>
        <v/>
      </c>
      <c r="J658" s="205"/>
      <c r="K658" s="205"/>
    </row>
    <row r="659" ht="14.25" customHeight="1">
      <c r="A659" s="55">
        <v>46314.0</v>
      </c>
      <c r="B659" s="55" t="str">
        <f t="shared" si="10"/>
        <v>Primer dia</v>
      </c>
      <c r="C659" s="202">
        <f t="shared" si="1"/>
        <v>19</v>
      </c>
      <c r="D659" s="202" t="str">
        <f t="shared" si="2"/>
        <v> </v>
      </c>
      <c r="E659" s="202" t="str">
        <f t="shared" si="9"/>
        <v> </v>
      </c>
      <c r="F659" s="55" t="str">
        <f t="shared" si="4"/>
        <v/>
      </c>
      <c r="G659" s="202" t="str">
        <f t="shared" si="5"/>
        <v/>
      </c>
      <c r="H659" s="202" t="str">
        <f t="shared" si="11"/>
        <v> </v>
      </c>
      <c r="I659" s="205" t="str">
        <f t="shared" si="7"/>
        <v/>
      </c>
      <c r="J659" s="205"/>
      <c r="K659" s="205"/>
    </row>
    <row r="660" ht="14.25" customHeight="1">
      <c r="A660" s="55">
        <v>46315.0</v>
      </c>
      <c r="B660" s="55" t="str">
        <f t="shared" si="10"/>
        <v>Primer dia</v>
      </c>
      <c r="C660" s="202">
        <f t="shared" si="1"/>
        <v>20</v>
      </c>
      <c r="D660" s="202" t="str">
        <f t="shared" si="2"/>
        <v> </v>
      </c>
      <c r="E660" s="202" t="str">
        <f t="shared" si="9"/>
        <v> </v>
      </c>
      <c r="F660" s="55" t="str">
        <f t="shared" si="4"/>
        <v/>
      </c>
      <c r="G660" s="202" t="str">
        <f t="shared" si="5"/>
        <v/>
      </c>
      <c r="H660" s="202" t="str">
        <f t="shared" si="11"/>
        <v> </v>
      </c>
      <c r="I660" s="205" t="str">
        <f t="shared" si="7"/>
        <v/>
      </c>
      <c r="J660" s="205"/>
      <c r="K660" s="205"/>
    </row>
    <row r="661" ht="14.25" customHeight="1">
      <c r="A661" s="55">
        <v>46316.0</v>
      </c>
      <c r="B661" s="55" t="str">
        <f t="shared" si="10"/>
        <v>Primer dia</v>
      </c>
      <c r="C661" s="202">
        <f t="shared" si="1"/>
        <v>21</v>
      </c>
      <c r="D661" s="202" t="str">
        <f t="shared" si="2"/>
        <v> </v>
      </c>
      <c r="E661" s="202" t="str">
        <f t="shared" si="9"/>
        <v> </v>
      </c>
      <c r="F661" s="55" t="str">
        <f t="shared" si="4"/>
        <v/>
      </c>
      <c r="G661" s="202" t="str">
        <f t="shared" si="5"/>
        <v/>
      </c>
      <c r="H661" s="202" t="str">
        <f t="shared" si="11"/>
        <v> </v>
      </c>
      <c r="I661" s="205" t="str">
        <f t="shared" si="7"/>
        <v/>
      </c>
      <c r="J661" s="205"/>
      <c r="K661" s="205"/>
    </row>
    <row r="662" ht="14.25" customHeight="1">
      <c r="A662" s="55">
        <v>46317.0</v>
      </c>
      <c r="B662" s="55" t="str">
        <f t="shared" si="10"/>
        <v>Primer dia</v>
      </c>
      <c r="C662" s="202">
        <f t="shared" si="1"/>
        <v>22</v>
      </c>
      <c r="D662" s="202" t="str">
        <f t="shared" si="2"/>
        <v> </v>
      </c>
      <c r="E662" s="202" t="str">
        <f t="shared" si="9"/>
        <v> </v>
      </c>
      <c r="F662" s="55" t="str">
        <f t="shared" si="4"/>
        <v/>
      </c>
      <c r="G662" s="202" t="str">
        <f t="shared" si="5"/>
        <v/>
      </c>
      <c r="H662" s="202" t="str">
        <f t="shared" si="11"/>
        <v> </v>
      </c>
      <c r="I662" s="205" t="str">
        <f t="shared" si="7"/>
        <v/>
      </c>
      <c r="J662" s="205"/>
      <c r="K662" s="205"/>
    </row>
    <row r="663" ht="14.25" customHeight="1">
      <c r="A663" s="55">
        <v>46318.0</v>
      </c>
      <c r="B663" s="55" t="str">
        <f t="shared" si="10"/>
        <v>Primer dia</v>
      </c>
      <c r="C663" s="202">
        <f t="shared" si="1"/>
        <v>23</v>
      </c>
      <c r="D663" s="202" t="str">
        <f t="shared" si="2"/>
        <v> </v>
      </c>
      <c r="E663" s="202" t="str">
        <f t="shared" si="9"/>
        <v> </v>
      </c>
      <c r="F663" s="55" t="str">
        <f t="shared" si="4"/>
        <v/>
      </c>
      <c r="G663" s="202" t="str">
        <f t="shared" si="5"/>
        <v/>
      </c>
      <c r="H663" s="202" t="str">
        <f t="shared" si="11"/>
        <v> </v>
      </c>
      <c r="I663" s="205" t="str">
        <f t="shared" si="7"/>
        <v/>
      </c>
      <c r="J663" s="205"/>
      <c r="K663" s="205"/>
    </row>
    <row r="664" ht="14.25" customHeight="1">
      <c r="A664" s="55">
        <v>46319.0</v>
      </c>
      <c r="B664" s="55" t="str">
        <f t="shared" si="10"/>
        <v>Primer dia</v>
      </c>
      <c r="C664" s="202">
        <f t="shared" si="1"/>
        <v>24</v>
      </c>
      <c r="D664" s="202" t="str">
        <f t="shared" si="2"/>
        <v> </v>
      </c>
      <c r="E664" s="202" t="str">
        <f t="shared" si="9"/>
        <v> </v>
      </c>
      <c r="F664" s="55" t="str">
        <f t="shared" si="4"/>
        <v/>
      </c>
      <c r="G664" s="202" t="str">
        <f t="shared" si="5"/>
        <v/>
      </c>
      <c r="H664" s="202" t="str">
        <f t="shared" si="11"/>
        <v> </v>
      </c>
      <c r="I664" s="205" t="str">
        <f t="shared" si="7"/>
        <v/>
      </c>
      <c r="J664" s="205"/>
      <c r="K664" s="205"/>
    </row>
    <row r="665" ht="14.25" customHeight="1">
      <c r="A665" s="55">
        <v>46320.0</v>
      </c>
      <c r="B665" s="55" t="str">
        <f t="shared" si="10"/>
        <v>Primer dia</v>
      </c>
      <c r="C665" s="202">
        <f t="shared" si="1"/>
        <v>25</v>
      </c>
      <c r="D665" s="202" t="str">
        <f t="shared" si="2"/>
        <v> </v>
      </c>
      <c r="E665" s="202" t="str">
        <f t="shared" si="9"/>
        <v> </v>
      </c>
      <c r="F665" s="55" t="str">
        <f t="shared" si="4"/>
        <v/>
      </c>
      <c r="G665" s="202" t="str">
        <f t="shared" si="5"/>
        <v/>
      </c>
      <c r="H665" s="202" t="str">
        <f t="shared" si="11"/>
        <v> </v>
      </c>
      <c r="I665" s="205" t="str">
        <f t="shared" si="7"/>
        <v/>
      </c>
      <c r="J665" s="205"/>
      <c r="K665" s="205"/>
    </row>
    <row r="666" ht="14.25" customHeight="1">
      <c r="A666" s="55">
        <v>46321.0</v>
      </c>
      <c r="B666" s="55" t="str">
        <f t="shared" si="10"/>
        <v>Primer dia</v>
      </c>
      <c r="C666" s="202">
        <f t="shared" si="1"/>
        <v>26</v>
      </c>
      <c r="D666" s="202" t="str">
        <f t="shared" si="2"/>
        <v> </v>
      </c>
      <c r="E666" s="202" t="str">
        <f t="shared" si="9"/>
        <v> </v>
      </c>
      <c r="F666" s="55" t="str">
        <f t="shared" si="4"/>
        <v/>
      </c>
      <c r="G666" s="202" t="str">
        <f t="shared" si="5"/>
        <v/>
      </c>
      <c r="H666" s="202" t="str">
        <f t="shared" si="11"/>
        <v> </v>
      </c>
      <c r="I666" s="205" t="str">
        <f t="shared" si="7"/>
        <v/>
      </c>
      <c r="J666" s="205"/>
      <c r="K666" s="205"/>
    </row>
    <row r="667" ht="14.25" customHeight="1">
      <c r="A667" s="55">
        <v>46322.0</v>
      </c>
      <c r="B667" s="55" t="str">
        <f t="shared" si="10"/>
        <v>Primer dia</v>
      </c>
      <c r="C667" s="202">
        <f t="shared" si="1"/>
        <v>27</v>
      </c>
      <c r="D667" s="202" t="str">
        <f t="shared" si="2"/>
        <v> </v>
      </c>
      <c r="E667" s="202" t="str">
        <f t="shared" si="9"/>
        <v> </v>
      </c>
      <c r="F667" s="55" t="str">
        <f t="shared" si="4"/>
        <v/>
      </c>
      <c r="G667" s="202" t="str">
        <f t="shared" si="5"/>
        <v/>
      </c>
      <c r="H667" s="202" t="str">
        <f t="shared" si="11"/>
        <v> </v>
      </c>
      <c r="I667" s="205" t="str">
        <f t="shared" si="7"/>
        <v/>
      </c>
      <c r="J667" s="205"/>
      <c r="K667" s="205"/>
    </row>
    <row r="668" ht="14.25" customHeight="1">
      <c r="A668" s="55">
        <v>46323.0</v>
      </c>
      <c r="B668" s="55" t="str">
        <f t="shared" si="10"/>
        <v>Primer dia</v>
      </c>
      <c r="C668" s="202">
        <f t="shared" si="1"/>
        <v>28</v>
      </c>
      <c r="D668" s="202" t="str">
        <f t="shared" si="2"/>
        <v> </v>
      </c>
      <c r="E668" s="202" t="str">
        <f t="shared" si="9"/>
        <v> </v>
      </c>
      <c r="F668" s="55" t="str">
        <f t="shared" si="4"/>
        <v/>
      </c>
      <c r="G668" s="202" t="str">
        <f t="shared" si="5"/>
        <v/>
      </c>
      <c r="H668" s="202" t="str">
        <f t="shared" si="11"/>
        <v> </v>
      </c>
      <c r="I668" s="205" t="str">
        <f t="shared" si="7"/>
        <v/>
      </c>
      <c r="J668" s="205"/>
      <c r="K668" s="205"/>
    </row>
    <row r="669" ht="14.25" customHeight="1">
      <c r="A669" s="55">
        <v>46324.0</v>
      </c>
      <c r="B669" s="55" t="str">
        <f t="shared" si="10"/>
        <v>Primer dia</v>
      </c>
      <c r="C669" s="202">
        <f t="shared" si="1"/>
        <v>29</v>
      </c>
      <c r="D669" s="202" t="str">
        <f t="shared" si="2"/>
        <v> </v>
      </c>
      <c r="E669" s="202" t="str">
        <f t="shared" si="9"/>
        <v> </v>
      </c>
      <c r="F669" s="55" t="str">
        <f t="shared" si="4"/>
        <v/>
      </c>
      <c r="G669" s="202" t="str">
        <f t="shared" si="5"/>
        <v/>
      </c>
      <c r="H669" s="202" t="str">
        <f t="shared" si="11"/>
        <v> </v>
      </c>
      <c r="I669" s="205" t="str">
        <f t="shared" si="7"/>
        <v/>
      </c>
      <c r="J669" s="205"/>
      <c r="K669" s="205"/>
    </row>
    <row r="670" ht="14.25" customHeight="1">
      <c r="A670" s="55">
        <v>46325.0</v>
      </c>
      <c r="B670" s="55" t="str">
        <f t="shared" si="10"/>
        <v>Primer dia</v>
      </c>
      <c r="C670" s="202">
        <f t="shared" si="1"/>
        <v>30</v>
      </c>
      <c r="D670" s="202" t="str">
        <f t="shared" si="2"/>
        <v> </v>
      </c>
      <c r="E670" s="202" t="str">
        <f t="shared" si="9"/>
        <v> </v>
      </c>
      <c r="F670" s="55" t="str">
        <f t="shared" si="4"/>
        <v/>
      </c>
      <c r="G670" s="202" t="str">
        <f t="shared" si="5"/>
        <v/>
      </c>
      <c r="H670" s="202" t="str">
        <f t="shared" si="11"/>
        <v> </v>
      </c>
      <c r="I670" s="205" t="str">
        <f t="shared" si="7"/>
        <v/>
      </c>
      <c r="J670" s="205"/>
      <c r="K670" s="205"/>
    </row>
    <row r="671" ht="14.25" customHeight="1">
      <c r="A671" s="55">
        <v>46326.0</v>
      </c>
      <c r="B671" s="55" t="str">
        <f t="shared" si="10"/>
        <v>Primer dia</v>
      </c>
      <c r="C671" s="202">
        <f t="shared" si="1"/>
        <v>31</v>
      </c>
      <c r="D671" s="202" t="str">
        <f t="shared" si="2"/>
        <v> </v>
      </c>
      <c r="E671" s="202" t="str">
        <f t="shared" si="9"/>
        <v> </v>
      </c>
      <c r="F671" s="55" t="str">
        <f t="shared" si="4"/>
        <v/>
      </c>
      <c r="G671" s="202" t="str">
        <f t="shared" si="5"/>
        <v/>
      </c>
      <c r="H671" s="202" t="str">
        <f t="shared" si="11"/>
        <v> </v>
      </c>
      <c r="I671" s="205" t="str">
        <f t="shared" si="7"/>
        <v/>
      </c>
      <c r="J671" s="205"/>
      <c r="K671" s="205"/>
    </row>
    <row r="672" ht="14.25" customHeight="1">
      <c r="A672" s="55">
        <v>46327.0</v>
      </c>
      <c r="B672" s="55" t="str">
        <f t="shared" si="10"/>
        <v>Primer dia</v>
      </c>
      <c r="C672" s="202">
        <f t="shared" si="1"/>
        <v>1</v>
      </c>
      <c r="D672" s="202" t="str">
        <f t="shared" si="2"/>
        <v> </v>
      </c>
      <c r="E672" s="202" t="str">
        <f t="shared" si="9"/>
        <v> </v>
      </c>
      <c r="F672" s="55" t="str">
        <f t="shared" si="4"/>
        <v/>
      </c>
      <c r="G672" s="202" t="str">
        <f t="shared" si="5"/>
        <v/>
      </c>
      <c r="H672" s="202" t="str">
        <f t="shared" si="11"/>
        <v> </v>
      </c>
      <c r="I672" s="205" t="str">
        <f t="shared" si="7"/>
        <v/>
      </c>
      <c r="J672" s="205"/>
      <c r="K672" s="205"/>
    </row>
    <row r="673" ht="14.25" customHeight="1">
      <c r="A673" s="55">
        <v>46328.0</v>
      </c>
      <c r="B673" s="55" t="str">
        <f t="shared" si="10"/>
        <v>Primer dia</v>
      </c>
      <c r="C673" s="202">
        <f t="shared" si="1"/>
        <v>2</v>
      </c>
      <c r="D673" s="202" t="str">
        <f t="shared" si="2"/>
        <v> </v>
      </c>
      <c r="E673" s="202">
        <f t="shared" si="9"/>
        <v>2</v>
      </c>
      <c r="F673" s="55">
        <f t="shared" si="4"/>
        <v>46328</v>
      </c>
      <c r="G673" s="202">
        <f t="shared" si="5"/>
        <v>19</v>
      </c>
      <c r="H673" s="202" t="str">
        <f t="shared" si="11"/>
        <v> </v>
      </c>
      <c r="I673" s="205" t="str">
        <f t="shared" si="7"/>
        <v/>
      </c>
      <c r="J673" s="205"/>
      <c r="K673" s="205"/>
    </row>
    <row r="674" ht="14.25" customHeight="1">
      <c r="A674" s="55">
        <v>46329.0</v>
      </c>
      <c r="B674" s="55" t="str">
        <f t="shared" si="10"/>
        <v>Primer dia</v>
      </c>
      <c r="C674" s="202">
        <f t="shared" si="1"/>
        <v>3</v>
      </c>
      <c r="D674" s="202" t="str">
        <f t="shared" si="2"/>
        <v> </v>
      </c>
      <c r="E674" s="202" t="str">
        <f t="shared" si="9"/>
        <v> </v>
      </c>
      <c r="F674" s="55" t="str">
        <f t="shared" si="4"/>
        <v/>
      </c>
      <c r="G674" s="202" t="str">
        <f t="shared" si="5"/>
        <v/>
      </c>
      <c r="H674" s="202" t="str">
        <f t="shared" si="11"/>
        <v> </v>
      </c>
      <c r="I674" s="205" t="str">
        <f t="shared" si="7"/>
        <v/>
      </c>
      <c r="J674" s="205"/>
      <c r="K674" s="205"/>
    </row>
    <row r="675" ht="14.25" customHeight="1">
      <c r="A675" s="55">
        <v>46330.0</v>
      </c>
      <c r="B675" s="55" t="str">
        <f t="shared" si="10"/>
        <v>Primer dia</v>
      </c>
      <c r="C675" s="202">
        <f t="shared" si="1"/>
        <v>4</v>
      </c>
      <c r="D675" s="202" t="str">
        <f t="shared" si="2"/>
        <v> </v>
      </c>
      <c r="E675" s="202" t="str">
        <f t="shared" si="9"/>
        <v> </v>
      </c>
      <c r="F675" s="55" t="str">
        <f t="shared" si="4"/>
        <v/>
      </c>
      <c r="G675" s="202" t="str">
        <f t="shared" si="5"/>
        <v/>
      </c>
      <c r="H675" s="202" t="str">
        <f t="shared" si="11"/>
        <v> </v>
      </c>
      <c r="I675" s="205" t="str">
        <f t="shared" si="7"/>
        <v/>
      </c>
      <c r="J675" s="205"/>
      <c r="K675" s="205"/>
    </row>
    <row r="676" ht="14.25" customHeight="1">
      <c r="A676" s="55">
        <v>46331.0</v>
      </c>
      <c r="B676" s="55" t="str">
        <f t="shared" si="10"/>
        <v>Primer dia</v>
      </c>
      <c r="C676" s="202">
        <f t="shared" si="1"/>
        <v>5</v>
      </c>
      <c r="D676" s="202" t="str">
        <f t="shared" si="2"/>
        <v> </v>
      </c>
      <c r="E676" s="202" t="str">
        <f t="shared" si="9"/>
        <v> </v>
      </c>
      <c r="F676" s="55" t="str">
        <f t="shared" si="4"/>
        <v/>
      </c>
      <c r="G676" s="202" t="str">
        <f t="shared" si="5"/>
        <v/>
      </c>
      <c r="H676" s="202" t="str">
        <f t="shared" si="11"/>
        <v> </v>
      </c>
      <c r="I676" s="205" t="str">
        <f t="shared" si="7"/>
        <v/>
      </c>
      <c r="J676" s="205"/>
      <c r="K676" s="205"/>
    </row>
    <row r="677" ht="14.25" customHeight="1">
      <c r="A677" s="55">
        <v>46332.0</v>
      </c>
      <c r="B677" s="55" t="str">
        <f t="shared" si="10"/>
        <v>Primer dia</v>
      </c>
      <c r="C677" s="202">
        <f t="shared" si="1"/>
        <v>6</v>
      </c>
      <c r="D677" s="202" t="str">
        <f t="shared" si="2"/>
        <v> </v>
      </c>
      <c r="E677" s="202" t="str">
        <f t="shared" si="9"/>
        <v> </v>
      </c>
      <c r="F677" s="55" t="str">
        <f t="shared" si="4"/>
        <v/>
      </c>
      <c r="G677" s="202" t="str">
        <f t="shared" si="5"/>
        <v/>
      </c>
      <c r="H677" s="202" t="str">
        <f t="shared" si="11"/>
        <v> </v>
      </c>
      <c r="I677" s="205" t="str">
        <f t="shared" si="7"/>
        <v/>
      </c>
      <c r="J677" s="205"/>
      <c r="K677" s="205"/>
    </row>
    <row r="678" ht="14.25" customHeight="1">
      <c r="A678" s="55">
        <v>46333.0</v>
      </c>
      <c r="B678" s="55" t="str">
        <f t="shared" si="10"/>
        <v>Primer dia</v>
      </c>
      <c r="C678" s="202">
        <f t="shared" si="1"/>
        <v>7</v>
      </c>
      <c r="D678" s="202" t="str">
        <f t="shared" si="2"/>
        <v> </v>
      </c>
      <c r="E678" s="202" t="str">
        <f t="shared" si="9"/>
        <v> </v>
      </c>
      <c r="F678" s="55" t="str">
        <f t="shared" si="4"/>
        <v/>
      </c>
      <c r="G678" s="202" t="str">
        <f t="shared" si="5"/>
        <v/>
      </c>
      <c r="H678" s="202" t="str">
        <f t="shared" si="11"/>
        <v> </v>
      </c>
      <c r="I678" s="205" t="str">
        <f t="shared" si="7"/>
        <v/>
      </c>
      <c r="J678" s="205"/>
      <c r="K678" s="205"/>
    </row>
    <row r="679" ht="14.25" customHeight="1">
      <c r="A679" s="55">
        <v>46334.0</v>
      </c>
      <c r="B679" s="55" t="str">
        <f t="shared" si="10"/>
        <v>Primer dia</v>
      </c>
      <c r="C679" s="202">
        <f t="shared" si="1"/>
        <v>8</v>
      </c>
      <c r="D679" s="202" t="str">
        <f t="shared" si="2"/>
        <v> </v>
      </c>
      <c r="E679" s="202" t="str">
        <f t="shared" si="9"/>
        <v> </v>
      </c>
      <c r="F679" s="55" t="str">
        <f t="shared" si="4"/>
        <v/>
      </c>
      <c r="G679" s="202" t="str">
        <f t="shared" si="5"/>
        <v/>
      </c>
      <c r="H679" s="202" t="str">
        <f t="shared" si="11"/>
        <v> </v>
      </c>
      <c r="I679" s="205" t="str">
        <f t="shared" si="7"/>
        <v/>
      </c>
      <c r="J679" s="205"/>
      <c r="K679" s="205"/>
    </row>
    <row r="680" ht="14.25" customHeight="1">
      <c r="A680" s="55">
        <v>46335.0</v>
      </c>
      <c r="B680" s="55" t="str">
        <f t="shared" si="10"/>
        <v>Primer dia</v>
      </c>
      <c r="C680" s="202">
        <f t="shared" si="1"/>
        <v>9</v>
      </c>
      <c r="D680" s="202" t="str">
        <f t="shared" si="2"/>
        <v> </v>
      </c>
      <c r="E680" s="202" t="str">
        <f t="shared" si="9"/>
        <v> </v>
      </c>
      <c r="F680" s="55" t="str">
        <f t="shared" si="4"/>
        <v/>
      </c>
      <c r="G680" s="202" t="str">
        <f t="shared" si="5"/>
        <v/>
      </c>
      <c r="H680" s="202" t="str">
        <f t="shared" si="11"/>
        <v> </v>
      </c>
      <c r="I680" s="205" t="str">
        <f t="shared" si="7"/>
        <v/>
      </c>
      <c r="J680" s="205"/>
      <c r="K680" s="205"/>
    </row>
    <row r="681" ht="14.25" customHeight="1">
      <c r="A681" s="55">
        <v>46336.0</v>
      </c>
      <c r="B681" s="55" t="str">
        <f t="shared" si="10"/>
        <v>Primer dia</v>
      </c>
      <c r="C681" s="202">
        <f t="shared" si="1"/>
        <v>10</v>
      </c>
      <c r="D681" s="202" t="str">
        <f t="shared" si="2"/>
        <v> </v>
      </c>
      <c r="E681" s="202" t="str">
        <f t="shared" si="9"/>
        <v> </v>
      </c>
      <c r="F681" s="55" t="str">
        <f t="shared" si="4"/>
        <v/>
      </c>
      <c r="G681" s="202" t="str">
        <f t="shared" si="5"/>
        <v/>
      </c>
      <c r="H681" s="202" t="str">
        <f t="shared" si="11"/>
        <v> </v>
      </c>
      <c r="I681" s="205" t="str">
        <f t="shared" si="7"/>
        <v/>
      </c>
      <c r="J681" s="205"/>
      <c r="K681" s="205"/>
    </row>
    <row r="682" ht="14.25" customHeight="1">
      <c r="A682" s="55">
        <v>46337.0</v>
      </c>
      <c r="B682" s="55" t="str">
        <f t="shared" si="10"/>
        <v>Primer dia</v>
      </c>
      <c r="C682" s="202">
        <f t="shared" si="1"/>
        <v>11</v>
      </c>
      <c r="D682" s="202" t="str">
        <f t="shared" si="2"/>
        <v> </v>
      </c>
      <c r="E682" s="202" t="str">
        <f t="shared" si="9"/>
        <v> </v>
      </c>
      <c r="F682" s="55" t="str">
        <f t="shared" si="4"/>
        <v/>
      </c>
      <c r="G682" s="202" t="str">
        <f t="shared" si="5"/>
        <v/>
      </c>
      <c r="H682" s="202" t="str">
        <f t="shared" si="11"/>
        <v> </v>
      </c>
      <c r="I682" s="205" t="str">
        <f t="shared" si="7"/>
        <v/>
      </c>
      <c r="J682" s="205"/>
      <c r="K682" s="205"/>
    </row>
    <row r="683" ht="14.25" customHeight="1">
      <c r="A683" s="55">
        <v>46338.0</v>
      </c>
      <c r="B683" s="55" t="str">
        <f t="shared" si="10"/>
        <v>Primer dia</v>
      </c>
      <c r="C683" s="202">
        <f t="shared" si="1"/>
        <v>12</v>
      </c>
      <c r="D683" s="202" t="str">
        <f t="shared" si="2"/>
        <v> </v>
      </c>
      <c r="E683" s="202" t="str">
        <f t="shared" si="9"/>
        <v> </v>
      </c>
      <c r="F683" s="55" t="str">
        <f t="shared" si="4"/>
        <v/>
      </c>
      <c r="G683" s="202" t="str">
        <f t="shared" si="5"/>
        <v/>
      </c>
      <c r="H683" s="202" t="str">
        <f t="shared" si="11"/>
        <v> </v>
      </c>
      <c r="I683" s="205" t="str">
        <f t="shared" si="7"/>
        <v/>
      </c>
      <c r="J683" s="205"/>
      <c r="K683" s="205"/>
    </row>
    <row r="684" ht="14.25" customHeight="1">
      <c r="A684" s="55">
        <v>46339.0</v>
      </c>
      <c r="B684" s="55" t="str">
        <f t="shared" si="10"/>
        <v>Primer dia</v>
      </c>
      <c r="C684" s="202">
        <f t="shared" si="1"/>
        <v>13</v>
      </c>
      <c r="D684" s="202" t="str">
        <f t="shared" si="2"/>
        <v> </v>
      </c>
      <c r="E684" s="202" t="str">
        <f t="shared" si="9"/>
        <v> </v>
      </c>
      <c r="F684" s="55" t="str">
        <f t="shared" si="4"/>
        <v/>
      </c>
      <c r="G684" s="202" t="str">
        <f t="shared" si="5"/>
        <v/>
      </c>
      <c r="H684" s="202" t="str">
        <f t="shared" si="11"/>
        <v> </v>
      </c>
      <c r="I684" s="205" t="str">
        <f t="shared" si="7"/>
        <v/>
      </c>
      <c r="J684" s="205"/>
      <c r="K684" s="205"/>
    </row>
    <row r="685" ht="14.25" customHeight="1">
      <c r="A685" s="55">
        <v>46340.0</v>
      </c>
      <c r="B685" s="55" t="str">
        <f t="shared" si="10"/>
        <v>Primer dia</v>
      </c>
      <c r="C685" s="202">
        <f t="shared" si="1"/>
        <v>14</v>
      </c>
      <c r="D685" s="202" t="str">
        <f t="shared" si="2"/>
        <v> </v>
      </c>
      <c r="E685" s="202" t="str">
        <f t="shared" si="9"/>
        <v> </v>
      </c>
      <c r="F685" s="55" t="str">
        <f t="shared" si="4"/>
        <v/>
      </c>
      <c r="G685" s="202" t="str">
        <f t="shared" si="5"/>
        <v/>
      </c>
      <c r="H685" s="202" t="str">
        <f t="shared" si="11"/>
        <v> </v>
      </c>
      <c r="I685" s="205" t="str">
        <f t="shared" si="7"/>
        <v/>
      </c>
      <c r="J685" s="205"/>
      <c r="K685" s="205"/>
    </row>
    <row r="686" ht="14.25" customHeight="1">
      <c r="A686" s="55">
        <v>46341.0</v>
      </c>
      <c r="B686" s="55" t="str">
        <f t="shared" si="10"/>
        <v>Primer dia</v>
      </c>
      <c r="C686" s="202">
        <f t="shared" si="1"/>
        <v>15</v>
      </c>
      <c r="D686" s="202" t="str">
        <f t="shared" si="2"/>
        <v> </v>
      </c>
      <c r="E686" s="202" t="str">
        <f t="shared" si="9"/>
        <v> </v>
      </c>
      <c r="F686" s="55" t="str">
        <f t="shared" si="4"/>
        <v/>
      </c>
      <c r="G686" s="202" t="str">
        <f t="shared" si="5"/>
        <v/>
      </c>
      <c r="H686" s="202" t="str">
        <f t="shared" si="11"/>
        <v> </v>
      </c>
      <c r="I686" s="205" t="str">
        <f t="shared" si="7"/>
        <v/>
      </c>
      <c r="J686" s="205"/>
      <c r="K686" s="205"/>
    </row>
    <row r="687" ht="14.25" customHeight="1">
      <c r="A687" s="55">
        <v>46342.0</v>
      </c>
      <c r="B687" s="55" t="str">
        <f t="shared" si="10"/>
        <v>Primer dia</v>
      </c>
      <c r="C687" s="202">
        <f t="shared" si="1"/>
        <v>16</v>
      </c>
      <c r="D687" s="202" t="str">
        <f t="shared" si="2"/>
        <v> </v>
      </c>
      <c r="E687" s="202" t="str">
        <f t="shared" si="9"/>
        <v> </v>
      </c>
      <c r="F687" s="55" t="str">
        <f t="shared" si="4"/>
        <v/>
      </c>
      <c r="G687" s="202" t="str">
        <f t="shared" si="5"/>
        <v/>
      </c>
      <c r="H687" s="202" t="str">
        <f t="shared" si="11"/>
        <v> </v>
      </c>
      <c r="I687" s="205" t="str">
        <f t="shared" si="7"/>
        <v/>
      </c>
      <c r="J687" s="205"/>
      <c r="K687" s="205"/>
    </row>
    <row r="688" ht="14.25" customHeight="1">
      <c r="A688" s="55">
        <v>46343.0</v>
      </c>
      <c r="B688" s="55" t="str">
        <f t="shared" si="10"/>
        <v>Primer dia</v>
      </c>
      <c r="C688" s="202">
        <f t="shared" si="1"/>
        <v>17</v>
      </c>
      <c r="D688" s="202" t="str">
        <f t="shared" si="2"/>
        <v> </v>
      </c>
      <c r="E688" s="202">
        <f t="shared" si="9"/>
        <v>17</v>
      </c>
      <c r="F688" s="55">
        <f t="shared" si="4"/>
        <v>46343</v>
      </c>
      <c r="G688" s="202">
        <f t="shared" si="5"/>
        <v>20</v>
      </c>
      <c r="H688" s="202" t="str">
        <f t="shared" si="11"/>
        <v> </v>
      </c>
      <c r="I688" s="205" t="str">
        <f t="shared" si="7"/>
        <v/>
      </c>
      <c r="J688" s="205"/>
      <c r="K688" s="205"/>
    </row>
    <row r="689" ht="14.25" customHeight="1">
      <c r="A689" s="55">
        <v>46344.0</v>
      </c>
      <c r="B689" s="55" t="str">
        <f t="shared" si="10"/>
        <v>Primer dia</v>
      </c>
      <c r="C689" s="202">
        <f t="shared" si="1"/>
        <v>18</v>
      </c>
      <c r="D689" s="202" t="str">
        <f t="shared" si="2"/>
        <v> </v>
      </c>
      <c r="E689" s="202" t="str">
        <f t="shared" si="9"/>
        <v> </v>
      </c>
      <c r="F689" s="55" t="str">
        <f t="shared" si="4"/>
        <v/>
      </c>
      <c r="G689" s="202" t="str">
        <f t="shared" si="5"/>
        <v/>
      </c>
      <c r="H689" s="202" t="str">
        <f t="shared" si="11"/>
        <v> </v>
      </c>
      <c r="I689" s="205" t="str">
        <f t="shared" si="7"/>
        <v/>
      </c>
      <c r="J689" s="205"/>
      <c r="K689" s="205"/>
    </row>
    <row r="690" ht="14.25" customHeight="1">
      <c r="A690" s="55">
        <v>46345.0</v>
      </c>
      <c r="B690" s="55" t="str">
        <f t="shared" si="10"/>
        <v>Primer dia</v>
      </c>
      <c r="C690" s="202">
        <f t="shared" si="1"/>
        <v>19</v>
      </c>
      <c r="D690" s="202" t="str">
        <f t="shared" si="2"/>
        <v> </v>
      </c>
      <c r="E690" s="202" t="str">
        <f t="shared" si="9"/>
        <v> </v>
      </c>
      <c r="F690" s="55" t="str">
        <f t="shared" si="4"/>
        <v/>
      </c>
      <c r="G690" s="202" t="str">
        <f t="shared" si="5"/>
        <v/>
      </c>
      <c r="H690" s="202" t="str">
        <f t="shared" si="11"/>
        <v> </v>
      </c>
      <c r="I690" s="205" t="str">
        <f t="shared" si="7"/>
        <v/>
      </c>
      <c r="J690" s="205"/>
      <c r="K690" s="205"/>
    </row>
    <row r="691" ht="14.25" customHeight="1">
      <c r="A691" s="55">
        <v>46346.0</v>
      </c>
      <c r="B691" s="55" t="str">
        <f t="shared" si="10"/>
        <v>Primer dia</v>
      </c>
      <c r="C691" s="202">
        <f t="shared" si="1"/>
        <v>20</v>
      </c>
      <c r="D691" s="202" t="str">
        <f t="shared" si="2"/>
        <v> </v>
      </c>
      <c r="E691" s="202" t="str">
        <f t="shared" si="9"/>
        <v> </v>
      </c>
      <c r="F691" s="55" t="str">
        <f t="shared" si="4"/>
        <v/>
      </c>
      <c r="G691" s="202" t="str">
        <f t="shared" si="5"/>
        <v/>
      </c>
      <c r="H691" s="202" t="str">
        <f t="shared" si="11"/>
        <v> </v>
      </c>
      <c r="I691" s="205" t="str">
        <f t="shared" si="7"/>
        <v/>
      </c>
      <c r="J691" s="205"/>
      <c r="K691" s="205"/>
    </row>
    <row r="692" ht="14.25" customHeight="1">
      <c r="A692" s="55">
        <v>46347.0</v>
      </c>
      <c r="B692" s="55" t="str">
        <f t="shared" si="10"/>
        <v>Primer dia</v>
      </c>
      <c r="C692" s="202">
        <f t="shared" si="1"/>
        <v>21</v>
      </c>
      <c r="D692" s="202" t="str">
        <f t="shared" si="2"/>
        <v> </v>
      </c>
      <c r="E692" s="202" t="str">
        <f t="shared" si="9"/>
        <v> </v>
      </c>
      <c r="F692" s="55" t="str">
        <f t="shared" si="4"/>
        <v/>
      </c>
      <c r="G692" s="202" t="str">
        <f t="shared" si="5"/>
        <v/>
      </c>
      <c r="H692" s="202" t="str">
        <f t="shared" si="11"/>
        <v> </v>
      </c>
      <c r="I692" s="205" t="str">
        <f t="shared" si="7"/>
        <v/>
      </c>
      <c r="J692" s="205"/>
      <c r="K692" s="205"/>
    </row>
    <row r="693" ht="14.25" customHeight="1">
      <c r="A693" s="55">
        <v>46348.0</v>
      </c>
      <c r="B693" s="55" t="str">
        <f t="shared" si="10"/>
        <v>Primer dia</v>
      </c>
      <c r="C693" s="202">
        <f t="shared" si="1"/>
        <v>22</v>
      </c>
      <c r="D693" s="202" t="str">
        <f t="shared" si="2"/>
        <v> </v>
      </c>
      <c r="E693" s="202" t="str">
        <f t="shared" si="9"/>
        <v> </v>
      </c>
      <c r="F693" s="55" t="str">
        <f t="shared" si="4"/>
        <v/>
      </c>
      <c r="G693" s="202" t="str">
        <f t="shared" si="5"/>
        <v/>
      </c>
      <c r="H693" s="202" t="str">
        <f t="shared" si="11"/>
        <v> </v>
      </c>
      <c r="I693" s="205" t="str">
        <f t="shared" si="7"/>
        <v/>
      </c>
      <c r="J693" s="205"/>
      <c r="K693" s="205"/>
    </row>
    <row r="694" ht="14.25" customHeight="1">
      <c r="A694" s="55">
        <v>46349.0</v>
      </c>
      <c r="B694" s="55" t="str">
        <f t="shared" si="10"/>
        <v>Primer dia</v>
      </c>
      <c r="C694" s="202">
        <f t="shared" si="1"/>
        <v>23</v>
      </c>
      <c r="D694" s="202" t="str">
        <f t="shared" si="2"/>
        <v> </v>
      </c>
      <c r="E694" s="202" t="str">
        <f t="shared" si="9"/>
        <v> </v>
      </c>
      <c r="F694" s="55" t="str">
        <f t="shared" si="4"/>
        <v/>
      </c>
      <c r="G694" s="202" t="str">
        <f t="shared" si="5"/>
        <v/>
      </c>
      <c r="H694" s="202" t="str">
        <f t="shared" si="11"/>
        <v> </v>
      </c>
      <c r="I694" s="205" t="str">
        <f t="shared" si="7"/>
        <v/>
      </c>
      <c r="J694" s="205"/>
      <c r="K694" s="205"/>
    </row>
    <row r="695" ht="14.25" customHeight="1">
      <c r="A695" s="55">
        <v>46350.0</v>
      </c>
      <c r="B695" s="55" t="str">
        <f t="shared" si="10"/>
        <v>Primer dia</v>
      </c>
      <c r="C695" s="202">
        <f t="shared" si="1"/>
        <v>24</v>
      </c>
      <c r="D695" s="202" t="str">
        <f t="shared" si="2"/>
        <v> </v>
      </c>
      <c r="E695" s="202" t="str">
        <f t="shared" si="9"/>
        <v> </v>
      </c>
      <c r="F695" s="55" t="str">
        <f t="shared" si="4"/>
        <v/>
      </c>
      <c r="G695" s="202" t="str">
        <f t="shared" si="5"/>
        <v/>
      </c>
      <c r="H695" s="202" t="str">
        <f t="shared" si="11"/>
        <v> </v>
      </c>
      <c r="I695" s="205" t="str">
        <f t="shared" si="7"/>
        <v/>
      </c>
      <c r="J695" s="205"/>
      <c r="K695" s="205"/>
    </row>
    <row r="696" ht="14.25" customHeight="1">
      <c r="A696" s="55">
        <v>46351.0</v>
      </c>
      <c r="B696" s="55" t="str">
        <f t="shared" si="10"/>
        <v>Primer dia</v>
      </c>
      <c r="C696" s="202">
        <f t="shared" si="1"/>
        <v>25</v>
      </c>
      <c r="D696" s="202" t="str">
        <f t="shared" si="2"/>
        <v> </v>
      </c>
      <c r="E696" s="202" t="str">
        <f t="shared" si="9"/>
        <v> </v>
      </c>
      <c r="F696" s="55" t="str">
        <f t="shared" si="4"/>
        <v/>
      </c>
      <c r="G696" s="202" t="str">
        <f t="shared" si="5"/>
        <v/>
      </c>
      <c r="H696" s="202" t="str">
        <f t="shared" si="11"/>
        <v> </v>
      </c>
      <c r="I696" s="205" t="str">
        <f t="shared" si="7"/>
        <v/>
      </c>
      <c r="J696" s="205"/>
      <c r="K696" s="205"/>
    </row>
    <row r="697" ht="14.25" customHeight="1">
      <c r="A697" s="55">
        <v>46352.0</v>
      </c>
      <c r="B697" s="55" t="str">
        <f t="shared" si="10"/>
        <v>Primer dia</v>
      </c>
      <c r="C697" s="202">
        <f t="shared" si="1"/>
        <v>26</v>
      </c>
      <c r="D697" s="202" t="str">
        <f t="shared" si="2"/>
        <v> </v>
      </c>
      <c r="E697" s="202" t="str">
        <f t="shared" si="9"/>
        <v> </v>
      </c>
      <c r="F697" s="55" t="str">
        <f t="shared" si="4"/>
        <v/>
      </c>
      <c r="G697" s="202" t="str">
        <f t="shared" si="5"/>
        <v/>
      </c>
      <c r="H697" s="202" t="str">
        <f t="shared" si="11"/>
        <v> </v>
      </c>
      <c r="I697" s="205" t="str">
        <f t="shared" si="7"/>
        <v/>
      </c>
      <c r="J697" s="205"/>
      <c r="K697" s="205"/>
    </row>
    <row r="698" ht="14.25" customHeight="1">
      <c r="A698" s="55">
        <v>46353.0</v>
      </c>
      <c r="B698" s="55" t="str">
        <f t="shared" si="10"/>
        <v>Primer dia</v>
      </c>
      <c r="C698" s="202">
        <f t="shared" si="1"/>
        <v>27</v>
      </c>
      <c r="D698" s="202" t="str">
        <f t="shared" si="2"/>
        <v> </v>
      </c>
      <c r="E698" s="202" t="str">
        <f t="shared" si="9"/>
        <v> </v>
      </c>
      <c r="F698" s="55" t="str">
        <f t="shared" si="4"/>
        <v/>
      </c>
      <c r="G698" s="202" t="str">
        <f t="shared" si="5"/>
        <v/>
      </c>
      <c r="H698" s="202" t="str">
        <f t="shared" si="11"/>
        <v> </v>
      </c>
      <c r="I698" s="205" t="str">
        <f t="shared" si="7"/>
        <v/>
      </c>
      <c r="J698" s="205"/>
      <c r="K698" s="205"/>
    </row>
    <row r="699" ht="14.25" customHeight="1">
      <c r="A699" s="55">
        <v>46354.0</v>
      </c>
      <c r="B699" s="55" t="str">
        <f t="shared" si="10"/>
        <v>Primer dia</v>
      </c>
      <c r="C699" s="202">
        <f t="shared" si="1"/>
        <v>28</v>
      </c>
      <c r="D699" s="202" t="str">
        <f t="shared" si="2"/>
        <v> </v>
      </c>
      <c r="E699" s="202" t="str">
        <f t="shared" si="9"/>
        <v> </v>
      </c>
      <c r="F699" s="55" t="str">
        <f t="shared" si="4"/>
        <v/>
      </c>
      <c r="G699" s="202" t="str">
        <f t="shared" si="5"/>
        <v/>
      </c>
      <c r="H699" s="202" t="str">
        <f t="shared" si="11"/>
        <v> </v>
      </c>
      <c r="I699" s="205" t="str">
        <f t="shared" si="7"/>
        <v/>
      </c>
      <c r="J699" s="205"/>
      <c r="K699" s="205"/>
    </row>
    <row r="700" ht="14.25" customHeight="1">
      <c r="A700" s="55">
        <v>46355.0</v>
      </c>
      <c r="B700" s="55" t="str">
        <f t="shared" si="10"/>
        <v>Primer dia</v>
      </c>
      <c r="C700" s="202">
        <f t="shared" si="1"/>
        <v>29</v>
      </c>
      <c r="D700" s="202" t="str">
        <f t="shared" si="2"/>
        <v> </v>
      </c>
      <c r="E700" s="202" t="str">
        <f t="shared" si="9"/>
        <v> </v>
      </c>
      <c r="F700" s="55" t="str">
        <f t="shared" si="4"/>
        <v/>
      </c>
      <c r="G700" s="202" t="str">
        <f t="shared" si="5"/>
        <v/>
      </c>
      <c r="H700" s="202" t="str">
        <f t="shared" si="11"/>
        <v> </v>
      </c>
      <c r="I700" s="205" t="str">
        <f t="shared" si="7"/>
        <v/>
      </c>
      <c r="J700" s="205"/>
      <c r="K700" s="205"/>
    </row>
    <row r="701" ht="14.25" customHeight="1">
      <c r="A701" s="55">
        <v>46356.0</v>
      </c>
      <c r="B701" s="55" t="str">
        <f t="shared" si="10"/>
        <v>Primer dia</v>
      </c>
      <c r="C701" s="202">
        <f t="shared" si="1"/>
        <v>30</v>
      </c>
      <c r="D701" s="202" t="str">
        <f t="shared" si="2"/>
        <v> </v>
      </c>
      <c r="E701" s="202" t="str">
        <f t="shared" si="9"/>
        <v> </v>
      </c>
      <c r="F701" s="55" t="str">
        <f t="shared" si="4"/>
        <v/>
      </c>
      <c r="G701" s="202" t="str">
        <f t="shared" si="5"/>
        <v/>
      </c>
      <c r="H701" s="202" t="str">
        <f t="shared" si="11"/>
        <v> </v>
      </c>
      <c r="I701" s="205" t="str">
        <f t="shared" si="7"/>
        <v/>
      </c>
      <c r="J701" s="205"/>
      <c r="K701" s="205"/>
    </row>
    <row r="702" ht="14.25" customHeight="1">
      <c r="A702" s="55">
        <v>46357.0</v>
      </c>
      <c r="B702" s="55" t="str">
        <f t="shared" si="10"/>
        <v>Primer dia</v>
      </c>
      <c r="C702" s="202">
        <f t="shared" si="1"/>
        <v>1</v>
      </c>
      <c r="D702" s="202" t="str">
        <f t="shared" si="2"/>
        <v> </v>
      </c>
      <c r="E702" s="202" t="str">
        <f t="shared" si="9"/>
        <v> </v>
      </c>
      <c r="F702" s="55" t="str">
        <f t="shared" si="4"/>
        <v/>
      </c>
      <c r="G702" s="202" t="str">
        <f t="shared" si="5"/>
        <v/>
      </c>
      <c r="H702" s="202" t="str">
        <f t="shared" si="11"/>
        <v> </v>
      </c>
      <c r="I702" s="205" t="str">
        <f t="shared" si="7"/>
        <v/>
      </c>
      <c r="J702" s="205"/>
      <c r="K702" s="205"/>
    </row>
    <row r="703" ht="14.25" customHeight="1">
      <c r="A703" s="55">
        <v>46358.0</v>
      </c>
      <c r="B703" s="55" t="str">
        <f t="shared" si="10"/>
        <v>Primer dia</v>
      </c>
      <c r="C703" s="202">
        <f t="shared" si="1"/>
        <v>2</v>
      </c>
      <c r="D703" s="202" t="str">
        <f t="shared" si="2"/>
        <v> </v>
      </c>
      <c r="E703" s="202">
        <f t="shared" si="9"/>
        <v>2</v>
      </c>
      <c r="F703" s="55">
        <f t="shared" si="4"/>
        <v>46358</v>
      </c>
      <c r="G703" s="202">
        <f t="shared" si="5"/>
        <v>21</v>
      </c>
      <c r="H703" s="202" t="str">
        <f t="shared" si="11"/>
        <v> </v>
      </c>
      <c r="I703" s="205" t="str">
        <f t="shared" si="7"/>
        <v/>
      </c>
      <c r="J703" s="205"/>
      <c r="K703" s="205"/>
    </row>
    <row r="704" ht="14.25" customHeight="1">
      <c r="A704" s="55">
        <v>46359.0</v>
      </c>
      <c r="B704" s="55" t="str">
        <f t="shared" si="10"/>
        <v>Primer dia</v>
      </c>
      <c r="C704" s="202">
        <f t="shared" si="1"/>
        <v>3</v>
      </c>
      <c r="D704" s="202" t="str">
        <f t="shared" si="2"/>
        <v> </v>
      </c>
      <c r="E704" s="202" t="str">
        <f t="shared" si="9"/>
        <v> </v>
      </c>
      <c r="F704" s="55" t="str">
        <f t="shared" si="4"/>
        <v/>
      </c>
      <c r="G704" s="202" t="str">
        <f t="shared" si="5"/>
        <v/>
      </c>
      <c r="H704" s="202" t="str">
        <f t="shared" si="11"/>
        <v> </v>
      </c>
      <c r="I704" s="205" t="str">
        <f t="shared" si="7"/>
        <v/>
      </c>
      <c r="J704" s="205"/>
      <c r="K704" s="205"/>
    </row>
    <row r="705" ht="14.25" customHeight="1">
      <c r="A705" s="55">
        <v>46360.0</v>
      </c>
      <c r="B705" s="55" t="str">
        <f t="shared" si="10"/>
        <v>Primer dia</v>
      </c>
      <c r="C705" s="202">
        <f t="shared" si="1"/>
        <v>4</v>
      </c>
      <c r="D705" s="202" t="str">
        <f t="shared" si="2"/>
        <v> </v>
      </c>
      <c r="E705" s="202" t="str">
        <f t="shared" si="9"/>
        <v> </v>
      </c>
      <c r="F705" s="55" t="str">
        <f t="shared" si="4"/>
        <v/>
      </c>
      <c r="G705" s="202" t="str">
        <f t="shared" si="5"/>
        <v/>
      </c>
      <c r="H705" s="202" t="str">
        <f t="shared" si="11"/>
        <v> </v>
      </c>
      <c r="I705" s="205" t="str">
        <f t="shared" si="7"/>
        <v/>
      </c>
      <c r="J705" s="205"/>
      <c r="K705" s="205"/>
    </row>
    <row r="706" ht="14.25" customHeight="1">
      <c r="A706" s="55">
        <v>46361.0</v>
      </c>
      <c r="B706" s="55" t="str">
        <f t="shared" si="10"/>
        <v>Primer dia</v>
      </c>
      <c r="C706" s="202">
        <f t="shared" si="1"/>
        <v>5</v>
      </c>
      <c r="D706" s="202" t="str">
        <f t="shared" si="2"/>
        <v> </v>
      </c>
      <c r="E706" s="202" t="str">
        <f t="shared" si="9"/>
        <v> </v>
      </c>
      <c r="F706" s="55" t="str">
        <f t="shared" si="4"/>
        <v/>
      </c>
      <c r="G706" s="202" t="str">
        <f t="shared" si="5"/>
        <v/>
      </c>
      <c r="H706" s="202" t="str">
        <f t="shared" si="11"/>
        <v> </v>
      </c>
      <c r="I706" s="205" t="str">
        <f t="shared" si="7"/>
        <v/>
      </c>
      <c r="J706" s="205"/>
      <c r="K706" s="205"/>
    </row>
    <row r="707" ht="14.25" customHeight="1">
      <c r="A707" s="55">
        <v>46362.0</v>
      </c>
      <c r="B707" s="55" t="str">
        <f t="shared" si="10"/>
        <v>Primer dia</v>
      </c>
      <c r="C707" s="202">
        <f t="shared" si="1"/>
        <v>6</v>
      </c>
      <c r="D707" s="202" t="str">
        <f t="shared" si="2"/>
        <v> </v>
      </c>
      <c r="E707" s="202" t="str">
        <f t="shared" si="9"/>
        <v> </v>
      </c>
      <c r="F707" s="55" t="str">
        <f t="shared" si="4"/>
        <v/>
      </c>
      <c r="G707" s="202" t="str">
        <f t="shared" si="5"/>
        <v/>
      </c>
      <c r="H707" s="202" t="str">
        <f t="shared" si="11"/>
        <v> </v>
      </c>
      <c r="I707" s="205" t="str">
        <f t="shared" si="7"/>
        <v/>
      </c>
      <c r="J707" s="205"/>
      <c r="K707" s="205"/>
    </row>
    <row r="708" ht="14.25" customHeight="1">
      <c r="A708" s="55">
        <v>46363.0</v>
      </c>
      <c r="B708" s="55" t="str">
        <f t="shared" si="10"/>
        <v>Primer dia</v>
      </c>
      <c r="C708" s="202">
        <f t="shared" si="1"/>
        <v>7</v>
      </c>
      <c r="D708" s="202" t="str">
        <f t="shared" si="2"/>
        <v> </v>
      </c>
      <c r="E708" s="202" t="str">
        <f t="shared" si="9"/>
        <v> </v>
      </c>
      <c r="F708" s="55" t="str">
        <f t="shared" si="4"/>
        <v/>
      </c>
      <c r="G708" s="202" t="str">
        <f t="shared" si="5"/>
        <v/>
      </c>
      <c r="H708" s="202" t="str">
        <f t="shared" si="11"/>
        <v> </v>
      </c>
      <c r="I708" s="205" t="str">
        <f t="shared" si="7"/>
        <v/>
      </c>
      <c r="J708" s="205"/>
      <c r="K708" s="205"/>
    </row>
    <row r="709" ht="14.25" customHeight="1">
      <c r="A709" s="55">
        <v>46364.0</v>
      </c>
      <c r="B709" s="55" t="str">
        <f t="shared" si="10"/>
        <v>Primer dia</v>
      </c>
      <c r="C709" s="202">
        <f t="shared" si="1"/>
        <v>8</v>
      </c>
      <c r="D709" s="202" t="str">
        <f t="shared" si="2"/>
        <v> </v>
      </c>
      <c r="E709" s="202" t="str">
        <f t="shared" si="9"/>
        <v> </v>
      </c>
      <c r="F709" s="55" t="str">
        <f t="shared" si="4"/>
        <v/>
      </c>
      <c r="G709" s="202" t="str">
        <f t="shared" si="5"/>
        <v/>
      </c>
      <c r="H709" s="202" t="str">
        <f t="shared" si="11"/>
        <v> </v>
      </c>
      <c r="I709" s="205" t="str">
        <f t="shared" si="7"/>
        <v/>
      </c>
      <c r="J709" s="205"/>
      <c r="K709" s="205"/>
    </row>
    <row r="710" ht="14.25" customHeight="1">
      <c r="A710" s="55">
        <v>46365.0</v>
      </c>
      <c r="B710" s="55" t="str">
        <f t="shared" si="10"/>
        <v>Primer dia</v>
      </c>
      <c r="C710" s="202">
        <f t="shared" si="1"/>
        <v>9</v>
      </c>
      <c r="D710" s="202" t="str">
        <f t="shared" si="2"/>
        <v> </v>
      </c>
      <c r="E710" s="202" t="str">
        <f t="shared" si="9"/>
        <v> </v>
      </c>
      <c r="F710" s="55" t="str">
        <f t="shared" si="4"/>
        <v/>
      </c>
      <c r="G710" s="202" t="str">
        <f t="shared" si="5"/>
        <v/>
      </c>
      <c r="H710" s="202" t="str">
        <f t="shared" si="11"/>
        <v> </v>
      </c>
      <c r="I710" s="205" t="str">
        <f t="shared" si="7"/>
        <v/>
      </c>
      <c r="J710" s="205"/>
      <c r="K710" s="205"/>
    </row>
    <row r="711" ht="14.25" customHeight="1">
      <c r="A711" s="55">
        <v>46366.0</v>
      </c>
      <c r="B711" s="55" t="str">
        <f t="shared" si="10"/>
        <v>Primer dia</v>
      </c>
      <c r="C711" s="202">
        <f t="shared" si="1"/>
        <v>10</v>
      </c>
      <c r="D711" s="202" t="str">
        <f t="shared" si="2"/>
        <v> </v>
      </c>
      <c r="E711" s="202" t="str">
        <f t="shared" si="9"/>
        <v> </v>
      </c>
      <c r="F711" s="55" t="str">
        <f t="shared" si="4"/>
        <v/>
      </c>
      <c r="G711" s="202" t="str">
        <f t="shared" si="5"/>
        <v/>
      </c>
      <c r="H711" s="202" t="str">
        <f t="shared" si="11"/>
        <v> </v>
      </c>
      <c r="I711" s="205" t="str">
        <f t="shared" si="7"/>
        <v/>
      </c>
      <c r="J711" s="205"/>
      <c r="K711" s="205"/>
    </row>
    <row r="712" ht="14.25" customHeight="1">
      <c r="A712" s="55">
        <v>46367.0</v>
      </c>
      <c r="B712" s="55" t="str">
        <f t="shared" si="10"/>
        <v>Primer dia</v>
      </c>
      <c r="C712" s="202">
        <f t="shared" si="1"/>
        <v>11</v>
      </c>
      <c r="D712" s="202" t="str">
        <f t="shared" si="2"/>
        <v> </v>
      </c>
      <c r="E712" s="202" t="str">
        <f t="shared" si="9"/>
        <v> </v>
      </c>
      <c r="F712" s="55" t="str">
        <f t="shared" si="4"/>
        <v/>
      </c>
      <c r="G712" s="202" t="str">
        <f t="shared" si="5"/>
        <v/>
      </c>
      <c r="H712" s="202" t="str">
        <f t="shared" si="11"/>
        <v> </v>
      </c>
      <c r="I712" s="205" t="str">
        <f t="shared" si="7"/>
        <v/>
      </c>
      <c r="J712" s="205"/>
      <c r="K712" s="205"/>
    </row>
    <row r="713" ht="14.25" customHeight="1">
      <c r="A713" s="55">
        <v>46368.0</v>
      </c>
      <c r="B713" s="55" t="str">
        <f t="shared" si="10"/>
        <v>Primer dia</v>
      </c>
      <c r="C713" s="202">
        <f t="shared" si="1"/>
        <v>12</v>
      </c>
      <c r="D713" s="202" t="str">
        <f t="shared" si="2"/>
        <v> </v>
      </c>
      <c r="E713" s="202" t="str">
        <f t="shared" si="9"/>
        <v> </v>
      </c>
      <c r="F713" s="55" t="str">
        <f t="shared" si="4"/>
        <v/>
      </c>
      <c r="G713" s="202" t="str">
        <f t="shared" si="5"/>
        <v/>
      </c>
      <c r="H713" s="202" t="str">
        <f t="shared" si="11"/>
        <v> </v>
      </c>
      <c r="I713" s="205" t="str">
        <f t="shared" si="7"/>
        <v/>
      </c>
      <c r="J713" s="205"/>
      <c r="K713" s="205"/>
    </row>
    <row r="714" ht="14.25" customHeight="1">
      <c r="A714" s="55">
        <v>46369.0</v>
      </c>
      <c r="B714" s="55" t="str">
        <f t="shared" si="10"/>
        <v>Primer dia</v>
      </c>
      <c r="C714" s="202">
        <f t="shared" si="1"/>
        <v>13</v>
      </c>
      <c r="D714" s="202" t="str">
        <f t="shared" si="2"/>
        <v> </v>
      </c>
      <c r="E714" s="202" t="str">
        <f t="shared" si="9"/>
        <v> </v>
      </c>
      <c r="F714" s="55" t="str">
        <f t="shared" si="4"/>
        <v/>
      </c>
      <c r="G714" s="202" t="str">
        <f t="shared" si="5"/>
        <v/>
      </c>
      <c r="H714" s="202" t="str">
        <f t="shared" si="11"/>
        <v> </v>
      </c>
      <c r="I714" s="205" t="str">
        <f t="shared" si="7"/>
        <v/>
      </c>
      <c r="J714" s="205"/>
      <c r="K714" s="205"/>
    </row>
    <row r="715" ht="14.25" customHeight="1">
      <c r="A715" s="55">
        <v>46370.0</v>
      </c>
      <c r="B715" s="55" t="str">
        <f t="shared" si="10"/>
        <v>Primer dia</v>
      </c>
      <c r="C715" s="202">
        <f t="shared" si="1"/>
        <v>14</v>
      </c>
      <c r="D715" s="202" t="str">
        <f t="shared" si="2"/>
        <v> </v>
      </c>
      <c r="E715" s="202" t="str">
        <f t="shared" si="9"/>
        <v> </v>
      </c>
      <c r="F715" s="55" t="str">
        <f t="shared" si="4"/>
        <v/>
      </c>
      <c r="G715" s="202" t="str">
        <f t="shared" si="5"/>
        <v/>
      </c>
      <c r="H715" s="202" t="str">
        <f t="shared" si="11"/>
        <v> </v>
      </c>
      <c r="I715" s="205" t="str">
        <f t="shared" si="7"/>
        <v/>
      </c>
      <c r="J715" s="205"/>
      <c r="K715" s="205"/>
    </row>
    <row r="716" ht="14.25" customHeight="1">
      <c r="A716" s="55">
        <v>46371.0</v>
      </c>
      <c r="B716" s="55" t="str">
        <f t="shared" si="10"/>
        <v>Primer dia</v>
      </c>
      <c r="C716" s="202">
        <f t="shared" si="1"/>
        <v>15</v>
      </c>
      <c r="D716" s="202" t="str">
        <f t="shared" si="2"/>
        <v> </v>
      </c>
      <c r="E716" s="202" t="str">
        <f t="shared" si="9"/>
        <v> </v>
      </c>
      <c r="F716" s="55" t="str">
        <f t="shared" si="4"/>
        <v/>
      </c>
      <c r="G716" s="202" t="str">
        <f t="shared" si="5"/>
        <v/>
      </c>
      <c r="H716" s="202" t="str">
        <f t="shared" si="11"/>
        <v> </v>
      </c>
      <c r="I716" s="205" t="str">
        <f t="shared" si="7"/>
        <v/>
      </c>
      <c r="J716" s="205"/>
      <c r="K716" s="205"/>
    </row>
    <row r="717" ht="14.25" customHeight="1">
      <c r="A717" s="55">
        <v>46372.0</v>
      </c>
      <c r="B717" s="55" t="str">
        <f t="shared" si="10"/>
        <v>Primer dia</v>
      </c>
      <c r="C717" s="202">
        <f t="shared" si="1"/>
        <v>16</v>
      </c>
      <c r="D717" s="202" t="str">
        <f t="shared" si="2"/>
        <v> </v>
      </c>
      <c r="E717" s="202" t="str">
        <f t="shared" si="9"/>
        <v> </v>
      </c>
      <c r="F717" s="55" t="str">
        <f t="shared" si="4"/>
        <v/>
      </c>
      <c r="G717" s="202" t="str">
        <f t="shared" si="5"/>
        <v/>
      </c>
      <c r="H717" s="202" t="str">
        <f t="shared" si="11"/>
        <v> </v>
      </c>
      <c r="I717" s="205" t="str">
        <f t="shared" si="7"/>
        <v/>
      </c>
      <c r="J717" s="205"/>
      <c r="K717" s="205"/>
    </row>
    <row r="718" ht="14.25" customHeight="1">
      <c r="A718" s="55">
        <v>46373.0</v>
      </c>
      <c r="B718" s="55" t="str">
        <f t="shared" si="10"/>
        <v>Primer dia</v>
      </c>
      <c r="C718" s="202">
        <f t="shared" si="1"/>
        <v>17</v>
      </c>
      <c r="D718" s="202" t="str">
        <f t="shared" si="2"/>
        <v> </v>
      </c>
      <c r="E718" s="202">
        <f t="shared" si="9"/>
        <v>17</v>
      </c>
      <c r="F718" s="55">
        <f t="shared" si="4"/>
        <v>46373</v>
      </c>
      <c r="G718" s="202">
        <f t="shared" si="5"/>
        <v>22</v>
      </c>
      <c r="H718" s="202" t="str">
        <f t="shared" si="11"/>
        <v> </v>
      </c>
      <c r="I718" s="205" t="str">
        <f t="shared" si="7"/>
        <v/>
      </c>
      <c r="J718" s="205"/>
      <c r="K718" s="205"/>
    </row>
    <row r="719" ht="14.25" customHeight="1">
      <c r="A719" s="55">
        <v>46374.0</v>
      </c>
      <c r="B719" s="55" t="str">
        <f t="shared" si="10"/>
        <v>Primer dia</v>
      </c>
      <c r="C719" s="202">
        <f t="shared" si="1"/>
        <v>18</v>
      </c>
      <c r="D719" s="202" t="str">
        <f t="shared" si="2"/>
        <v> </v>
      </c>
      <c r="E719" s="202" t="str">
        <f t="shared" si="9"/>
        <v> </v>
      </c>
      <c r="F719" s="55" t="str">
        <f t="shared" si="4"/>
        <v/>
      </c>
      <c r="G719" s="202" t="str">
        <f t="shared" si="5"/>
        <v/>
      </c>
      <c r="H719" s="202" t="str">
        <f t="shared" si="11"/>
        <v> </v>
      </c>
      <c r="I719" s="205" t="str">
        <f t="shared" si="7"/>
        <v/>
      </c>
      <c r="J719" s="205"/>
      <c r="K719" s="205"/>
    </row>
    <row r="720" ht="14.25" customHeight="1">
      <c r="A720" s="55">
        <v>46375.0</v>
      </c>
      <c r="B720" s="55" t="str">
        <f t="shared" si="10"/>
        <v>Primer dia</v>
      </c>
      <c r="C720" s="202">
        <f t="shared" si="1"/>
        <v>19</v>
      </c>
      <c r="D720" s="202" t="str">
        <f t="shared" si="2"/>
        <v> </v>
      </c>
      <c r="E720" s="202" t="str">
        <f t="shared" si="9"/>
        <v> </v>
      </c>
      <c r="F720" s="55" t="str">
        <f t="shared" si="4"/>
        <v/>
      </c>
      <c r="G720" s="202" t="str">
        <f t="shared" si="5"/>
        <v/>
      </c>
      <c r="H720" s="202" t="str">
        <f t="shared" si="11"/>
        <v> </v>
      </c>
      <c r="I720" s="205" t="str">
        <f t="shared" si="7"/>
        <v/>
      </c>
      <c r="J720" s="205"/>
      <c r="K720" s="205"/>
    </row>
    <row r="721" ht="14.25" customHeight="1">
      <c r="A721" s="55">
        <v>46376.0</v>
      </c>
      <c r="B721" s="55" t="str">
        <f t="shared" si="10"/>
        <v>Primer dia</v>
      </c>
      <c r="C721" s="202">
        <f t="shared" si="1"/>
        <v>20</v>
      </c>
      <c r="D721" s="202" t="str">
        <f t="shared" si="2"/>
        <v> </v>
      </c>
      <c r="E721" s="202" t="str">
        <f t="shared" si="9"/>
        <v> </v>
      </c>
      <c r="F721" s="55" t="str">
        <f t="shared" si="4"/>
        <v/>
      </c>
      <c r="G721" s="202" t="str">
        <f t="shared" si="5"/>
        <v/>
      </c>
      <c r="H721" s="202" t="str">
        <f t="shared" si="11"/>
        <v> </v>
      </c>
      <c r="I721" s="205" t="str">
        <f t="shared" si="7"/>
        <v/>
      </c>
      <c r="J721" s="205"/>
      <c r="K721" s="205"/>
    </row>
    <row r="722" ht="14.25" customHeight="1">
      <c r="A722" s="55">
        <v>46377.0</v>
      </c>
      <c r="B722" s="55" t="str">
        <f t="shared" si="10"/>
        <v>Primer dia</v>
      </c>
      <c r="C722" s="202">
        <f t="shared" si="1"/>
        <v>21</v>
      </c>
      <c r="D722" s="202" t="str">
        <f t="shared" si="2"/>
        <v> </v>
      </c>
      <c r="E722" s="202" t="str">
        <f t="shared" si="9"/>
        <v> </v>
      </c>
      <c r="F722" s="55" t="str">
        <f t="shared" si="4"/>
        <v/>
      </c>
      <c r="G722" s="202" t="str">
        <f t="shared" si="5"/>
        <v/>
      </c>
      <c r="H722" s="202" t="str">
        <f t="shared" si="11"/>
        <v> </v>
      </c>
      <c r="I722" s="205" t="str">
        <f t="shared" si="7"/>
        <v/>
      </c>
      <c r="J722" s="205"/>
      <c r="K722" s="205"/>
    </row>
    <row r="723" ht="14.25" customHeight="1">
      <c r="A723" s="55">
        <v>46378.0</v>
      </c>
      <c r="B723" s="55" t="str">
        <f t="shared" si="10"/>
        <v>Primer dia</v>
      </c>
      <c r="C723" s="202">
        <f t="shared" si="1"/>
        <v>22</v>
      </c>
      <c r="D723" s="202" t="str">
        <f t="shared" si="2"/>
        <v> </v>
      </c>
      <c r="E723" s="202" t="str">
        <f t="shared" si="9"/>
        <v> </v>
      </c>
      <c r="F723" s="55" t="str">
        <f t="shared" si="4"/>
        <v/>
      </c>
      <c r="G723" s="202" t="str">
        <f t="shared" si="5"/>
        <v/>
      </c>
      <c r="H723" s="202" t="str">
        <f t="shared" si="11"/>
        <v> </v>
      </c>
      <c r="I723" s="205" t="str">
        <f t="shared" si="7"/>
        <v/>
      </c>
      <c r="J723" s="205"/>
      <c r="K723" s="205"/>
    </row>
    <row r="724" ht="14.25" customHeight="1">
      <c r="A724" s="55">
        <v>46379.0</v>
      </c>
      <c r="B724" s="55" t="str">
        <f t="shared" si="10"/>
        <v>Primer dia</v>
      </c>
      <c r="C724" s="202">
        <f t="shared" si="1"/>
        <v>23</v>
      </c>
      <c r="D724" s="202" t="str">
        <f t="shared" si="2"/>
        <v> </v>
      </c>
      <c r="E724" s="202" t="str">
        <f t="shared" si="9"/>
        <v> </v>
      </c>
      <c r="F724" s="55" t="str">
        <f t="shared" si="4"/>
        <v/>
      </c>
      <c r="G724" s="202" t="str">
        <f t="shared" si="5"/>
        <v/>
      </c>
      <c r="H724" s="202" t="str">
        <f t="shared" si="11"/>
        <v> </v>
      </c>
      <c r="I724" s="205" t="str">
        <f t="shared" si="7"/>
        <v/>
      </c>
      <c r="J724" s="205"/>
      <c r="K724" s="205"/>
    </row>
    <row r="725" ht="14.25" customHeight="1">
      <c r="A725" s="55">
        <v>46380.0</v>
      </c>
      <c r="B725" s="55" t="str">
        <f t="shared" si="10"/>
        <v>Primer dia</v>
      </c>
      <c r="C725" s="202">
        <f t="shared" si="1"/>
        <v>24</v>
      </c>
      <c r="D725" s="202" t="str">
        <f t="shared" si="2"/>
        <v> </v>
      </c>
      <c r="E725" s="202" t="str">
        <f t="shared" si="9"/>
        <v> </v>
      </c>
      <c r="F725" s="55" t="str">
        <f t="shared" si="4"/>
        <v/>
      </c>
      <c r="G725" s="202" t="str">
        <f t="shared" si="5"/>
        <v/>
      </c>
      <c r="H725" s="202" t="str">
        <f t="shared" si="11"/>
        <v> </v>
      </c>
      <c r="I725" s="205" t="str">
        <f t="shared" si="7"/>
        <v/>
      </c>
      <c r="J725" s="205"/>
      <c r="K725" s="205"/>
    </row>
    <row r="726" ht="14.25" customHeight="1">
      <c r="A726" s="55">
        <v>46381.0</v>
      </c>
      <c r="B726" s="55" t="str">
        <f t="shared" si="10"/>
        <v>Primer dia</v>
      </c>
      <c r="C726" s="202">
        <f t="shared" si="1"/>
        <v>25</v>
      </c>
      <c r="D726" s="202" t="str">
        <f t="shared" si="2"/>
        <v> </v>
      </c>
      <c r="E726" s="202" t="str">
        <f t="shared" si="9"/>
        <v> </v>
      </c>
      <c r="F726" s="55" t="str">
        <f t="shared" si="4"/>
        <v/>
      </c>
      <c r="G726" s="202" t="str">
        <f t="shared" si="5"/>
        <v/>
      </c>
      <c r="H726" s="202" t="str">
        <f t="shared" si="11"/>
        <v> </v>
      </c>
      <c r="I726" s="205" t="str">
        <f t="shared" si="7"/>
        <v/>
      </c>
      <c r="J726" s="205"/>
      <c r="K726" s="205"/>
    </row>
    <row r="727" ht="14.25" customHeight="1">
      <c r="A727" s="55">
        <v>46382.0</v>
      </c>
      <c r="B727" s="55" t="str">
        <f t="shared" si="10"/>
        <v>Primer dia</v>
      </c>
      <c r="C727" s="202">
        <f t="shared" si="1"/>
        <v>26</v>
      </c>
      <c r="D727" s="202" t="str">
        <f t="shared" si="2"/>
        <v> </v>
      </c>
      <c r="E727" s="202" t="str">
        <f t="shared" si="9"/>
        <v> </v>
      </c>
      <c r="F727" s="55" t="str">
        <f t="shared" si="4"/>
        <v/>
      </c>
      <c r="G727" s="202" t="str">
        <f t="shared" si="5"/>
        <v/>
      </c>
      <c r="H727" s="202" t="str">
        <f t="shared" si="11"/>
        <v> </v>
      </c>
      <c r="I727" s="205" t="str">
        <f t="shared" si="7"/>
        <v/>
      </c>
      <c r="J727" s="205"/>
      <c r="K727" s="205"/>
    </row>
    <row r="728" ht="14.25" customHeight="1">
      <c r="A728" s="55">
        <v>46383.0</v>
      </c>
      <c r="B728" s="55" t="str">
        <f t="shared" si="10"/>
        <v>Primer dia</v>
      </c>
      <c r="C728" s="202">
        <f t="shared" si="1"/>
        <v>27</v>
      </c>
      <c r="D728" s="202" t="str">
        <f t="shared" si="2"/>
        <v> </v>
      </c>
      <c r="E728" s="202" t="str">
        <f t="shared" si="9"/>
        <v> </v>
      </c>
      <c r="F728" s="55" t="str">
        <f t="shared" si="4"/>
        <v/>
      </c>
      <c r="G728" s="202" t="str">
        <f t="shared" si="5"/>
        <v/>
      </c>
      <c r="H728" s="202" t="str">
        <f t="shared" si="11"/>
        <v> </v>
      </c>
      <c r="I728" s="205" t="str">
        <f t="shared" si="7"/>
        <v/>
      </c>
      <c r="J728" s="205"/>
      <c r="K728" s="205"/>
    </row>
    <row r="729" ht="14.25" customHeight="1">
      <c r="A729" s="55">
        <v>46384.0</v>
      </c>
      <c r="B729" s="55" t="str">
        <f t="shared" si="10"/>
        <v>Primer dia</v>
      </c>
      <c r="C729" s="202">
        <f t="shared" si="1"/>
        <v>28</v>
      </c>
      <c r="D729" s="202" t="str">
        <f t="shared" si="2"/>
        <v> </v>
      </c>
      <c r="E729" s="202" t="str">
        <f t="shared" si="9"/>
        <v> </v>
      </c>
      <c r="F729" s="55" t="str">
        <f t="shared" si="4"/>
        <v/>
      </c>
      <c r="G729" s="202" t="str">
        <f t="shared" si="5"/>
        <v/>
      </c>
      <c r="H729" s="202" t="str">
        <f t="shared" si="11"/>
        <v> </v>
      </c>
      <c r="I729" s="205" t="str">
        <f t="shared" si="7"/>
        <v/>
      </c>
      <c r="J729" s="205"/>
      <c r="K729" s="205"/>
    </row>
    <row r="730" ht="14.25" customHeight="1">
      <c r="A730" s="55">
        <v>46385.0</v>
      </c>
      <c r="B730" s="55" t="str">
        <f t="shared" si="10"/>
        <v>Primer dia</v>
      </c>
      <c r="C730" s="202">
        <f t="shared" si="1"/>
        <v>29</v>
      </c>
      <c r="D730" s="202" t="str">
        <f t="shared" si="2"/>
        <v> </v>
      </c>
      <c r="E730" s="202" t="str">
        <f t="shared" si="9"/>
        <v> </v>
      </c>
      <c r="F730" s="55" t="str">
        <f t="shared" si="4"/>
        <v/>
      </c>
      <c r="G730" s="202" t="str">
        <f t="shared" si="5"/>
        <v/>
      </c>
      <c r="H730" s="202" t="str">
        <f t="shared" si="11"/>
        <v> </v>
      </c>
      <c r="I730" s="205" t="str">
        <f t="shared" si="7"/>
        <v/>
      </c>
      <c r="J730" s="205"/>
      <c r="K730" s="205"/>
    </row>
    <row r="731" ht="14.25" customHeight="1">
      <c r="A731" s="55">
        <v>46386.0</v>
      </c>
      <c r="B731" s="55" t="str">
        <f t="shared" si="10"/>
        <v>Primer dia</v>
      </c>
      <c r="C731" s="202">
        <f t="shared" si="1"/>
        <v>30</v>
      </c>
      <c r="D731" s="202" t="str">
        <f t="shared" si="2"/>
        <v> </v>
      </c>
      <c r="E731" s="202" t="str">
        <f t="shared" si="9"/>
        <v> </v>
      </c>
      <c r="F731" s="55" t="str">
        <f t="shared" si="4"/>
        <v/>
      </c>
      <c r="G731" s="202" t="str">
        <f t="shared" si="5"/>
        <v/>
      </c>
      <c r="H731" s="202" t="str">
        <f t="shared" si="11"/>
        <v> </v>
      </c>
      <c r="I731" s="205" t="str">
        <f t="shared" si="7"/>
        <v/>
      </c>
      <c r="J731" s="205"/>
      <c r="K731" s="205"/>
    </row>
    <row r="732" ht="14.25" customHeight="1">
      <c r="A732" s="55">
        <v>46387.0</v>
      </c>
      <c r="B732" s="55" t="str">
        <f t="shared" si="10"/>
        <v>Primer dia</v>
      </c>
      <c r="C732" s="202">
        <f t="shared" si="1"/>
        <v>31</v>
      </c>
      <c r="D732" s="202" t="str">
        <f t="shared" si="2"/>
        <v> </v>
      </c>
      <c r="E732" s="202" t="str">
        <f t="shared" si="9"/>
        <v> </v>
      </c>
      <c r="F732" s="55" t="str">
        <f t="shared" si="4"/>
        <v/>
      </c>
      <c r="G732" s="202" t="str">
        <f t="shared" si="5"/>
        <v/>
      </c>
      <c r="H732" s="202" t="str">
        <f t="shared" si="11"/>
        <v> </v>
      </c>
      <c r="I732" s="205" t="str">
        <f t="shared" si="7"/>
        <v/>
      </c>
      <c r="J732" s="205"/>
      <c r="K732" s="205"/>
    </row>
    <row r="733" ht="14.25" customHeight="1">
      <c r="A733" s="55">
        <v>46388.0</v>
      </c>
      <c r="B733" s="55" t="str">
        <f t="shared" si="10"/>
        <v>Primer dia</v>
      </c>
      <c r="C733" s="202">
        <f t="shared" si="1"/>
        <v>1</v>
      </c>
      <c r="D733" s="202" t="str">
        <f t="shared" si="2"/>
        <v> </v>
      </c>
      <c r="E733" s="202" t="str">
        <f t="shared" si="9"/>
        <v> </v>
      </c>
      <c r="F733" s="55" t="str">
        <f t="shared" si="4"/>
        <v/>
      </c>
      <c r="G733" s="202" t="str">
        <f t="shared" si="5"/>
        <v/>
      </c>
      <c r="H733" s="202" t="str">
        <f t="shared" si="11"/>
        <v> </v>
      </c>
      <c r="I733" s="205" t="str">
        <f t="shared" si="7"/>
        <v/>
      </c>
      <c r="J733" s="205"/>
      <c r="K733" s="205"/>
    </row>
    <row r="734" ht="14.25" customHeight="1">
      <c r="A734" s="55">
        <v>46389.0</v>
      </c>
      <c r="B734" s="55" t="str">
        <f t="shared" si="10"/>
        <v>Primer dia</v>
      </c>
      <c r="C734" s="202">
        <f t="shared" si="1"/>
        <v>2</v>
      </c>
      <c r="D734" s="202" t="str">
        <f t="shared" si="2"/>
        <v> </v>
      </c>
      <c r="E734" s="202">
        <f t="shared" si="9"/>
        <v>2</v>
      </c>
      <c r="F734" s="55">
        <f t="shared" si="4"/>
        <v>46389</v>
      </c>
      <c r="G734" s="202">
        <f t="shared" si="5"/>
        <v>23</v>
      </c>
      <c r="H734" s="202" t="str">
        <f t="shared" si="11"/>
        <v> </v>
      </c>
      <c r="I734" s="205" t="str">
        <f t="shared" si="7"/>
        <v/>
      </c>
      <c r="J734" s="205"/>
      <c r="K734" s="205"/>
    </row>
    <row r="735" ht="14.25" customHeight="1">
      <c r="A735" s="55">
        <v>46390.0</v>
      </c>
      <c r="B735" s="55" t="str">
        <f t="shared" si="10"/>
        <v>Primer dia</v>
      </c>
      <c r="C735" s="202">
        <f t="shared" si="1"/>
        <v>3</v>
      </c>
      <c r="D735" s="202" t="str">
        <f t="shared" si="2"/>
        <v> </v>
      </c>
      <c r="E735" s="202" t="str">
        <f t="shared" si="9"/>
        <v> </v>
      </c>
      <c r="F735" s="55" t="str">
        <f t="shared" si="4"/>
        <v/>
      </c>
      <c r="G735" s="202" t="str">
        <f t="shared" si="5"/>
        <v/>
      </c>
      <c r="H735" s="202" t="str">
        <f t="shared" si="11"/>
        <v> </v>
      </c>
      <c r="I735" s="205" t="str">
        <f t="shared" si="7"/>
        <v/>
      </c>
      <c r="J735" s="205"/>
      <c r="K735" s="205"/>
    </row>
    <row r="736" ht="14.25" customHeight="1">
      <c r="A736" s="55">
        <v>46391.0</v>
      </c>
      <c r="B736" s="55" t="str">
        <f t="shared" si="10"/>
        <v>Primer dia</v>
      </c>
      <c r="C736" s="202">
        <f t="shared" si="1"/>
        <v>4</v>
      </c>
      <c r="D736" s="202" t="str">
        <f t="shared" si="2"/>
        <v> </v>
      </c>
      <c r="E736" s="202" t="str">
        <f t="shared" si="9"/>
        <v> </v>
      </c>
      <c r="F736" s="55" t="str">
        <f t="shared" si="4"/>
        <v/>
      </c>
      <c r="G736" s="202" t="str">
        <f t="shared" si="5"/>
        <v/>
      </c>
      <c r="H736" s="202" t="str">
        <f t="shared" si="11"/>
        <v> </v>
      </c>
      <c r="I736" s="205" t="str">
        <f t="shared" si="7"/>
        <v/>
      </c>
      <c r="J736" s="205"/>
      <c r="K736" s="205"/>
    </row>
    <row r="737" ht="14.25" customHeight="1">
      <c r="A737" s="55">
        <v>46392.0</v>
      </c>
      <c r="B737" s="55" t="str">
        <f t="shared" si="10"/>
        <v>Primer dia</v>
      </c>
      <c r="C737" s="202">
        <f t="shared" si="1"/>
        <v>5</v>
      </c>
      <c r="D737" s="202" t="str">
        <f t="shared" si="2"/>
        <v> </v>
      </c>
      <c r="E737" s="202" t="str">
        <f t="shared" si="9"/>
        <v> </v>
      </c>
      <c r="F737" s="55" t="str">
        <f t="shared" si="4"/>
        <v/>
      </c>
      <c r="G737" s="202" t="str">
        <f t="shared" si="5"/>
        <v/>
      </c>
      <c r="H737" s="202" t="str">
        <f t="shared" si="11"/>
        <v> </v>
      </c>
      <c r="I737" s="205" t="str">
        <f t="shared" si="7"/>
        <v/>
      </c>
      <c r="J737" s="205"/>
      <c r="K737" s="205"/>
    </row>
    <row r="738" ht="14.25" customHeight="1">
      <c r="A738" s="55">
        <v>46393.0</v>
      </c>
      <c r="B738" s="55" t="str">
        <f t="shared" si="10"/>
        <v>Primer dia</v>
      </c>
      <c r="C738" s="202">
        <f t="shared" si="1"/>
        <v>6</v>
      </c>
      <c r="D738" s="202" t="str">
        <f t="shared" si="2"/>
        <v> </v>
      </c>
      <c r="E738" s="202" t="str">
        <f t="shared" si="9"/>
        <v> </v>
      </c>
      <c r="F738" s="55" t="str">
        <f t="shared" si="4"/>
        <v/>
      </c>
      <c r="G738" s="202" t="str">
        <f t="shared" si="5"/>
        <v/>
      </c>
      <c r="H738" s="202" t="str">
        <f t="shared" si="11"/>
        <v> </v>
      </c>
      <c r="I738" s="205" t="str">
        <f t="shared" si="7"/>
        <v/>
      </c>
      <c r="J738" s="205"/>
      <c r="K738" s="205"/>
    </row>
    <row r="739" ht="14.25" customHeight="1">
      <c r="A739" s="55">
        <v>46394.0</v>
      </c>
      <c r="B739" s="55" t="str">
        <f t="shared" si="10"/>
        <v>Primer dia</v>
      </c>
      <c r="C739" s="202">
        <f t="shared" si="1"/>
        <v>7</v>
      </c>
      <c r="D739" s="202" t="str">
        <f t="shared" si="2"/>
        <v> </v>
      </c>
      <c r="E739" s="202" t="str">
        <f t="shared" si="9"/>
        <v> </v>
      </c>
      <c r="F739" s="55" t="str">
        <f t="shared" si="4"/>
        <v/>
      </c>
      <c r="G739" s="202" t="str">
        <f t="shared" si="5"/>
        <v/>
      </c>
      <c r="H739" s="202" t="str">
        <f t="shared" si="11"/>
        <v> </v>
      </c>
      <c r="I739" s="205" t="str">
        <f t="shared" si="7"/>
        <v/>
      </c>
      <c r="J739" s="205"/>
      <c r="K739" s="205"/>
    </row>
    <row r="740" ht="14.25" customHeight="1">
      <c r="A740" s="55">
        <v>46395.0</v>
      </c>
      <c r="B740" s="55" t="str">
        <f t="shared" si="10"/>
        <v>Primer dia</v>
      </c>
      <c r="C740" s="202">
        <f t="shared" si="1"/>
        <v>8</v>
      </c>
      <c r="D740" s="202" t="str">
        <f t="shared" si="2"/>
        <v> </v>
      </c>
      <c r="E740" s="202" t="str">
        <f t="shared" si="9"/>
        <v> </v>
      </c>
      <c r="F740" s="55" t="str">
        <f t="shared" si="4"/>
        <v/>
      </c>
      <c r="G740" s="202" t="str">
        <f t="shared" si="5"/>
        <v/>
      </c>
      <c r="H740" s="202" t="str">
        <f t="shared" si="11"/>
        <v> </v>
      </c>
      <c r="I740" s="205" t="str">
        <f t="shared" si="7"/>
        <v/>
      </c>
      <c r="J740" s="205"/>
      <c r="K740" s="205"/>
    </row>
    <row r="741" ht="14.25" customHeight="1">
      <c r="A741" s="55">
        <v>46396.0</v>
      </c>
      <c r="B741" s="55" t="str">
        <f t="shared" si="10"/>
        <v>Primer dia</v>
      </c>
      <c r="C741" s="202">
        <f t="shared" si="1"/>
        <v>9</v>
      </c>
      <c r="D741" s="202" t="str">
        <f t="shared" si="2"/>
        <v> </v>
      </c>
      <c r="E741" s="202" t="str">
        <f t="shared" si="9"/>
        <v> </v>
      </c>
      <c r="F741" s="55" t="str">
        <f t="shared" si="4"/>
        <v/>
      </c>
      <c r="G741" s="202" t="str">
        <f t="shared" si="5"/>
        <v/>
      </c>
      <c r="H741" s="202" t="str">
        <f t="shared" si="11"/>
        <v> </v>
      </c>
      <c r="I741" s="205" t="str">
        <f t="shared" si="7"/>
        <v/>
      </c>
      <c r="J741" s="205"/>
      <c r="K741" s="205"/>
    </row>
    <row r="742" ht="14.25" customHeight="1">
      <c r="A742" s="55">
        <v>46397.0</v>
      </c>
      <c r="B742" s="55" t="str">
        <f t="shared" si="10"/>
        <v>Primer dia</v>
      </c>
      <c r="C742" s="202">
        <f t="shared" si="1"/>
        <v>10</v>
      </c>
      <c r="D742" s="202" t="str">
        <f t="shared" si="2"/>
        <v> </v>
      </c>
      <c r="E742" s="202" t="str">
        <f t="shared" si="9"/>
        <v> </v>
      </c>
      <c r="F742" s="55" t="str">
        <f t="shared" si="4"/>
        <v/>
      </c>
      <c r="G742" s="202" t="str">
        <f t="shared" si="5"/>
        <v/>
      </c>
      <c r="H742" s="202" t="str">
        <f t="shared" si="11"/>
        <v> </v>
      </c>
      <c r="I742" s="205" t="str">
        <f t="shared" si="7"/>
        <v/>
      </c>
      <c r="J742" s="205"/>
      <c r="K742" s="205"/>
    </row>
    <row r="743" ht="14.25" customHeight="1">
      <c r="A743" s="55">
        <v>46398.0</v>
      </c>
      <c r="B743" s="55" t="str">
        <f t="shared" si="10"/>
        <v>Primer dia</v>
      </c>
      <c r="C743" s="202">
        <f t="shared" si="1"/>
        <v>11</v>
      </c>
      <c r="D743" s="202" t="str">
        <f t="shared" si="2"/>
        <v> </v>
      </c>
      <c r="E743" s="202" t="str">
        <f t="shared" si="9"/>
        <v> </v>
      </c>
      <c r="F743" s="55" t="str">
        <f t="shared" si="4"/>
        <v/>
      </c>
      <c r="G743" s="202" t="str">
        <f t="shared" si="5"/>
        <v/>
      </c>
      <c r="H743" s="202" t="str">
        <f t="shared" si="11"/>
        <v> </v>
      </c>
      <c r="I743" s="205" t="str">
        <f t="shared" si="7"/>
        <v/>
      </c>
      <c r="J743" s="205"/>
      <c r="K743" s="205"/>
    </row>
    <row r="744" ht="14.25" customHeight="1">
      <c r="A744" s="55">
        <v>46399.0</v>
      </c>
      <c r="B744" s="55" t="str">
        <f t="shared" si="10"/>
        <v>Primer dia</v>
      </c>
      <c r="C744" s="202">
        <f t="shared" si="1"/>
        <v>12</v>
      </c>
      <c r="D744" s="202" t="str">
        <f t="shared" si="2"/>
        <v> </v>
      </c>
      <c r="E744" s="202" t="str">
        <f t="shared" si="9"/>
        <v> </v>
      </c>
      <c r="F744" s="55" t="str">
        <f t="shared" si="4"/>
        <v/>
      </c>
      <c r="G744" s="202" t="str">
        <f t="shared" si="5"/>
        <v/>
      </c>
      <c r="H744" s="202" t="str">
        <f t="shared" si="11"/>
        <v> </v>
      </c>
      <c r="I744" s="205" t="str">
        <f t="shared" si="7"/>
        <v/>
      </c>
      <c r="J744" s="205"/>
      <c r="K744" s="205"/>
    </row>
    <row r="745" ht="14.25" customHeight="1">
      <c r="A745" s="55">
        <v>46400.0</v>
      </c>
      <c r="B745" s="55" t="str">
        <f t="shared" si="10"/>
        <v>Primer dia</v>
      </c>
      <c r="C745" s="202">
        <f t="shared" si="1"/>
        <v>13</v>
      </c>
      <c r="D745" s="202" t="str">
        <f t="shared" si="2"/>
        <v> </v>
      </c>
      <c r="E745" s="202" t="str">
        <f t="shared" si="9"/>
        <v> </v>
      </c>
      <c r="F745" s="55" t="str">
        <f t="shared" si="4"/>
        <v/>
      </c>
      <c r="G745" s="202" t="str">
        <f t="shared" si="5"/>
        <v/>
      </c>
      <c r="H745" s="202" t="str">
        <f t="shared" si="11"/>
        <v> </v>
      </c>
      <c r="I745" s="205" t="str">
        <f t="shared" si="7"/>
        <v/>
      </c>
      <c r="J745" s="205"/>
      <c r="K745" s="205"/>
    </row>
    <row r="746" ht="14.25" customHeight="1">
      <c r="A746" s="55">
        <v>46401.0</v>
      </c>
      <c r="B746" s="55" t="str">
        <f t="shared" si="10"/>
        <v>Primer dia</v>
      </c>
      <c r="C746" s="202">
        <f t="shared" si="1"/>
        <v>14</v>
      </c>
      <c r="D746" s="202" t="str">
        <f t="shared" si="2"/>
        <v> </v>
      </c>
      <c r="E746" s="202" t="str">
        <f t="shared" si="9"/>
        <v> </v>
      </c>
      <c r="F746" s="55" t="str">
        <f t="shared" si="4"/>
        <v/>
      </c>
      <c r="G746" s="202" t="str">
        <f t="shared" si="5"/>
        <v/>
      </c>
      <c r="H746" s="202" t="str">
        <f t="shared" si="11"/>
        <v> </v>
      </c>
      <c r="I746" s="205" t="str">
        <f t="shared" si="7"/>
        <v/>
      </c>
      <c r="J746" s="205"/>
      <c r="K746" s="205"/>
    </row>
    <row r="747" ht="14.25" customHeight="1">
      <c r="A747" s="55">
        <v>46402.0</v>
      </c>
      <c r="B747" s="55" t="str">
        <f t="shared" si="10"/>
        <v>Primer dia</v>
      </c>
      <c r="C747" s="202">
        <f t="shared" si="1"/>
        <v>15</v>
      </c>
      <c r="D747" s="202" t="str">
        <f t="shared" si="2"/>
        <v> </v>
      </c>
      <c r="E747" s="202" t="str">
        <f t="shared" si="9"/>
        <v> </v>
      </c>
      <c r="F747" s="55" t="str">
        <f t="shared" si="4"/>
        <v/>
      </c>
      <c r="G747" s="202" t="str">
        <f t="shared" si="5"/>
        <v/>
      </c>
      <c r="H747" s="202" t="str">
        <f t="shared" si="11"/>
        <v> </v>
      </c>
      <c r="I747" s="205" t="str">
        <f t="shared" si="7"/>
        <v/>
      </c>
      <c r="J747" s="205"/>
      <c r="K747" s="205"/>
    </row>
    <row r="748" ht="14.25" customHeight="1">
      <c r="A748" s="55">
        <v>46403.0</v>
      </c>
      <c r="B748" s="55" t="str">
        <f t="shared" si="10"/>
        <v>Primer dia</v>
      </c>
      <c r="C748" s="202">
        <f t="shared" si="1"/>
        <v>16</v>
      </c>
      <c r="D748" s="202" t="str">
        <f t="shared" si="2"/>
        <v> </v>
      </c>
      <c r="E748" s="202" t="str">
        <f t="shared" si="9"/>
        <v> </v>
      </c>
      <c r="F748" s="55" t="str">
        <f t="shared" si="4"/>
        <v/>
      </c>
      <c r="G748" s="202" t="str">
        <f t="shared" si="5"/>
        <v/>
      </c>
      <c r="H748" s="202" t="str">
        <f t="shared" si="11"/>
        <v> </v>
      </c>
      <c r="I748" s="205" t="str">
        <f t="shared" si="7"/>
        <v/>
      </c>
      <c r="J748" s="205"/>
      <c r="K748" s="205"/>
    </row>
    <row r="749" ht="14.25" customHeight="1">
      <c r="A749" s="55">
        <v>46404.0</v>
      </c>
      <c r="B749" s="55" t="str">
        <f t="shared" si="10"/>
        <v>Primer dia</v>
      </c>
      <c r="C749" s="202">
        <f t="shared" si="1"/>
        <v>17</v>
      </c>
      <c r="D749" s="202" t="str">
        <f t="shared" si="2"/>
        <v> </v>
      </c>
      <c r="E749" s="202">
        <f t="shared" si="9"/>
        <v>17</v>
      </c>
      <c r="F749" s="55">
        <f t="shared" si="4"/>
        <v>46404</v>
      </c>
      <c r="G749" s="202">
        <f t="shared" si="5"/>
        <v>24</v>
      </c>
      <c r="H749" s="202" t="str">
        <f t="shared" si="11"/>
        <v> </v>
      </c>
      <c r="I749" s="205" t="str">
        <f t="shared" si="7"/>
        <v/>
      </c>
      <c r="J749" s="205"/>
      <c r="K749" s="205"/>
    </row>
    <row r="750" ht="14.25" customHeight="1">
      <c r="A750" s="55">
        <v>46405.0</v>
      </c>
      <c r="B750" s="55" t="str">
        <f t="shared" si="10"/>
        <v>Primer dia</v>
      </c>
      <c r="C750" s="202">
        <f t="shared" si="1"/>
        <v>18</v>
      </c>
      <c r="D750" s="202" t="str">
        <f t="shared" si="2"/>
        <v> </v>
      </c>
      <c r="E750" s="202" t="str">
        <f t="shared" si="9"/>
        <v> </v>
      </c>
      <c r="F750" s="55" t="str">
        <f t="shared" si="4"/>
        <v/>
      </c>
      <c r="G750" s="202" t="str">
        <f t="shared" si="5"/>
        <v/>
      </c>
      <c r="H750" s="202" t="str">
        <f t="shared" si="11"/>
        <v> </v>
      </c>
      <c r="I750" s="205" t="str">
        <f t="shared" si="7"/>
        <v/>
      </c>
      <c r="J750" s="205"/>
      <c r="K750" s="205"/>
    </row>
    <row r="751" ht="14.25" customHeight="1">
      <c r="A751" s="55">
        <v>46406.0</v>
      </c>
      <c r="B751" s="55" t="str">
        <f t="shared" si="10"/>
        <v>Primer dia</v>
      </c>
      <c r="C751" s="202">
        <f t="shared" si="1"/>
        <v>19</v>
      </c>
      <c r="D751" s="202" t="str">
        <f t="shared" si="2"/>
        <v> </v>
      </c>
      <c r="E751" s="202" t="str">
        <f t="shared" si="9"/>
        <v> </v>
      </c>
      <c r="F751" s="55" t="str">
        <f t="shared" si="4"/>
        <v/>
      </c>
      <c r="G751" s="202" t="str">
        <f t="shared" si="5"/>
        <v/>
      </c>
      <c r="H751" s="202" t="str">
        <f t="shared" si="11"/>
        <v> </v>
      </c>
      <c r="I751" s="205" t="str">
        <f t="shared" si="7"/>
        <v/>
      </c>
      <c r="J751" s="205"/>
      <c r="K751" s="205"/>
    </row>
    <row r="752" ht="14.25" customHeight="1">
      <c r="A752" s="55">
        <v>46407.0</v>
      </c>
      <c r="B752" s="55" t="str">
        <f t="shared" si="10"/>
        <v>Primer dia</v>
      </c>
      <c r="C752" s="202">
        <f t="shared" si="1"/>
        <v>20</v>
      </c>
      <c r="D752" s="202" t="str">
        <f t="shared" si="2"/>
        <v> </v>
      </c>
      <c r="E752" s="202" t="str">
        <f t="shared" si="9"/>
        <v> </v>
      </c>
      <c r="F752" s="55" t="str">
        <f t="shared" si="4"/>
        <v/>
      </c>
      <c r="G752" s="202" t="str">
        <f t="shared" si="5"/>
        <v/>
      </c>
      <c r="H752" s="202" t="str">
        <f t="shared" si="11"/>
        <v> </v>
      </c>
      <c r="I752" s="205" t="str">
        <f t="shared" si="7"/>
        <v/>
      </c>
      <c r="J752" s="205"/>
      <c r="K752" s="205"/>
    </row>
    <row r="753" ht="14.25" customHeight="1">
      <c r="A753" s="55">
        <v>46408.0</v>
      </c>
      <c r="B753" s="55" t="str">
        <f t="shared" si="10"/>
        <v>Primer dia</v>
      </c>
      <c r="C753" s="202">
        <f t="shared" si="1"/>
        <v>21</v>
      </c>
      <c r="D753" s="202" t="str">
        <f t="shared" si="2"/>
        <v> </v>
      </c>
      <c r="E753" s="202" t="str">
        <f t="shared" si="9"/>
        <v> </v>
      </c>
      <c r="F753" s="55" t="str">
        <f t="shared" si="4"/>
        <v/>
      </c>
      <c r="G753" s="202" t="str">
        <f t="shared" si="5"/>
        <v/>
      </c>
      <c r="H753" s="202" t="str">
        <f t="shared" si="11"/>
        <v> </v>
      </c>
      <c r="I753" s="205" t="str">
        <f t="shared" si="7"/>
        <v/>
      </c>
      <c r="J753" s="205"/>
      <c r="K753" s="205"/>
    </row>
    <row r="754" ht="14.25" customHeight="1">
      <c r="A754" s="55">
        <v>46409.0</v>
      </c>
      <c r="B754" s="55" t="str">
        <f t="shared" si="10"/>
        <v>Primer dia</v>
      </c>
      <c r="C754" s="202">
        <f t="shared" si="1"/>
        <v>22</v>
      </c>
      <c r="D754" s="202" t="str">
        <f t="shared" si="2"/>
        <v> </v>
      </c>
      <c r="E754" s="202" t="str">
        <f t="shared" si="9"/>
        <v> </v>
      </c>
      <c r="F754" s="55" t="str">
        <f t="shared" si="4"/>
        <v/>
      </c>
      <c r="G754" s="202" t="str">
        <f t="shared" si="5"/>
        <v/>
      </c>
      <c r="H754" s="202" t="str">
        <f t="shared" si="11"/>
        <v> </v>
      </c>
      <c r="I754" s="205" t="str">
        <f t="shared" si="7"/>
        <v/>
      </c>
      <c r="J754" s="205"/>
      <c r="K754" s="205"/>
    </row>
    <row r="755" ht="14.25" customHeight="1">
      <c r="A755" s="55">
        <v>46410.0</v>
      </c>
      <c r="B755" s="55" t="str">
        <f t="shared" si="10"/>
        <v>Primer dia</v>
      </c>
      <c r="C755" s="202">
        <f t="shared" si="1"/>
        <v>23</v>
      </c>
      <c r="D755" s="202" t="str">
        <f t="shared" si="2"/>
        <v> </v>
      </c>
      <c r="E755" s="202" t="str">
        <f t="shared" si="9"/>
        <v> </v>
      </c>
      <c r="F755" s="55" t="str">
        <f t="shared" si="4"/>
        <v/>
      </c>
      <c r="G755" s="202" t="str">
        <f t="shared" si="5"/>
        <v/>
      </c>
      <c r="H755" s="202" t="str">
        <f t="shared" si="11"/>
        <v> </v>
      </c>
      <c r="I755" s="205" t="str">
        <f t="shared" si="7"/>
        <v/>
      </c>
      <c r="J755" s="205"/>
      <c r="K755" s="205"/>
    </row>
    <row r="756" ht="14.25" customHeight="1">
      <c r="A756" s="55">
        <v>46411.0</v>
      </c>
      <c r="B756" s="55" t="str">
        <f t="shared" si="10"/>
        <v>Primer dia</v>
      </c>
      <c r="C756" s="202">
        <f t="shared" si="1"/>
        <v>24</v>
      </c>
      <c r="D756" s="202" t="str">
        <f t="shared" si="2"/>
        <v> </v>
      </c>
      <c r="E756" s="202" t="str">
        <f t="shared" si="9"/>
        <v> </v>
      </c>
      <c r="F756" s="55" t="str">
        <f t="shared" si="4"/>
        <v/>
      </c>
      <c r="G756" s="202" t="str">
        <f t="shared" si="5"/>
        <v/>
      </c>
      <c r="H756" s="202" t="str">
        <f t="shared" si="11"/>
        <v> </v>
      </c>
      <c r="I756" s="205" t="str">
        <f t="shared" si="7"/>
        <v/>
      </c>
      <c r="J756" s="205"/>
      <c r="K756" s="205"/>
    </row>
    <row r="757" ht="14.25" customHeight="1">
      <c r="A757" s="55">
        <v>46412.0</v>
      </c>
      <c r="B757" s="55" t="str">
        <f t="shared" si="10"/>
        <v>Primer dia</v>
      </c>
      <c r="C757" s="202">
        <f t="shared" si="1"/>
        <v>25</v>
      </c>
      <c r="D757" s="202" t="str">
        <f t="shared" si="2"/>
        <v> </v>
      </c>
      <c r="E757" s="202" t="str">
        <f t="shared" si="9"/>
        <v> </v>
      </c>
      <c r="F757" s="55" t="str">
        <f t="shared" si="4"/>
        <v/>
      </c>
      <c r="G757" s="202" t="str">
        <f t="shared" si="5"/>
        <v/>
      </c>
      <c r="H757" s="202" t="str">
        <f t="shared" si="11"/>
        <v> </v>
      </c>
      <c r="I757" s="205" t="str">
        <f t="shared" si="7"/>
        <v/>
      </c>
      <c r="J757" s="205"/>
      <c r="K757" s="205"/>
    </row>
    <row r="758" ht="14.25" customHeight="1">
      <c r="A758" s="55">
        <v>46413.0</v>
      </c>
      <c r="B758" s="55" t="str">
        <f t="shared" si="10"/>
        <v>Primer dia</v>
      </c>
      <c r="C758" s="202">
        <f t="shared" si="1"/>
        <v>26</v>
      </c>
      <c r="D758" s="202" t="str">
        <f t="shared" si="2"/>
        <v> </v>
      </c>
      <c r="E758" s="202" t="str">
        <f t="shared" si="9"/>
        <v> </v>
      </c>
      <c r="F758" s="55" t="str">
        <f t="shared" si="4"/>
        <v/>
      </c>
      <c r="G758" s="202" t="str">
        <f t="shared" si="5"/>
        <v/>
      </c>
      <c r="H758" s="202" t="str">
        <f t="shared" si="11"/>
        <v> </v>
      </c>
      <c r="I758" s="205" t="str">
        <f t="shared" si="7"/>
        <v/>
      </c>
      <c r="J758" s="205"/>
      <c r="K758" s="205"/>
    </row>
    <row r="759" ht="14.25" customHeight="1">
      <c r="A759" s="55">
        <v>46414.0</v>
      </c>
      <c r="B759" s="55" t="str">
        <f t="shared" si="10"/>
        <v>Primer dia</v>
      </c>
      <c r="C759" s="202">
        <f t="shared" si="1"/>
        <v>27</v>
      </c>
      <c r="D759" s="202" t="str">
        <f t="shared" si="2"/>
        <v> </v>
      </c>
      <c r="E759" s="202" t="str">
        <f t="shared" si="9"/>
        <v> </v>
      </c>
      <c r="F759" s="55" t="str">
        <f t="shared" si="4"/>
        <v/>
      </c>
      <c r="G759" s="202" t="str">
        <f t="shared" si="5"/>
        <v/>
      </c>
      <c r="H759" s="202" t="str">
        <f t="shared" si="11"/>
        <v> </v>
      </c>
      <c r="I759" s="205" t="str">
        <f t="shared" si="7"/>
        <v/>
      </c>
      <c r="J759" s="205"/>
      <c r="K759" s="205"/>
    </row>
    <row r="760" ht="14.25" customHeight="1">
      <c r="A760" s="55">
        <v>46415.0</v>
      </c>
      <c r="B760" s="55" t="str">
        <f t="shared" si="10"/>
        <v>Primer dia</v>
      </c>
      <c r="C760" s="202">
        <f t="shared" si="1"/>
        <v>28</v>
      </c>
      <c r="D760" s="202" t="str">
        <f t="shared" si="2"/>
        <v> </v>
      </c>
      <c r="E760" s="202" t="str">
        <f t="shared" si="9"/>
        <v> </v>
      </c>
      <c r="F760" s="55" t="str">
        <f t="shared" si="4"/>
        <v/>
      </c>
      <c r="G760" s="202" t="str">
        <f t="shared" si="5"/>
        <v/>
      </c>
      <c r="H760" s="202" t="str">
        <f t="shared" si="11"/>
        <v> </v>
      </c>
      <c r="I760" s="205" t="str">
        <f t="shared" si="7"/>
        <v/>
      </c>
      <c r="J760" s="205"/>
      <c r="K760" s="205"/>
    </row>
    <row r="761" ht="14.25" customHeight="1">
      <c r="A761" s="55">
        <v>46416.0</v>
      </c>
      <c r="B761" s="55" t="str">
        <f t="shared" si="10"/>
        <v>Primer dia</v>
      </c>
      <c r="C761" s="202">
        <f t="shared" si="1"/>
        <v>29</v>
      </c>
      <c r="D761" s="202" t="str">
        <f t="shared" si="2"/>
        <v> </v>
      </c>
      <c r="E761" s="202" t="str">
        <f t="shared" si="9"/>
        <v> </v>
      </c>
      <c r="F761" s="55" t="str">
        <f t="shared" si="4"/>
        <v/>
      </c>
      <c r="G761" s="202" t="str">
        <f t="shared" si="5"/>
        <v/>
      </c>
      <c r="H761" s="202" t="str">
        <f t="shared" si="11"/>
        <v> </v>
      </c>
      <c r="I761" s="205" t="str">
        <f t="shared" si="7"/>
        <v/>
      </c>
      <c r="J761" s="205"/>
      <c r="K761" s="205"/>
    </row>
    <row r="762" ht="14.25" customHeight="1">
      <c r="A762" s="55">
        <v>46417.0</v>
      </c>
      <c r="B762" s="55" t="str">
        <f t="shared" si="10"/>
        <v>Primer dia</v>
      </c>
      <c r="C762" s="202">
        <f t="shared" si="1"/>
        <v>30</v>
      </c>
      <c r="D762" s="202" t="str">
        <f t="shared" si="2"/>
        <v> </v>
      </c>
      <c r="E762" s="202" t="str">
        <f t="shared" si="9"/>
        <v> </v>
      </c>
      <c r="F762" s="55" t="str">
        <f t="shared" si="4"/>
        <v/>
      </c>
      <c r="G762" s="202" t="str">
        <f t="shared" si="5"/>
        <v/>
      </c>
      <c r="H762" s="202" t="str">
        <f t="shared" si="11"/>
        <v> </v>
      </c>
      <c r="I762" s="205" t="str">
        <f t="shared" si="7"/>
        <v/>
      </c>
      <c r="J762" s="205"/>
      <c r="K762" s="205"/>
    </row>
    <row r="763" ht="14.25" customHeight="1">
      <c r="A763" s="55">
        <v>46418.0</v>
      </c>
      <c r="B763" s="55" t="str">
        <f t="shared" si="10"/>
        <v>Primer dia</v>
      </c>
      <c r="C763" s="202">
        <f t="shared" si="1"/>
        <v>31</v>
      </c>
      <c r="D763" s="202" t="str">
        <f t="shared" si="2"/>
        <v> </v>
      </c>
      <c r="E763" s="202" t="str">
        <f t="shared" si="9"/>
        <v> </v>
      </c>
      <c r="F763" s="55" t="str">
        <f t="shared" si="4"/>
        <v/>
      </c>
      <c r="G763" s="202" t="str">
        <f t="shared" si="5"/>
        <v/>
      </c>
      <c r="H763" s="202" t="str">
        <f t="shared" si="11"/>
        <v> </v>
      </c>
      <c r="I763" s="205" t="str">
        <f t="shared" si="7"/>
        <v/>
      </c>
      <c r="J763" s="205"/>
      <c r="K763" s="205"/>
    </row>
    <row r="764" ht="14.25" customHeight="1">
      <c r="A764" s="55">
        <v>46419.0</v>
      </c>
      <c r="B764" s="55" t="str">
        <f t="shared" si="10"/>
        <v>Primer dia</v>
      </c>
      <c r="C764" s="202">
        <f t="shared" si="1"/>
        <v>1</v>
      </c>
      <c r="D764" s="202" t="str">
        <f t="shared" si="2"/>
        <v> </v>
      </c>
      <c r="E764" s="202" t="str">
        <f t="shared" si="9"/>
        <v> </v>
      </c>
      <c r="F764" s="55" t="str">
        <f t="shared" si="4"/>
        <v/>
      </c>
      <c r="G764" s="202" t="str">
        <f t="shared" si="5"/>
        <v/>
      </c>
      <c r="H764" s="202" t="str">
        <f t="shared" si="11"/>
        <v> </v>
      </c>
      <c r="I764" s="205" t="str">
        <f t="shared" si="7"/>
        <v/>
      </c>
      <c r="J764" s="205"/>
      <c r="K764" s="205"/>
    </row>
    <row r="765" ht="14.25" customHeight="1">
      <c r="A765" s="55">
        <v>46420.0</v>
      </c>
      <c r="B765" s="55" t="str">
        <f t="shared" si="10"/>
        <v>Primer dia</v>
      </c>
      <c r="C765" s="202">
        <f t="shared" si="1"/>
        <v>2</v>
      </c>
      <c r="D765" s="202" t="str">
        <f t="shared" si="2"/>
        <v> </v>
      </c>
      <c r="E765" s="202">
        <f t="shared" si="9"/>
        <v>2</v>
      </c>
      <c r="F765" s="55">
        <f t="shared" si="4"/>
        <v>46420</v>
      </c>
      <c r="G765" s="202">
        <f t="shared" si="5"/>
        <v>25</v>
      </c>
      <c r="H765" s="202" t="str">
        <f t="shared" si="11"/>
        <v> </v>
      </c>
      <c r="I765" s="205" t="str">
        <f t="shared" si="7"/>
        <v/>
      </c>
      <c r="J765" s="205"/>
      <c r="K765" s="205"/>
    </row>
    <row r="766" ht="14.25" customHeight="1">
      <c r="A766" s="55">
        <v>46421.0</v>
      </c>
      <c r="B766" s="55" t="str">
        <f t="shared" si="10"/>
        <v>Primer dia</v>
      </c>
      <c r="C766" s="202">
        <f t="shared" si="1"/>
        <v>3</v>
      </c>
      <c r="D766" s="202" t="str">
        <f t="shared" si="2"/>
        <v> </v>
      </c>
      <c r="E766" s="202" t="str">
        <f t="shared" si="9"/>
        <v> </v>
      </c>
      <c r="F766" s="55" t="str">
        <f t="shared" si="4"/>
        <v/>
      </c>
      <c r="G766" s="202" t="str">
        <f t="shared" si="5"/>
        <v/>
      </c>
      <c r="H766" s="202" t="str">
        <f t="shared" si="11"/>
        <v> </v>
      </c>
      <c r="I766" s="205" t="str">
        <f t="shared" si="7"/>
        <v/>
      </c>
      <c r="J766" s="205"/>
      <c r="K766" s="205"/>
    </row>
    <row r="767" ht="14.25" customHeight="1">
      <c r="A767" s="55">
        <v>46422.0</v>
      </c>
      <c r="B767" s="55" t="str">
        <f t="shared" si="10"/>
        <v>Primer dia</v>
      </c>
      <c r="C767" s="202">
        <f t="shared" si="1"/>
        <v>4</v>
      </c>
      <c r="D767" s="202" t="str">
        <f t="shared" si="2"/>
        <v> </v>
      </c>
      <c r="E767" s="202" t="str">
        <f t="shared" si="9"/>
        <v> </v>
      </c>
      <c r="F767" s="55" t="str">
        <f t="shared" si="4"/>
        <v/>
      </c>
      <c r="G767" s="202" t="str">
        <f t="shared" si="5"/>
        <v/>
      </c>
      <c r="H767" s="202" t="str">
        <f t="shared" si="11"/>
        <v> </v>
      </c>
      <c r="I767" s="205" t="str">
        <f t="shared" si="7"/>
        <v/>
      </c>
      <c r="J767" s="205"/>
      <c r="K767" s="205"/>
    </row>
    <row r="768" ht="14.25" customHeight="1">
      <c r="A768" s="55">
        <v>46423.0</v>
      </c>
      <c r="B768" s="55" t="str">
        <f t="shared" si="10"/>
        <v>Primer dia</v>
      </c>
      <c r="C768" s="202">
        <f t="shared" si="1"/>
        <v>5</v>
      </c>
      <c r="D768" s="202" t="str">
        <f t="shared" si="2"/>
        <v> </v>
      </c>
      <c r="E768" s="202" t="str">
        <f t="shared" si="9"/>
        <v> </v>
      </c>
      <c r="F768" s="55" t="str">
        <f t="shared" si="4"/>
        <v/>
      </c>
      <c r="G768" s="202" t="str">
        <f t="shared" si="5"/>
        <v/>
      </c>
      <c r="H768" s="202" t="str">
        <f t="shared" si="11"/>
        <v> </v>
      </c>
      <c r="I768" s="205" t="str">
        <f t="shared" si="7"/>
        <v/>
      </c>
      <c r="J768" s="205"/>
      <c r="K768" s="205"/>
    </row>
    <row r="769" ht="14.25" customHeight="1">
      <c r="A769" s="55">
        <v>46424.0</v>
      </c>
      <c r="B769" s="55" t="str">
        <f t="shared" si="10"/>
        <v>Primer dia</v>
      </c>
      <c r="C769" s="202">
        <f t="shared" si="1"/>
        <v>6</v>
      </c>
      <c r="D769" s="202" t="str">
        <f t="shared" si="2"/>
        <v> </v>
      </c>
      <c r="E769" s="202" t="str">
        <f t="shared" si="9"/>
        <v> </v>
      </c>
      <c r="F769" s="55" t="str">
        <f t="shared" si="4"/>
        <v/>
      </c>
      <c r="G769" s="202" t="str">
        <f t="shared" si="5"/>
        <v/>
      </c>
      <c r="H769" s="202" t="str">
        <f t="shared" si="11"/>
        <v> </v>
      </c>
      <c r="I769" s="205" t="str">
        <f t="shared" si="7"/>
        <v/>
      </c>
      <c r="J769" s="205"/>
      <c r="K769" s="205"/>
    </row>
    <row r="770" ht="14.25" customHeight="1">
      <c r="A770" s="55">
        <v>46425.0</v>
      </c>
      <c r="B770" s="55" t="str">
        <f t="shared" si="10"/>
        <v>Primer dia</v>
      </c>
      <c r="C770" s="202">
        <f t="shared" si="1"/>
        <v>7</v>
      </c>
      <c r="D770" s="202" t="str">
        <f t="shared" si="2"/>
        <v> </v>
      </c>
      <c r="E770" s="202" t="str">
        <f t="shared" si="9"/>
        <v> </v>
      </c>
      <c r="F770" s="55" t="str">
        <f t="shared" si="4"/>
        <v/>
      </c>
      <c r="G770" s="202" t="str">
        <f t="shared" si="5"/>
        <v/>
      </c>
      <c r="H770" s="202" t="str">
        <f t="shared" si="11"/>
        <v> </v>
      </c>
      <c r="I770" s="205" t="str">
        <f t="shared" si="7"/>
        <v/>
      </c>
      <c r="J770" s="205"/>
      <c r="K770" s="205"/>
    </row>
    <row r="771" ht="14.25" customHeight="1">
      <c r="A771" s="55">
        <v>46426.0</v>
      </c>
      <c r="B771" s="55" t="str">
        <f t="shared" si="10"/>
        <v>Primer dia</v>
      </c>
      <c r="C771" s="202">
        <f t="shared" si="1"/>
        <v>8</v>
      </c>
      <c r="D771" s="202" t="str">
        <f t="shared" si="2"/>
        <v> </v>
      </c>
      <c r="E771" s="202" t="str">
        <f t="shared" si="9"/>
        <v> </v>
      </c>
      <c r="F771" s="55" t="str">
        <f t="shared" si="4"/>
        <v/>
      </c>
      <c r="G771" s="202" t="str">
        <f t="shared" si="5"/>
        <v/>
      </c>
      <c r="H771" s="202" t="str">
        <f t="shared" si="11"/>
        <v> </v>
      </c>
      <c r="I771" s="205" t="str">
        <f t="shared" si="7"/>
        <v/>
      </c>
      <c r="J771" s="205"/>
      <c r="K771" s="205"/>
    </row>
    <row r="772" ht="14.25" customHeight="1">
      <c r="A772" s="55">
        <v>46427.0</v>
      </c>
      <c r="B772" s="55" t="str">
        <f t="shared" si="10"/>
        <v>Primer dia</v>
      </c>
      <c r="C772" s="202">
        <f t="shared" si="1"/>
        <v>9</v>
      </c>
      <c r="D772" s="202" t="str">
        <f t="shared" si="2"/>
        <v> </v>
      </c>
      <c r="E772" s="202" t="str">
        <f t="shared" si="9"/>
        <v> </v>
      </c>
      <c r="F772" s="55" t="str">
        <f t="shared" si="4"/>
        <v/>
      </c>
      <c r="G772" s="202" t="str">
        <f t="shared" si="5"/>
        <v/>
      </c>
      <c r="H772" s="202" t="str">
        <f t="shared" si="11"/>
        <v> </v>
      </c>
      <c r="I772" s="205" t="str">
        <f t="shared" si="7"/>
        <v/>
      </c>
      <c r="J772" s="205"/>
      <c r="K772" s="205"/>
    </row>
    <row r="773" ht="14.25" customHeight="1">
      <c r="A773" s="55">
        <v>46428.0</v>
      </c>
      <c r="B773" s="55" t="str">
        <f t="shared" si="10"/>
        <v>Primer dia</v>
      </c>
      <c r="C773" s="202">
        <f t="shared" si="1"/>
        <v>10</v>
      </c>
      <c r="D773" s="202" t="str">
        <f t="shared" si="2"/>
        <v> </v>
      </c>
      <c r="E773" s="202" t="str">
        <f t="shared" si="9"/>
        <v> </v>
      </c>
      <c r="F773" s="55" t="str">
        <f t="shared" si="4"/>
        <v/>
      </c>
      <c r="G773" s="202" t="str">
        <f t="shared" si="5"/>
        <v/>
      </c>
      <c r="H773" s="202" t="str">
        <f t="shared" si="11"/>
        <v> </v>
      </c>
      <c r="I773" s="205" t="str">
        <f t="shared" si="7"/>
        <v/>
      </c>
      <c r="J773" s="205"/>
      <c r="K773" s="205"/>
    </row>
    <row r="774" ht="14.25" customHeight="1">
      <c r="A774" s="55">
        <v>46429.0</v>
      </c>
      <c r="B774" s="55" t="str">
        <f t="shared" si="10"/>
        <v>Primer dia</v>
      </c>
      <c r="C774" s="202">
        <f t="shared" si="1"/>
        <v>11</v>
      </c>
      <c r="D774" s="202" t="str">
        <f t="shared" si="2"/>
        <v> </v>
      </c>
      <c r="E774" s="202" t="str">
        <f t="shared" si="9"/>
        <v> </v>
      </c>
      <c r="F774" s="55" t="str">
        <f t="shared" si="4"/>
        <v/>
      </c>
      <c r="G774" s="202" t="str">
        <f t="shared" si="5"/>
        <v/>
      </c>
      <c r="H774" s="202" t="str">
        <f t="shared" si="11"/>
        <v> </v>
      </c>
      <c r="I774" s="205" t="str">
        <f t="shared" si="7"/>
        <v/>
      </c>
      <c r="J774" s="205"/>
      <c r="K774" s="205"/>
    </row>
    <row r="775" ht="14.25" customHeight="1">
      <c r="A775" s="55">
        <v>46430.0</v>
      </c>
      <c r="B775" s="55" t="str">
        <f t="shared" si="10"/>
        <v>Primer dia</v>
      </c>
      <c r="C775" s="202">
        <f t="shared" si="1"/>
        <v>12</v>
      </c>
      <c r="D775" s="202" t="str">
        <f t="shared" si="2"/>
        <v> </v>
      </c>
      <c r="E775" s="202" t="str">
        <f t="shared" si="9"/>
        <v> </v>
      </c>
      <c r="F775" s="55" t="str">
        <f t="shared" si="4"/>
        <v/>
      </c>
      <c r="G775" s="202" t="str">
        <f t="shared" si="5"/>
        <v/>
      </c>
      <c r="H775" s="202" t="str">
        <f t="shared" si="11"/>
        <v> </v>
      </c>
      <c r="I775" s="205" t="str">
        <f t="shared" si="7"/>
        <v/>
      </c>
      <c r="J775" s="205"/>
      <c r="K775" s="205"/>
    </row>
    <row r="776" ht="14.25" customHeight="1">
      <c r="A776" s="55">
        <v>46431.0</v>
      </c>
      <c r="B776" s="55" t="str">
        <f t="shared" si="10"/>
        <v>Primer dia</v>
      </c>
      <c r="C776" s="202">
        <f t="shared" si="1"/>
        <v>13</v>
      </c>
      <c r="D776" s="202" t="str">
        <f t="shared" si="2"/>
        <v> </v>
      </c>
      <c r="E776" s="202" t="str">
        <f t="shared" si="9"/>
        <v> </v>
      </c>
      <c r="F776" s="55" t="str">
        <f t="shared" si="4"/>
        <v/>
      </c>
      <c r="G776" s="202" t="str">
        <f t="shared" si="5"/>
        <v/>
      </c>
      <c r="H776" s="202" t="str">
        <f t="shared" si="11"/>
        <v> </v>
      </c>
      <c r="I776" s="205" t="str">
        <f t="shared" si="7"/>
        <v/>
      </c>
      <c r="J776" s="205"/>
      <c r="K776" s="205"/>
    </row>
    <row r="777" ht="14.25" customHeight="1">
      <c r="A777" s="55">
        <v>46432.0</v>
      </c>
      <c r="B777" s="55" t="str">
        <f t="shared" si="10"/>
        <v>Primer dia</v>
      </c>
      <c r="C777" s="202">
        <f t="shared" si="1"/>
        <v>14</v>
      </c>
      <c r="D777" s="202" t="str">
        <f t="shared" si="2"/>
        <v> </v>
      </c>
      <c r="E777" s="202" t="str">
        <f t="shared" si="9"/>
        <v> </v>
      </c>
      <c r="F777" s="55" t="str">
        <f t="shared" si="4"/>
        <v/>
      </c>
      <c r="G777" s="202" t="str">
        <f t="shared" si="5"/>
        <v/>
      </c>
      <c r="H777" s="202" t="str">
        <f t="shared" si="11"/>
        <v> </v>
      </c>
      <c r="I777" s="205" t="str">
        <f t="shared" si="7"/>
        <v/>
      </c>
      <c r="J777" s="205"/>
      <c r="K777" s="205"/>
    </row>
    <row r="778" ht="14.25" customHeight="1">
      <c r="A778" s="55">
        <v>46433.0</v>
      </c>
      <c r="B778" s="55" t="str">
        <f t="shared" si="10"/>
        <v>Primer dia</v>
      </c>
      <c r="C778" s="202">
        <f t="shared" si="1"/>
        <v>15</v>
      </c>
      <c r="D778" s="202" t="str">
        <f t="shared" si="2"/>
        <v> </v>
      </c>
      <c r="E778" s="202" t="str">
        <f t="shared" si="9"/>
        <v> </v>
      </c>
      <c r="F778" s="55" t="str">
        <f t="shared" si="4"/>
        <v/>
      </c>
      <c r="G778" s="202" t="str">
        <f t="shared" si="5"/>
        <v/>
      </c>
      <c r="H778" s="202" t="str">
        <f t="shared" si="11"/>
        <v> </v>
      </c>
      <c r="I778" s="205" t="str">
        <f t="shared" si="7"/>
        <v/>
      </c>
      <c r="J778" s="205"/>
      <c r="K778" s="205"/>
    </row>
    <row r="779" ht="14.25" customHeight="1">
      <c r="A779" s="55">
        <v>46434.0</v>
      </c>
      <c r="B779" s="55" t="str">
        <f t="shared" si="10"/>
        <v>Primer dia</v>
      </c>
      <c r="C779" s="202">
        <f t="shared" si="1"/>
        <v>16</v>
      </c>
      <c r="D779" s="202" t="str">
        <f t="shared" si="2"/>
        <v> </v>
      </c>
      <c r="E779" s="202" t="str">
        <f t="shared" si="9"/>
        <v> </v>
      </c>
      <c r="F779" s="55" t="str">
        <f t="shared" si="4"/>
        <v/>
      </c>
      <c r="G779" s="202" t="str">
        <f t="shared" si="5"/>
        <v/>
      </c>
      <c r="H779" s="202" t="str">
        <f t="shared" si="11"/>
        <v> </v>
      </c>
      <c r="I779" s="205" t="str">
        <f t="shared" si="7"/>
        <v/>
      </c>
      <c r="J779" s="205"/>
      <c r="K779" s="205"/>
    </row>
    <row r="780" ht="14.25" customHeight="1">
      <c r="A780" s="55">
        <v>46435.0</v>
      </c>
      <c r="B780" s="55" t="str">
        <f t="shared" si="10"/>
        <v>Primer dia</v>
      </c>
      <c r="C780" s="202">
        <f t="shared" si="1"/>
        <v>17</v>
      </c>
      <c r="D780" s="202" t="str">
        <f t="shared" si="2"/>
        <v> </v>
      </c>
      <c r="E780" s="202">
        <f t="shared" si="9"/>
        <v>17</v>
      </c>
      <c r="F780" s="55">
        <f t="shared" si="4"/>
        <v>46435</v>
      </c>
      <c r="G780" s="202">
        <f t="shared" si="5"/>
        <v>26</v>
      </c>
      <c r="H780" s="202" t="str">
        <f t="shared" si="11"/>
        <v> </v>
      </c>
      <c r="I780" s="205" t="str">
        <f t="shared" si="7"/>
        <v/>
      </c>
      <c r="J780" s="205"/>
      <c r="K780" s="205"/>
    </row>
    <row r="781" ht="14.25" customHeight="1">
      <c r="A781" s="55">
        <v>46436.0</v>
      </c>
      <c r="B781" s="55" t="str">
        <f t="shared" si="10"/>
        <v>Primer dia</v>
      </c>
      <c r="C781" s="202">
        <f t="shared" si="1"/>
        <v>18</v>
      </c>
      <c r="D781" s="202" t="str">
        <f t="shared" si="2"/>
        <v> </v>
      </c>
      <c r="E781" s="202" t="str">
        <f t="shared" si="9"/>
        <v> </v>
      </c>
      <c r="F781" s="55" t="str">
        <f t="shared" si="4"/>
        <v/>
      </c>
      <c r="G781" s="202" t="str">
        <f t="shared" si="5"/>
        <v/>
      </c>
      <c r="H781" s="202" t="str">
        <f t="shared" si="11"/>
        <v> </v>
      </c>
      <c r="I781" s="205" t="str">
        <f t="shared" si="7"/>
        <v/>
      </c>
      <c r="J781" s="205"/>
      <c r="K781" s="205"/>
    </row>
    <row r="782" ht="14.25" customHeight="1">
      <c r="A782" s="55">
        <v>46437.0</v>
      </c>
      <c r="B782" s="55" t="str">
        <f t="shared" si="10"/>
        <v>Primer dia</v>
      </c>
      <c r="C782" s="202">
        <f t="shared" si="1"/>
        <v>19</v>
      </c>
      <c r="D782" s="202" t="str">
        <f t="shared" si="2"/>
        <v> </v>
      </c>
      <c r="E782" s="202" t="str">
        <f t="shared" si="9"/>
        <v> </v>
      </c>
      <c r="F782" s="55" t="str">
        <f t="shared" si="4"/>
        <v/>
      </c>
      <c r="G782" s="202" t="str">
        <f t="shared" si="5"/>
        <v/>
      </c>
      <c r="H782" s="202" t="str">
        <f t="shared" si="11"/>
        <v> </v>
      </c>
      <c r="I782" s="205" t="str">
        <f t="shared" si="7"/>
        <v/>
      </c>
      <c r="J782" s="205"/>
      <c r="K782" s="205"/>
    </row>
    <row r="783" ht="14.25" customHeight="1">
      <c r="A783" s="55">
        <v>46438.0</v>
      </c>
      <c r="B783" s="55" t="str">
        <f t="shared" si="10"/>
        <v>Primer dia</v>
      </c>
      <c r="C783" s="202">
        <f t="shared" si="1"/>
        <v>20</v>
      </c>
      <c r="D783" s="202" t="str">
        <f t="shared" si="2"/>
        <v> </v>
      </c>
      <c r="E783" s="202" t="str">
        <f t="shared" si="9"/>
        <v> </v>
      </c>
      <c r="F783" s="55" t="str">
        <f t="shared" si="4"/>
        <v/>
      </c>
      <c r="G783" s="202" t="str">
        <f t="shared" si="5"/>
        <v/>
      </c>
      <c r="H783" s="202" t="str">
        <f t="shared" si="11"/>
        <v> </v>
      </c>
      <c r="I783" s="205" t="str">
        <f t="shared" si="7"/>
        <v/>
      </c>
      <c r="J783" s="205"/>
      <c r="K783" s="205"/>
    </row>
    <row r="784" ht="14.25" customHeight="1">
      <c r="A784" s="55">
        <v>46439.0</v>
      </c>
      <c r="B784" s="55" t="str">
        <f t="shared" si="10"/>
        <v>Primer dia</v>
      </c>
      <c r="C784" s="202">
        <f t="shared" si="1"/>
        <v>21</v>
      </c>
      <c r="D784" s="202" t="str">
        <f t="shared" si="2"/>
        <v> </v>
      </c>
      <c r="E784" s="202" t="str">
        <f t="shared" si="9"/>
        <v> </v>
      </c>
      <c r="F784" s="55" t="str">
        <f t="shared" si="4"/>
        <v/>
      </c>
      <c r="G784" s="202" t="str">
        <f t="shared" si="5"/>
        <v/>
      </c>
      <c r="H784" s="202" t="str">
        <f t="shared" si="11"/>
        <v> </v>
      </c>
      <c r="I784" s="205" t="str">
        <f t="shared" si="7"/>
        <v/>
      </c>
      <c r="J784" s="205"/>
      <c r="K784" s="205"/>
    </row>
    <row r="785" ht="14.25" customHeight="1">
      <c r="A785" s="55">
        <v>46440.0</v>
      </c>
      <c r="B785" s="55" t="str">
        <f t="shared" si="10"/>
        <v>Primer dia</v>
      </c>
      <c r="C785" s="202">
        <f t="shared" si="1"/>
        <v>22</v>
      </c>
      <c r="D785" s="202" t="str">
        <f t="shared" si="2"/>
        <v> </v>
      </c>
      <c r="E785" s="202" t="str">
        <f t="shared" si="9"/>
        <v> </v>
      </c>
      <c r="F785" s="55" t="str">
        <f t="shared" si="4"/>
        <v/>
      </c>
      <c r="G785" s="202" t="str">
        <f t="shared" si="5"/>
        <v/>
      </c>
      <c r="H785" s="202" t="str">
        <f t="shared" si="11"/>
        <v> </v>
      </c>
      <c r="I785" s="205" t="str">
        <f t="shared" si="7"/>
        <v/>
      </c>
      <c r="J785" s="205"/>
      <c r="K785" s="205"/>
    </row>
    <row r="786" ht="14.25" customHeight="1">
      <c r="A786" s="55">
        <v>46441.0</v>
      </c>
      <c r="B786" s="55" t="str">
        <f t="shared" si="10"/>
        <v>Primer dia</v>
      </c>
      <c r="C786" s="202">
        <f t="shared" si="1"/>
        <v>23</v>
      </c>
      <c r="D786" s="202" t="str">
        <f t="shared" si="2"/>
        <v> </v>
      </c>
      <c r="E786" s="202" t="str">
        <f t="shared" si="9"/>
        <v> </v>
      </c>
      <c r="F786" s="55" t="str">
        <f t="shared" si="4"/>
        <v/>
      </c>
      <c r="G786" s="202" t="str">
        <f t="shared" si="5"/>
        <v/>
      </c>
      <c r="H786" s="202" t="str">
        <f t="shared" si="11"/>
        <v> </v>
      </c>
      <c r="I786" s="205" t="str">
        <f t="shared" si="7"/>
        <v/>
      </c>
      <c r="J786" s="205"/>
      <c r="K786" s="205"/>
    </row>
    <row r="787" ht="14.25" customHeight="1">
      <c r="A787" s="55">
        <v>46442.0</v>
      </c>
      <c r="B787" s="55" t="str">
        <f t="shared" si="10"/>
        <v>Primer dia</v>
      </c>
      <c r="C787" s="202">
        <f t="shared" si="1"/>
        <v>24</v>
      </c>
      <c r="D787" s="202" t="str">
        <f t="shared" si="2"/>
        <v> </v>
      </c>
      <c r="E787" s="202" t="str">
        <f t="shared" si="9"/>
        <v> </v>
      </c>
      <c r="F787" s="55" t="str">
        <f t="shared" si="4"/>
        <v/>
      </c>
      <c r="G787" s="202" t="str">
        <f t="shared" si="5"/>
        <v/>
      </c>
      <c r="H787" s="202" t="str">
        <f t="shared" si="11"/>
        <v> </v>
      </c>
      <c r="I787" s="205" t="str">
        <f t="shared" si="7"/>
        <v/>
      </c>
      <c r="J787" s="205"/>
      <c r="K787" s="205"/>
    </row>
    <row r="788" ht="14.25" customHeight="1">
      <c r="A788" s="55">
        <v>46443.0</v>
      </c>
      <c r="B788" s="55" t="str">
        <f t="shared" si="10"/>
        <v>Primer dia</v>
      </c>
      <c r="C788" s="202">
        <f t="shared" si="1"/>
        <v>25</v>
      </c>
      <c r="D788" s="202" t="str">
        <f t="shared" si="2"/>
        <v> </v>
      </c>
      <c r="E788" s="202" t="str">
        <f t="shared" si="9"/>
        <v> </v>
      </c>
      <c r="F788" s="55" t="str">
        <f t="shared" si="4"/>
        <v/>
      </c>
      <c r="G788" s="202" t="str">
        <f t="shared" si="5"/>
        <v/>
      </c>
      <c r="H788" s="202" t="str">
        <f t="shared" si="11"/>
        <v> </v>
      </c>
      <c r="I788" s="205" t="str">
        <f t="shared" si="7"/>
        <v/>
      </c>
      <c r="J788" s="205"/>
      <c r="K788" s="205"/>
    </row>
    <row r="789" ht="14.25" customHeight="1">
      <c r="A789" s="55">
        <v>46444.0</v>
      </c>
      <c r="B789" s="55" t="str">
        <f t="shared" si="10"/>
        <v>Primer dia</v>
      </c>
      <c r="C789" s="202">
        <f t="shared" si="1"/>
        <v>26</v>
      </c>
      <c r="D789" s="202" t="str">
        <f t="shared" si="2"/>
        <v> </v>
      </c>
      <c r="E789" s="202" t="str">
        <f t="shared" si="9"/>
        <v> </v>
      </c>
      <c r="F789" s="55" t="str">
        <f t="shared" si="4"/>
        <v/>
      </c>
      <c r="G789" s="202" t="str">
        <f t="shared" si="5"/>
        <v/>
      </c>
      <c r="H789" s="202" t="str">
        <f t="shared" si="11"/>
        <v> </v>
      </c>
      <c r="I789" s="205" t="str">
        <f t="shared" si="7"/>
        <v/>
      </c>
      <c r="J789" s="205"/>
      <c r="K789" s="205"/>
    </row>
    <row r="790" ht="14.25" customHeight="1">
      <c r="A790" s="55">
        <v>46445.0</v>
      </c>
      <c r="B790" s="55" t="str">
        <f t="shared" si="10"/>
        <v>Primer dia</v>
      </c>
      <c r="C790" s="202">
        <f t="shared" si="1"/>
        <v>27</v>
      </c>
      <c r="D790" s="202" t="str">
        <f t="shared" si="2"/>
        <v> </v>
      </c>
      <c r="E790" s="202" t="str">
        <f t="shared" si="9"/>
        <v> </v>
      </c>
      <c r="F790" s="55" t="str">
        <f t="shared" si="4"/>
        <v/>
      </c>
      <c r="G790" s="202" t="str">
        <f t="shared" si="5"/>
        <v/>
      </c>
      <c r="H790" s="202" t="str">
        <f t="shared" si="11"/>
        <v> </v>
      </c>
      <c r="I790" s="205" t="str">
        <f t="shared" si="7"/>
        <v/>
      </c>
      <c r="J790" s="205"/>
      <c r="K790" s="205"/>
    </row>
    <row r="791" ht="14.25" customHeight="1">
      <c r="A791" s="55">
        <v>46446.0</v>
      </c>
      <c r="B791" s="55" t="str">
        <f t="shared" si="10"/>
        <v>Primer dia</v>
      </c>
      <c r="C791" s="202">
        <f t="shared" si="1"/>
        <v>28</v>
      </c>
      <c r="D791" s="202" t="str">
        <f t="shared" si="2"/>
        <v> </v>
      </c>
      <c r="E791" s="202" t="str">
        <f t="shared" si="9"/>
        <v> </v>
      </c>
      <c r="F791" s="55" t="str">
        <f t="shared" si="4"/>
        <v/>
      </c>
      <c r="G791" s="202" t="str">
        <f t="shared" si="5"/>
        <v/>
      </c>
      <c r="H791" s="202" t="str">
        <f t="shared" si="11"/>
        <v> </v>
      </c>
      <c r="I791" s="205" t="str">
        <f t="shared" si="7"/>
        <v/>
      </c>
      <c r="J791" s="205"/>
      <c r="K791" s="205"/>
    </row>
    <row r="792" ht="14.25" customHeight="1">
      <c r="A792" s="55">
        <v>46447.0</v>
      </c>
      <c r="B792" s="55" t="str">
        <f t="shared" si="10"/>
        <v>Primer dia</v>
      </c>
      <c r="C792" s="202">
        <f t="shared" si="1"/>
        <v>1</v>
      </c>
      <c r="D792" s="202" t="str">
        <f t="shared" si="2"/>
        <v> </v>
      </c>
      <c r="E792" s="202" t="str">
        <f t="shared" si="9"/>
        <v> </v>
      </c>
      <c r="F792" s="55" t="str">
        <f t="shared" si="4"/>
        <v/>
      </c>
      <c r="G792" s="202" t="str">
        <f t="shared" si="5"/>
        <v/>
      </c>
      <c r="H792" s="202" t="str">
        <f t="shared" si="11"/>
        <v> </v>
      </c>
      <c r="I792" s="205" t="str">
        <f t="shared" si="7"/>
        <v/>
      </c>
      <c r="J792" s="205"/>
      <c r="K792" s="205"/>
    </row>
    <row r="793" ht="14.25" customHeight="1">
      <c r="A793" s="55">
        <v>46448.0</v>
      </c>
      <c r="B793" s="55" t="str">
        <f t="shared" si="10"/>
        <v>Primer dia</v>
      </c>
      <c r="C793" s="202">
        <f t="shared" si="1"/>
        <v>2</v>
      </c>
      <c r="D793" s="202" t="str">
        <f t="shared" si="2"/>
        <v> </v>
      </c>
      <c r="E793" s="202">
        <f t="shared" si="9"/>
        <v>2</v>
      </c>
      <c r="F793" s="55">
        <f t="shared" si="4"/>
        <v>46448</v>
      </c>
      <c r="G793" s="202">
        <f t="shared" si="5"/>
        <v>27</v>
      </c>
      <c r="H793" s="202" t="str">
        <f t="shared" si="11"/>
        <v> </v>
      </c>
      <c r="I793" s="205" t="str">
        <f t="shared" si="7"/>
        <v/>
      </c>
      <c r="J793" s="205"/>
      <c r="K793" s="205"/>
    </row>
    <row r="794" ht="14.25" customHeight="1">
      <c r="A794" s="55">
        <v>46449.0</v>
      </c>
      <c r="B794" s="55" t="str">
        <f t="shared" si="10"/>
        <v>Primer dia</v>
      </c>
      <c r="C794" s="202">
        <f t="shared" si="1"/>
        <v>3</v>
      </c>
      <c r="D794" s="202" t="str">
        <f t="shared" si="2"/>
        <v> </v>
      </c>
      <c r="E794" s="202" t="str">
        <f t="shared" si="9"/>
        <v> </v>
      </c>
      <c r="F794" s="55" t="str">
        <f t="shared" si="4"/>
        <v/>
      </c>
      <c r="G794" s="202" t="str">
        <f t="shared" si="5"/>
        <v/>
      </c>
      <c r="H794" s="202" t="str">
        <f t="shared" si="11"/>
        <v> </v>
      </c>
      <c r="I794" s="205" t="str">
        <f t="shared" si="7"/>
        <v/>
      </c>
      <c r="J794" s="205"/>
      <c r="K794" s="205"/>
    </row>
    <row r="795" ht="14.25" customHeight="1">
      <c r="A795" s="55">
        <v>46450.0</v>
      </c>
      <c r="B795" s="55" t="str">
        <f t="shared" si="10"/>
        <v>Primer dia</v>
      </c>
      <c r="C795" s="202">
        <f t="shared" si="1"/>
        <v>4</v>
      </c>
      <c r="D795" s="202" t="str">
        <f t="shared" si="2"/>
        <v> </v>
      </c>
      <c r="E795" s="202" t="str">
        <f t="shared" si="9"/>
        <v> </v>
      </c>
      <c r="F795" s="55" t="str">
        <f t="shared" si="4"/>
        <v/>
      </c>
      <c r="G795" s="202" t="str">
        <f t="shared" si="5"/>
        <v/>
      </c>
      <c r="H795" s="202" t="str">
        <f t="shared" si="11"/>
        <v> </v>
      </c>
      <c r="I795" s="205" t="str">
        <f t="shared" si="7"/>
        <v/>
      </c>
      <c r="J795" s="205"/>
      <c r="K795" s="205"/>
    </row>
    <row r="796" ht="14.25" customHeight="1">
      <c r="A796" s="55">
        <v>46451.0</v>
      </c>
      <c r="B796" s="55" t="str">
        <f t="shared" si="10"/>
        <v>Primer dia</v>
      </c>
      <c r="C796" s="202">
        <f t="shared" si="1"/>
        <v>5</v>
      </c>
      <c r="D796" s="202" t="str">
        <f t="shared" si="2"/>
        <v> </v>
      </c>
      <c r="E796" s="202" t="str">
        <f t="shared" si="9"/>
        <v> </v>
      </c>
      <c r="F796" s="55" t="str">
        <f t="shared" si="4"/>
        <v/>
      </c>
      <c r="G796" s="202" t="str">
        <f t="shared" si="5"/>
        <v/>
      </c>
      <c r="H796" s="202" t="str">
        <f t="shared" si="11"/>
        <v> </v>
      </c>
      <c r="I796" s="205" t="str">
        <f t="shared" si="7"/>
        <v/>
      </c>
      <c r="J796" s="205"/>
      <c r="K796" s="205"/>
    </row>
    <row r="797" ht="14.25" customHeight="1">
      <c r="A797" s="55">
        <v>46452.0</v>
      </c>
      <c r="B797" s="55" t="str">
        <f t="shared" si="10"/>
        <v>Primer dia</v>
      </c>
      <c r="C797" s="202">
        <f t="shared" si="1"/>
        <v>6</v>
      </c>
      <c r="D797" s="202" t="str">
        <f t="shared" si="2"/>
        <v> </v>
      </c>
      <c r="E797" s="202" t="str">
        <f t="shared" si="9"/>
        <v> </v>
      </c>
      <c r="F797" s="55" t="str">
        <f t="shared" si="4"/>
        <v/>
      </c>
      <c r="G797" s="202" t="str">
        <f t="shared" si="5"/>
        <v/>
      </c>
      <c r="H797" s="202" t="str">
        <f t="shared" si="11"/>
        <v> </v>
      </c>
      <c r="I797" s="205" t="str">
        <f t="shared" si="7"/>
        <v/>
      </c>
      <c r="J797" s="205"/>
      <c r="K797" s="205"/>
    </row>
    <row r="798" ht="14.25" customHeight="1">
      <c r="A798" s="55">
        <v>46453.0</v>
      </c>
      <c r="B798" s="55" t="str">
        <f t="shared" si="10"/>
        <v>Primer dia</v>
      </c>
      <c r="C798" s="202">
        <f t="shared" si="1"/>
        <v>7</v>
      </c>
      <c r="D798" s="202" t="str">
        <f t="shared" si="2"/>
        <v> </v>
      </c>
      <c r="E798" s="202" t="str">
        <f t="shared" si="9"/>
        <v> </v>
      </c>
      <c r="F798" s="55" t="str">
        <f t="shared" si="4"/>
        <v/>
      </c>
      <c r="G798" s="202" t="str">
        <f t="shared" si="5"/>
        <v/>
      </c>
      <c r="H798" s="202" t="str">
        <f t="shared" si="11"/>
        <v> </v>
      </c>
      <c r="I798" s="205" t="str">
        <f t="shared" si="7"/>
        <v/>
      </c>
      <c r="J798" s="205"/>
      <c r="K798" s="205"/>
    </row>
    <row r="799" ht="14.25" customHeight="1">
      <c r="A799" s="55">
        <v>46454.0</v>
      </c>
      <c r="B799" s="55" t="str">
        <f t="shared" si="10"/>
        <v>Primer dia</v>
      </c>
      <c r="C799" s="202">
        <f t="shared" si="1"/>
        <v>8</v>
      </c>
      <c r="D799" s="202" t="str">
        <f t="shared" si="2"/>
        <v> </v>
      </c>
      <c r="E799" s="202" t="str">
        <f t="shared" si="9"/>
        <v> </v>
      </c>
      <c r="F799" s="55" t="str">
        <f t="shared" si="4"/>
        <v/>
      </c>
      <c r="G799" s="202" t="str">
        <f t="shared" si="5"/>
        <v/>
      </c>
      <c r="H799" s="202" t="str">
        <f t="shared" si="11"/>
        <v> </v>
      </c>
      <c r="I799" s="205" t="str">
        <f t="shared" si="7"/>
        <v/>
      </c>
      <c r="J799" s="205"/>
      <c r="K799" s="205"/>
    </row>
    <row r="800" ht="14.25" customHeight="1">
      <c r="A800" s="55">
        <v>46455.0</v>
      </c>
      <c r="B800" s="55" t="str">
        <f t="shared" si="10"/>
        <v>Primer dia</v>
      </c>
      <c r="C800" s="202">
        <f t="shared" si="1"/>
        <v>9</v>
      </c>
      <c r="D800" s="202" t="str">
        <f t="shared" si="2"/>
        <v> </v>
      </c>
      <c r="E800" s="202" t="str">
        <f t="shared" si="9"/>
        <v> </v>
      </c>
      <c r="F800" s="55" t="str">
        <f t="shared" si="4"/>
        <v/>
      </c>
      <c r="G800" s="202" t="str">
        <f t="shared" si="5"/>
        <v/>
      </c>
      <c r="H800" s="202" t="str">
        <f t="shared" si="11"/>
        <v> </v>
      </c>
      <c r="I800" s="205" t="str">
        <f t="shared" si="7"/>
        <v/>
      </c>
      <c r="J800" s="205"/>
      <c r="K800" s="205"/>
    </row>
    <row r="801" ht="14.25" customHeight="1">
      <c r="A801" s="55">
        <v>46456.0</v>
      </c>
      <c r="B801" s="55" t="str">
        <f t="shared" si="10"/>
        <v>Primer dia</v>
      </c>
      <c r="C801" s="202">
        <f t="shared" si="1"/>
        <v>10</v>
      </c>
      <c r="D801" s="202" t="str">
        <f t="shared" si="2"/>
        <v> </v>
      </c>
      <c r="E801" s="202" t="str">
        <f t="shared" si="9"/>
        <v> </v>
      </c>
      <c r="F801" s="55" t="str">
        <f t="shared" si="4"/>
        <v/>
      </c>
      <c r="G801" s="202" t="str">
        <f t="shared" si="5"/>
        <v/>
      </c>
      <c r="H801" s="202" t="str">
        <f t="shared" si="11"/>
        <v> </v>
      </c>
      <c r="I801" s="205" t="str">
        <f t="shared" si="7"/>
        <v/>
      </c>
      <c r="J801" s="205"/>
      <c r="K801" s="205"/>
    </row>
    <row r="802" ht="14.25" customHeight="1">
      <c r="A802" s="55">
        <v>46457.0</v>
      </c>
      <c r="B802" s="55" t="str">
        <f t="shared" si="10"/>
        <v>Primer dia</v>
      </c>
      <c r="C802" s="202">
        <f t="shared" si="1"/>
        <v>11</v>
      </c>
      <c r="D802" s="202" t="str">
        <f t="shared" si="2"/>
        <v> </v>
      </c>
      <c r="E802" s="202" t="str">
        <f t="shared" si="9"/>
        <v> </v>
      </c>
      <c r="F802" s="55" t="str">
        <f t="shared" si="4"/>
        <v/>
      </c>
      <c r="G802" s="202" t="str">
        <f t="shared" si="5"/>
        <v/>
      </c>
      <c r="H802" s="202" t="str">
        <f t="shared" si="11"/>
        <v> </v>
      </c>
      <c r="I802" s="205" t="str">
        <f t="shared" si="7"/>
        <v/>
      </c>
      <c r="J802" s="205"/>
      <c r="K802" s="205"/>
    </row>
    <row r="803" ht="14.25" customHeight="1">
      <c r="A803" s="55">
        <v>46458.0</v>
      </c>
      <c r="B803" s="55" t="str">
        <f t="shared" si="10"/>
        <v>Primer dia</v>
      </c>
      <c r="C803" s="202">
        <f t="shared" si="1"/>
        <v>12</v>
      </c>
      <c r="D803" s="202" t="str">
        <f t="shared" si="2"/>
        <v> </v>
      </c>
      <c r="E803" s="202" t="str">
        <f t="shared" si="9"/>
        <v> </v>
      </c>
      <c r="F803" s="55" t="str">
        <f t="shared" si="4"/>
        <v/>
      </c>
      <c r="G803" s="202" t="str">
        <f t="shared" si="5"/>
        <v/>
      </c>
      <c r="H803" s="202" t="str">
        <f t="shared" si="11"/>
        <v> </v>
      </c>
      <c r="I803" s="205" t="str">
        <f t="shared" si="7"/>
        <v/>
      </c>
      <c r="J803" s="205"/>
      <c r="K803" s="205"/>
    </row>
    <row r="804" ht="14.25" customHeight="1">
      <c r="A804" s="55">
        <v>46459.0</v>
      </c>
      <c r="B804" s="55" t="str">
        <f t="shared" si="10"/>
        <v>Primer dia</v>
      </c>
      <c r="C804" s="202">
        <f t="shared" si="1"/>
        <v>13</v>
      </c>
      <c r="D804" s="202" t="str">
        <f t="shared" si="2"/>
        <v> </v>
      </c>
      <c r="E804" s="202" t="str">
        <f t="shared" si="9"/>
        <v> </v>
      </c>
      <c r="F804" s="55" t="str">
        <f t="shared" si="4"/>
        <v/>
      </c>
      <c r="G804" s="202" t="str">
        <f t="shared" si="5"/>
        <v/>
      </c>
      <c r="H804" s="202" t="str">
        <f t="shared" si="11"/>
        <v> </v>
      </c>
      <c r="I804" s="205" t="str">
        <f t="shared" si="7"/>
        <v/>
      </c>
      <c r="J804" s="205"/>
      <c r="K804" s="205"/>
    </row>
    <row r="805" ht="14.25" customHeight="1">
      <c r="A805" s="55">
        <v>46460.0</v>
      </c>
      <c r="B805" s="55" t="str">
        <f t="shared" si="10"/>
        <v>Primer dia</v>
      </c>
      <c r="C805" s="202">
        <f t="shared" si="1"/>
        <v>14</v>
      </c>
      <c r="D805" s="202" t="str">
        <f t="shared" si="2"/>
        <v> </v>
      </c>
      <c r="E805" s="202" t="str">
        <f t="shared" si="9"/>
        <v> </v>
      </c>
      <c r="F805" s="55" t="str">
        <f t="shared" si="4"/>
        <v/>
      </c>
      <c r="G805" s="202" t="str">
        <f t="shared" si="5"/>
        <v/>
      </c>
      <c r="H805" s="202" t="str">
        <f t="shared" si="11"/>
        <v> </v>
      </c>
      <c r="I805" s="205" t="str">
        <f t="shared" si="7"/>
        <v/>
      </c>
      <c r="J805" s="205"/>
      <c r="K805" s="205"/>
    </row>
    <row r="806" ht="14.25" customHeight="1">
      <c r="A806" s="55">
        <v>46461.0</v>
      </c>
      <c r="B806" s="55" t="str">
        <f t="shared" si="10"/>
        <v>Primer dia</v>
      </c>
      <c r="C806" s="202">
        <f t="shared" si="1"/>
        <v>15</v>
      </c>
      <c r="D806" s="202" t="str">
        <f t="shared" si="2"/>
        <v> </v>
      </c>
      <c r="E806" s="202" t="str">
        <f t="shared" si="9"/>
        <v> </v>
      </c>
      <c r="F806" s="55" t="str">
        <f t="shared" si="4"/>
        <v/>
      </c>
      <c r="G806" s="202" t="str">
        <f t="shared" si="5"/>
        <v/>
      </c>
      <c r="H806" s="202" t="str">
        <f t="shared" si="11"/>
        <v> </v>
      </c>
      <c r="I806" s="205" t="str">
        <f t="shared" si="7"/>
        <v/>
      </c>
      <c r="J806" s="205"/>
      <c r="K806" s="205"/>
    </row>
    <row r="807" ht="14.25" customHeight="1">
      <c r="A807" s="55">
        <v>46462.0</v>
      </c>
      <c r="B807" s="55" t="str">
        <f t="shared" si="10"/>
        <v>Primer dia</v>
      </c>
      <c r="C807" s="202">
        <f t="shared" si="1"/>
        <v>16</v>
      </c>
      <c r="D807" s="202" t="str">
        <f t="shared" si="2"/>
        <v> </v>
      </c>
      <c r="E807" s="202" t="str">
        <f t="shared" si="9"/>
        <v> </v>
      </c>
      <c r="F807" s="55" t="str">
        <f t="shared" si="4"/>
        <v/>
      </c>
      <c r="G807" s="202" t="str">
        <f t="shared" si="5"/>
        <v/>
      </c>
      <c r="H807" s="202" t="str">
        <f t="shared" si="11"/>
        <v> </v>
      </c>
      <c r="I807" s="205" t="str">
        <f t="shared" si="7"/>
        <v/>
      </c>
      <c r="J807" s="205"/>
      <c r="K807" s="205"/>
    </row>
    <row r="808" ht="14.25" customHeight="1">
      <c r="A808" s="55">
        <v>46463.0</v>
      </c>
      <c r="B808" s="55" t="str">
        <f t="shared" si="10"/>
        <v>Primer dia</v>
      </c>
      <c r="C808" s="202">
        <f t="shared" si="1"/>
        <v>17</v>
      </c>
      <c r="D808" s="202" t="str">
        <f t="shared" si="2"/>
        <v> </v>
      </c>
      <c r="E808" s="202">
        <f t="shared" si="9"/>
        <v>17</v>
      </c>
      <c r="F808" s="55">
        <f t="shared" si="4"/>
        <v>46463</v>
      </c>
      <c r="G808" s="202">
        <f t="shared" si="5"/>
        <v>28</v>
      </c>
      <c r="H808" s="202" t="str">
        <f t="shared" si="11"/>
        <v> </v>
      </c>
      <c r="I808" s="205" t="str">
        <f t="shared" si="7"/>
        <v/>
      </c>
      <c r="J808" s="205"/>
      <c r="K808" s="205"/>
    </row>
    <row r="809" ht="14.25" customHeight="1">
      <c r="A809" s="55">
        <v>46464.0</v>
      </c>
      <c r="B809" s="55" t="str">
        <f t="shared" si="10"/>
        <v>Primer dia</v>
      </c>
      <c r="C809" s="202">
        <f t="shared" si="1"/>
        <v>18</v>
      </c>
      <c r="D809" s="202" t="str">
        <f t="shared" si="2"/>
        <v> </v>
      </c>
      <c r="E809" s="202" t="str">
        <f t="shared" si="9"/>
        <v> </v>
      </c>
      <c r="F809" s="55" t="str">
        <f t="shared" si="4"/>
        <v/>
      </c>
      <c r="G809" s="202" t="str">
        <f t="shared" si="5"/>
        <v/>
      </c>
      <c r="H809" s="202" t="str">
        <f t="shared" si="11"/>
        <v> </v>
      </c>
      <c r="I809" s="205" t="str">
        <f t="shared" si="7"/>
        <v/>
      </c>
      <c r="J809" s="205"/>
      <c r="K809" s="205"/>
    </row>
    <row r="810" ht="14.25" customHeight="1">
      <c r="A810" s="55">
        <v>46465.0</v>
      </c>
      <c r="B810" s="55" t="str">
        <f t="shared" si="10"/>
        <v>Primer dia</v>
      </c>
      <c r="C810" s="202">
        <f t="shared" si="1"/>
        <v>19</v>
      </c>
      <c r="D810" s="202" t="str">
        <f t="shared" si="2"/>
        <v> </v>
      </c>
      <c r="E810" s="202" t="str">
        <f t="shared" si="9"/>
        <v> </v>
      </c>
      <c r="F810" s="55" t="str">
        <f t="shared" si="4"/>
        <v/>
      </c>
      <c r="G810" s="202" t="str">
        <f t="shared" si="5"/>
        <v/>
      </c>
      <c r="H810" s="202" t="str">
        <f t="shared" si="11"/>
        <v> </v>
      </c>
      <c r="I810" s="205" t="str">
        <f t="shared" si="7"/>
        <v/>
      </c>
      <c r="J810" s="205"/>
      <c r="K810" s="205"/>
    </row>
    <row r="811" ht="14.25" customHeight="1">
      <c r="A811" s="55">
        <v>46466.0</v>
      </c>
      <c r="B811" s="55" t="str">
        <f t="shared" si="10"/>
        <v>Primer dia</v>
      </c>
      <c r="C811" s="202">
        <f t="shared" si="1"/>
        <v>20</v>
      </c>
      <c r="D811" s="202" t="str">
        <f t="shared" si="2"/>
        <v> </v>
      </c>
      <c r="E811" s="202" t="str">
        <f t="shared" si="9"/>
        <v> </v>
      </c>
      <c r="F811" s="55" t="str">
        <f t="shared" si="4"/>
        <v/>
      </c>
      <c r="G811" s="202" t="str">
        <f t="shared" si="5"/>
        <v/>
      </c>
      <c r="H811" s="202" t="str">
        <f t="shared" si="11"/>
        <v> </v>
      </c>
      <c r="I811" s="205" t="str">
        <f t="shared" si="7"/>
        <v/>
      </c>
      <c r="J811" s="205"/>
      <c r="K811" s="205"/>
    </row>
    <row r="812" ht="14.25" customHeight="1">
      <c r="A812" s="55">
        <v>46467.0</v>
      </c>
      <c r="B812" s="55" t="str">
        <f t="shared" si="10"/>
        <v>Primer dia</v>
      </c>
      <c r="C812" s="202">
        <f t="shared" si="1"/>
        <v>21</v>
      </c>
      <c r="D812" s="202" t="str">
        <f t="shared" si="2"/>
        <v> </v>
      </c>
      <c r="E812" s="202" t="str">
        <f t="shared" si="9"/>
        <v> </v>
      </c>
      <c r="F812" s="55" t="str">
        <f t="shared" si="4"/>
        <v/>
      </c>
      <c r="G812" s="202" t="str">
        <f t="shared" si="5"/>
        <v/>
      </c>
      <c r="H812" s="202" t="str">
        <f t="shared" si="11"/>
        <v> </v>
      </c>
      <c r="I812" s="205" t="str">
        <f t="shared" si="7"/>
        <v/>
      </c>
      <c r="J812" s="205"/>
      <c r="K812" s="205"/>
    </row>
    <row r="813" ht="14.25" customHeight="1">
      <c r="A813" s="55">
        <v>46468.0</v>
      </c>
      <c r="B813" s="55" t="str">
        <f t="shared" si="10"/>
        <v>Primer dia</v>
      </c>
      <c r="C813" s="202">
        <f t="shared" si="1"/>
        <v>22</v>
      </c>
      <c r="D813" s="202" t="str">
        <f t="shared" si="2"/>
        <v> </v>
      </c>
      <c r="E813" s="202" t="str">
        <f t="shared" si="9"/>
        <v> </v>
      </c>
      <c r="F813" s="55" t="str">
        <f t="shared" si="4"/>
        <v/>
      </c>
      <c r="G813" s="202" t="str">
        <f t="shared" si="5"/>
        <v/>
      </c>
      <c r="H813" s="202" t="str">
        <f t="shared" si="11"/>
        <v> </v>
      </c>
      <c r="I813" s="205" t="str">
        <f t="shared" si="7"/>
        <v/>
      </c>
      <c r="J813" s="205"/>
      <c r="K813" s="205"/>
    </row>
    <row r="814" ht="14.25" customHeight="1">
      <c r="A814" s="55">
        <v>46469.0</v>
      </c>
      <c r="B814" s="55" t="str">
        <f t="shared" si="10"/>
        <v>Primer dia</v>
      </c>
      <c r="C814" s="202">
        <f t="shared" si="1"/>
        <v>23</v>
      </c>
      <c r="D814" s="202" t="str">
        <f t="shared" si="2"/>
        <v> </v>
      </c>
      <c r="E814" s="202" t="str">
        <f t="shared" si="9"/>
        <v> </v>
      </c>
      <c r="F814" s="55" t="str">
        <f t="shared" si="4"/>
        <v/>
      </c>
      <c r="G814" s="202" t="str">
        <f t="shared" si="5"/>
        <v/>
      </c>
      <c r="H814" s="202" t="str">
        <f t="shared" si="11"/>
        <v> </v>
      </c>
      <c r="I814" s="205" t="str">
        <f t="shared" si="7"/>
        <v/>
      </c>
      <c r="J814" s="205"/>
      <c r="K814" s="205"/>
    </row>
    <row r="815" ht="14.25" customHeight="1">
      <c r="A815" s="55">
        <v>46470.0</v>
      </c>
      <c r="B815" s="55" t="str">
        <f t="shared" si="10"/>
        <v>Primer dia</v>
      </c>
      <c r="C815" s="202">
        <f t="shared" si="1"/>
        <v>24</v>
      </c>
      <c r="D815" s="202" t="str">
        <f t="shared" si="2"/>
        <v> </v>
      </c>
      <c r="E815" s="202" t="str">
        <f t="shared" si="9"/>
        <v> </v>
      </c>
      <c r="F815" s="55" t="str">
        <f t="shared" si="4"/>
        <v/>
      </c>
      <c r="G815" s="202" t="str">
        <f t="shared" si="5"/>
        <v/>
      </c>
      <c r="H815" s="202" t="str">
        <f t="shared" si="11"/>
        <v> </v>
      </c>
      <c r="I815" s="205" t="str">
        <f t="shared" si="7"/>
        <v/>
      </c>
      <c r="J815" s="205"/>
      <c r="K815" s="205"/>
    </row>
    <row r="816" ht="14.25" customHeight="1">
      <c r="A816" s="55">
        <v>46471.0</v>
      </c>
      <c r="B816" s="55" t="str">
        <f t="shared" si="10"/>
        <v>Primer dia</v>
      </c>
      <c r="C816" s="202">
        <f t="shared" si="1"/>
        <v>25</v>
      </c>
      <c r="D816" s="202" t="str">
        <f t="shared" si="2"/>
        <v> </v>
      </c>
      <c r="E816" s="202" t="str">
        <f t="shared" si="9"/>
        <v> </v>
      </c>
      <c r="F816" s="55" t="str">
        <f t="shared" si="4"/>
        <v/>
      </c>
      <c r="G816" s="202" t="str">
        <f t="shared" si="5"/>
        <v/>
      </c>
      <c r="H816" s="202" t="str">
        <f t="shared" si="11"/>
        <v> </v>
      </c>
      <c r="I816" s="205" t="str">
        <f t="shared" si="7"/>
        <v/>
      </c>
      <c r="J816" s="205"/>
      <c r="K816" s="205"/>
    </row>
    <row r="817" ht="14.25" customHeight="1">
      <c r="A817" s="55">
        <v>46472.0</v>
      </c>
      <c r="B817" s="55" t="str">
        <f t="shared" si="10"/>
        <v>Primer dia</v>
      </c>
      <c r="C817" s="202">
        <f t="shared" si="1"/>
        <v>26</v>
      </c>
      <c r="D817" s="202" t="str">
        <f t="shared" si="2"/>
        <v> </v>
      </c>
      <c r="E817" s="202" t="str">
        <f t="shared" si="9"/>
        <v> </v>
      </c>
      <c r="F817" s="55" t="str">
        <f t="shared" si="4"/>
        <v/>
      </c>
      <c r="G817" s="202" t="str">
        <f t="shared" si="5"/>
        <v/>
      </c>
      <c r="H817" s="202" t="str">
        <f t="shared" si="11"/>
        <v> </v>
      </c>
      <c r="I817" s="205" t="str">
        <f t="shared" si="7"/>
        <v/>
      </c>
      <c r="J817" s="205"/>
      <c r="K817" s="205"/>
    </row>
    <row r="818" ht="14.25" customHeight="1">
      <c r="A818" s="55">
        <v>46473.0</v>
      </c>
      <c r="B818" s="55" t="str">
        <f t="shared" si="10"/>
        <v>Primer dia</v>
      </c>
      <c r="C818" s="202">
        <f t="shared" si="1"/>
        <v>27</v>
      </c>
      <c r="D818" s="202" t="str">
        <f t="shared" si="2"/>
        <v> </v>
      </c>
      <c r="E818" s="202" t="str">
        <f t="shared" si="9"/>
        <v> </v>
      </c>
      <c r="F818" s="55" t="str">
        <f t="shared" si="4"/>
        <v/>
      </c>
      <c r="G818" s="202" t="str">
        <f t="shared" si="5"/>
        <v/>
      </c>
      <c r="H818" s="202" t="str">
        <f t="shared" si="11"/>
        <v> </v>
      </c>
      <c r="I818" s="205" t="str">
        <f t="shared" si="7"/>
        <v/>
      </c>
      <c r="J818" s="205"/>
      <c r="K818" s="205"/>
    </row>
    <row r="819" ht="14.25" customHeight="1">
      <c r="A819" s="55">
        <v>46474.0</v>
      </c>
      <c r="B819" s="55" t="str">
        <f t="shared" si="10"/>
        <v>Primer dia</v>
      </c>
      <c r="C819" s="202">
        <f t="shared" si="1"/>
        <v>28</v>
      </c>
      <c r="D819" s="202" t="str">
        <f t="shared" si="2"/>
        <v> </v>
      </c>
      <c r="E819" s="202" t="str">
        <f t="shared" si="9"/>
        <v> </v>
      </c>
      <c r="F819" s="55" t="str">
        <f t="shared" si="4"/>
        <v/>
      </c>
      <c r="G819" s="202" t="str">
        <f t="shared" si="5"/>
        <v/>
      </c>
      <c r="H819" s="202" t="str">
        <f t="shared" si="11"/>
        <v> </v>
      </c>
      <c r="I819" s="205" t="str">
        <f t="shared" si="7"/>
        <v/>
      </c>
      <c r="J819" s="205"/>
      <c r="K819" s="205"/>
    </row>
    <row r="820" ht="14.25" customHeight="1">
      <c r="A820" s="55">
        <v>46475.0</v>
      </c>
      <c r="B820" s="55" t="str">
        <f t="shared" si="10"/>
        <v>Primer dia</v>
      </c>
      <c r="C820" s="202">
        <f t="shared" si="1"/>
        <v>29</v>
      </c>
      <c r="D820" s="202" t="str">
        <f t="shared" si="2"/>
        <v> </v>
      </c>
      <c r="E820" s="202" t="str">
        <f t="shared" si="9"/>
        <v> </v>
      </c>
      <c r="F820" s="55" t="str">
        <f t="shared" si="4"/>
        <v/>
      </c>
      <c r="G820" s="202" t="str">
        <f t="shared" si="5"/>
        <v/>
      </c>
      <c r="H820" s="202" t="str">
        <f t="shared" si="11"/>
        <v> </v>
      </c>
      <c r="I820" s="205" t="str">
        <f t="shared" si="7"/>
        <v/>
      </c>
      <c r="J820" s="205"/>
      <c r="K820" s="205"/>
    </row>
    <row r="821" ht="14.25" customHeight="1">
      <c r="A821" s="55">
        <v>46476.0</v>
      </c>
      <c r="B821" s="55" t="str">
        <f t="shared" si="10"/>
        <v>Primer dia</v>
      </c>
      <c r="C821" s="202">
        <f t="shared" si="1"/>
        <v>30</v>
      </c>
      <c r="D821" s="202" t="str">
        <f t="shared" si="2"/>
        <v> </v>
      </c>
      <c r="E821" s="202" t="str">
        <f t="shared" si="9"/>
        <v> </v>
      </c>
      <c r="F821" s="55" t="str">
        <f t="shared" si="4"/>
        <v/>
      </c>
      <c r="G821" s="202" t="str">
        <f t="shared" si="5"/>
        <v/>
      </c>
      <c r="H821" s="202" t="str">
        <f t="shared" si="11"/>
        <v> </v>
      </c>
      <c r="I821" s="205" t="str">
        <f t="shared" si="7"/>
        <v/>
      </c>
      <c r="J821" s="205"/>
      <c r="K821" s="205"/>
    </row>
    <row r="822" ht="14.25" customHeight="1">
      <c r="A822" s="55">
        <v>46477.0</v>
      </c>
      <c r="B822" s="55" t="str">
        <f t="shared" si="10"/>
        <v>Primer dia</v>
      </c>
      <c r="C822" s="202">
        <f t="shared" si="1"/>
        <v>31</v>
      </c>
      <c r="D822" s="202" t="str">
        <f t="shared" si="2"/>
        <v> </v>
      </c>
      <c r="E822" s="202" t="str">
        <f t="shared" si="9"/>
        <v> </v>
      </c>
      <c r="F822" s="55" t="str">
        <f t="shared" si="4"/>
        <v/>
      </c>
      <c r="G822" s="202" t="str">
        <f t="shared" si="5"/>
        <v/>
      </c>
      <c r="H822" s="202" t="str">
        <f t="shared" si="11"/>
        <v> </v>
      </c>
      <c r="I822" s="205" t="str">
        <f t="shared" si="7"/>
        <v/>
      </c>
      <c r="J822" s="205"/>
      <c r="K822" s="205"/>
    </row>
    <row r="823" ht="14.25" customHeight="1">
      <c r="A823" s="55">
        <v>46478.0</v>
      </c>
      <c r="B823" s="55" t="str">
        <f t="shared" si="10"/>
        <v>Primer dia</v>
      </c>
      <c r="C823" s="202">
        <f t="shared" si="1"/>
        <v>1</v>
      </c>
      <c r="D823" s="202" t="str">
        <f t="shared" si="2"/>
        <v> </v>
      </c>
      <c r="E823" s="202" t="str">
        <f t="shared" si="9"/>
        <v> </v>
      </c>
      <c r="F823" s="55" t="str">
        <f t="shared" si="4"/>
        <v/>
      </c>
      <c r="G823" s="202" t="str">
        <f t="shared" si="5"/>
        <v/>
      </c>
      <c r="H823" s="202" t="str">
        <f t="shared" si="11"/>
        <v> </v>
      </c>
      <c r="I823" s="205" t="str">
        <f t="shared" si="7"/>
        <v/>
      </c>
      <c r="J823" s="205"/>
      <c r="K823" s="205"/>
    </row>
    <row r="824" ht="14.25" customHeight="1">
      <c r="A824" s="55">
        <v>46479.0</v>
      </c>
      <c r="B824" s="55" t="str">
        <f t="shared" si="10"/>
        <v>Primer dia</v>
      </c>
      <c r="C824" s="202">
        <f t="shared" si="1"/>
        <v>2</v>
      </c>
      <c r="D824" s="202" t="str">
        <f t="shared" si="2"/>
        <v> </v>
      </c>
      <c r="E824" s="202">
        <f t="shared" si="9"/>
        <v>2</v>
      </c>
      <c r="F824" s="55">
        <f t="shared" si="4"/>
        <v>46479</v>
      </c>
      <c r="G824" s="202">
        <f t="shared" si="5"/>
        <v>29</v>
      </c>
      <c r="H824" s="202" t="str">
        <f t="shared" si="11"/>
        <v> </v>
      </c>
      <c r="I824" s="205" t="str">
        <f t="shared" si="7"/>
        <v/>
      </c>
      <c r="J824" s="205"/>
      <c r="K824" s="205"/>
    </row>
    <row r="825" ht="14.25" customHeight="1">
      <c r="A825" s="55">
        <v>46480.0</v>
      </c>
      <c r="B825" s="55" t="str">
        <f t="shared" si="10"/>
        <v>Primer dia</v>
      </c>
      <c r="C825" s="202">
        <f t="shared" si="1"/>
        <v>3</v>
      </c>
      <c r="D825" s="202" t="str">
        <f t="shared" si="2"/>
        <v> </v>
      </c>
      <c r="E825" s="202" t="str">
        <f t="shared" si="9"/>
        <v> </v>
      </c>
      <c r="F825" s="55" t="str">
        <f t="shared" si="4"/>
        <v/>
      </c>
      <c r="G825" s="202" t="str">
        <f t="shared" si="5"/>
        <v/>
      </c>
      <c r="H825" s="202" t="str">
        <f t="shared" si="11"/>
        <v> </v>
      </c>
      <c r="I825" s="205" t="str">
        <f t="shared" si="7"/>
        <v/>
      </c>
      <c r="J825" s="205"/>
      <c r="K825" s="205"/>
    </row>
    <row r="826" ht="14.25" customHeight="1">
      <c r="A826" s="55">
        <v>46481.0</v>
      </c>
      <c r="B826" s="55" t="str">
        <f t="shared" si="10"/>
        <v>Primer dia</v>
      </c>
      <c r="C826" s="202">
        <f t="shared" si="1"/>
        <v>4</v>
      </c>
      <c r="D826" s="202" t="str">
        <f t="shared" si="2"/>
        <v> </v>
      </c>
      <c r="E826" s="202" t="str">
        <f t="shared" si="9"/>
        <v> </v>
      </c>
      <c r="F826" s="55" t="str">
        <f t="shared" si="4"/>
        <v/>
      </c>
      <c r="G826" s="202" t="str">
        <f t="shared" si="5"/>
        <v/>
      </c>
      <c r="H826" s="202" t="str">
        <f t="shared" si="11"/>
        <v> </v>
      </c>
      <c r="I826" s="205" t="str">
        <f t="shared" si="7"/>
        <v/>
      </c>
      <c r="J826" s="205"/>
      <c r="K826" s="205"/>
    </row>
    <row r="827" ht="14.25" customHeight="1">
      <c r="A827" s="55">
        <v>46482.0</v>
      </c>
      <c r="B827" s="55" t="str">
        <f t="shared" si="10"/>
        <v>Primer dia</v>
      </c>
      <c r="C827" s="202">
        <f t="shared" si="1"/>
        <v>5</v>
      </c>
      <c r="D827" s="202" t="str">
        <f t="shared" si="2"/>
        <v> </v>
      </c>
      <c r="E827" s="202" t="str">
        <f t="shared" si="9"/>
        <v> </v>
      </c>
      <c r="F827" s="55" t="str">
        <f t="shared" si="4"/>
        <v/>
      </c>
      <c r="G827" s="202" t="str">
        <f t="shared" si="5"/>
        <v/>
      </c>
      <c r="H827" s="202" t="str">
        <f t="shared" si="11"/>
        <v> </v>
      </c>
      <c r="I827" s="205" t="str">
        <f t="shared" si="7"/>
        <v/>
      </c>
      <c r="J827" s="205"/>
      <c r="K827" s="205"/>
    </row>
    <row r="828" ht="14.25" customHeight="1">
      <c r="A828" s="55">
        <v>46483.0</v>
      </c>
      <c r="B828" s="55" t="str">
        <f t="shared" si="10"/>
        <v>Primer dia</v>
      </c>
      <c r="C828" s="202">
        <f t="shared" si="1"/>
        <v>6</v>
      </c>
      <c r="D828" s="202" t="str">
        <f t="shared" si="2"/>
        <v> </v>
      </c>
      <c r="E828" s="202" t="str">
        <f t="shared" si="9"/>
        <v> </v>
      </c>
      <c r="F828" s="55" t="str">
        <f t="shared" si="4"/>
        <v/>
      </c>
      <c r="G828" s="202" t="str">
        <f t="shared" si="5"/>
        <v/>
      </c>
      <c r="H828" s="202" t="str">
        <f t="shared" si="11"/>
        <v> </v>
      </c>
      <c r="I828" s="205" t="str">
        <f t="shared" si="7"/>
        <v/>
      </c>
      <c r="J828" s="205"/>
      <c r="K828" s="205"/>
    </row>
    <row r="829" ht="14.25" customHeight="1">
      <c r="A829" s="55">
        <v>46484.0</v>
      </c>
      <c r="B829" s="55" t="str">
        <f t="shared" si="10"/>
        <v>Primer dia</v>
      </c>
      <c r="C829" s="202">
        <f t="shared" si="1"/>
        <v>7</v>
      </c>
      <c r="D829" s="202" t="str">
        <f t="shared" si="2"/>
        <v> </v>
      </c>
      <c r="E829" s="202" t="str">
        <f t="shared" si="9"/>
        <v> </v>
      </c>
      <c r="F829" s="55" t="str">
        <f t="shared" si="4"/>
        <v/>
      </c>
      <c r="G829" s="202" t="str">
        <f t="shared" si="5"/>
        <v/>
      </c>
      <c r="H829" s="202" t="str">
        <f t="shared" si="11"/>
        <v> </v>
      </c>
      <c r="I829" s="205" t="str">
        <f t="shared" si="7"/>
        <v/>
      </c>
      <c r="J829" s="205"/>
      <c r="K829" s="205"/>
    </row>
    <row r="830" ht="14.25" customHeight="1">
      <c r="A830" s="55">
        <v>46485.0</v>
      </c>
      <c r="B830" s="55" t="str">
        <f t="shared" si="10"/>
        <v>Primer dia</v>
      </c>
      <c r="C830" s="202">
        <f t="shared" si="1"/>
        <v>8</v>
      </c>
      <c r="D830" s="202" t="str">
        <f t="shared" si="2"/>
        <v> </v>
      </c>
      <c r="E830" s="202" t="str">
        <f t="shared" si="9"/>
        <v> </v>
      </c>
      <c r="F830" s="55" t="str">
        <f t="shared" si="4"/>
        <v/>
      </c>
      <c r="G830" s="202" t="str">
        <f t="shared" si="5"/>
        <v/>
      </c>
      <c r="H830" s="202" t="str">
        <f t="shared" si="11"/>
        <v> </v>
      </c>
      <c r="I830" s="205" t="str">
        <f t="shared" si="7"/>
        <v/>
      </c>
      <c r="J830" s="205"/>
      <c r="K830" s="205"/>
    </row>
    <row r="831" ht="14.25" customHeight="1">
      <c r="A831" s="55">
        <v>46486.0</v>
      </c>
      <c r="B831" s="55" t="str">
        <f t="shared" si="10"/>
        <v>Primer dia</v>
      </c>
      <c r="C831" s="202">
        <f t="shared" si="1"/>
        <v>9</v>
      </c>
      <c r="D831" s="202" t="str">
        <f t="shared" si="2"/>
        <v> </v>
      </c>
      <c r="E831" s="202" t="str">
        <f t="shared" si="9"/>
        <v> </v>
      </c>
      <c r="F831" s="55" t="str">
        <f t="shared" si="4"/>
        <v/>
      </c>
      <c r="G831" s="202" t="str">
        <f t="shared" si="5"/>
        <v/>
      </c>
      <c r="H831" s="202" t="str">
        <f t="shared" si="11"/>
        <v> </v>
      </c>
      <c r="I831" s="205" t="str">
        <f t="shared" si="7"/>
        <v/>
      </c>
      <c r="J831" s="205"/>
      <c r="K831" s="205"/>
    </row>
    <row r="832" ht="14.25" customHeight="1">
      <c r="A832" s="55">
        <v>46487.0</v>
      </c>
      <c r="B832" s="55" t="str">
        <f t="shared" si="10"/>
        <v>Primer dia</v>
      </c>
      <c r="C832" s="202">
        <f t="shared" si="1"/>
        <v>10</v>
      </c>
      <c r="D832" s="202" t="str">
        <f t="shared" si="2"/>
        <v> </v>
      </c>
      <c r="E832" s="202" t="str">
        <f t="shared" si="9"/>
        <v> </v>
      </c>
      <c r="F832" s="55" t="str">
        <f t="shared" si="4"/>
        <v/>
      </c>
      <c r="G832" s="202" t="str">
        <f t="shared" si="5"/>
        <v/>
      </c>
      <c r="H832" s="202" t="str">
        <f t="shared" si="11"/>
        <v> </v>
      </c>
      <c r="I832" s="205" t="str">
        <f t="shared" si="7"/>
        <v/>
      </c>
      <c r="J832" s="205"/>
      <c r="K832" s="205"/>
    </row>
    <row r="833" ht="14.25" customHeight="1">
      <c r="A833" s="55">
        <v>46488.0</v>
      </c>
      <c r="B833" s="55" t="str">
        <f t="shared" si="10"/>
        <v>Primer dia</v>
      </c>
      <c r="C833" s="202">
        <f t="shared" si="1"/>
        <v>11</v>
      </c>
      <c r="D833" s="202" t="str">
        <f t="shared" si="2"/>
        <v> </v>
      </c>
      <c r="E833" s="202" t="str">
        <f t="shared" si="9"/>
        <v> </v>
      </c>
      <c r="F833" s="55" t="str">
        <f t="shared" si="4"/>
        <v/>
      </c>
      <c r="G833" s="202" t="str">
        <f t="shared" si="5"/>
        <v/>
      </c>
      <c r="H833" s="202" t="str">
        <f t="shared" si="11"/>
        <v> </v>
      </c>
      <c r="I833" s="205" t="str">
        <f t="shared" si="7"/>
        <v/>
      </c>
      <c r="J833" s="205"/>
      <c r="K833" s="205"/>
    </row>
    <row r="834" ht="14.25" customHeight="1">
      <c r="A834" s="55">
        <v>46489.0</v>
      </c>
      <c r="B834" s="55" t="str">
        <f t="shared" si="10"/>
        <v>Primer dia</v>
      </c>
      <c r="C834" s="202">
        <f t="shared" si="1"/>
        <v>12</v>
      </c>
      <c r="D834" s="202" t="str">
        <f t="shared" si="2"/>
        <v> </v>
      </c>
      <c r="E834" s="202" t="str">
        <f t="shared" si="9"/>
        <v> </v>
      </c>
      <c r="F834" s="55" t="str">
        <f t="shared" si="4"/>
        <v/>
      </c>
      <c r="G834" s="202" t="str">
        <f t="shared" si="5"/>
        <v/>
      </c>
      <c r="H834" s="202" t="str">
        <f t="shared" si="11"/>
        <v> </v>
      </c>
      <c r="I834" s="205" t="str">
        <f t="shared" si="7"/>
        <v/>
      </c>
      <c r="J834" s="205"/>
      <c r="K834" s="205"/>
    </row>
    <row r="835" ht="14.25" customHeight="1">
      <c r="A835" s="55">
        <v>46490.0</v>
      </c>
      <c r="B835" s="55" t="str">
        <f t="shared" si="10"/>
        <v>Primer dia</v>
      </c>
      <c r="C835" s="202">
        <f t="shared" si="1"/>
        <v>13</v>
      </c>
      <c r="D835" s="202" t="str">
        <f t="shared" si="2"/>
        <v> </v>
      </c>
      <c r="E835" s="202" t="str">
        <f t="shared" si="9"/>
        <v> </v>
      </c>
      <c r="F835" s="55" t="str">
        <f t="shared" si="4"/>
        <v/>
      </c>
      <c r="G835" s="202" t="str">
        <f t="shared" si="5"/>
        <v/>
      </c>
      <c r="H835" s="202" t="str">
        <f t="shared" si="11"/>
        <v> </v>
      </c>
      <c r="I835" s="205" t="str">
        <f t="shared" si="7"/>
        <v/>
      </c>
      <c r="J835" s="205"/>
      <c r="K835" s="205"/>
    </row>
    <row r="836" ht="14.25" customHeight="1">
      <c r="A836" s="55">
        <v>46491.0</v>
      </c>
      <c r="B836" s="55" t="str">
        <f t="shared" si="10"/>
        <v>Primer dia</v>
      </c>
      <c r="C836" s="202">
        <f t="shared" si="1"/>
        <v>14</v>
      </c>
      <c r="D836" s="202" t="str">
        <f t="shared" si="2"/>
        <v> </v>
      </c>
      <c r="E836" s="202" t="str">
        <f t="shared" si="9"/>
        <v> </v>
      </c>
      <c r="F836" s="55" t="str">
        <f t="shared" si="4"/>
        <v/>
      </c>
      <c r="G836" s="202" t="str">
        <f t="shared" si="5"/>
        <v/>
      </c>
      <c r="H836" s="202" t="str">
        <f t="shared" si="11"/>
        <v> </v>
      </c>
      <c r="I836" s="205" t="str">
        <f t="shared" si="7"/>
        <v/>
      </c>
      <c r="J836" s="205"/>
      <c r="K836" s="205"/>
    </row>
    <row r="837" ht="14.25" customHeight="1">
      <c r="A837" s="55">
        <v>46492.0</v>
      </c>
      <c r="B837" s="55" t="str">
        <f t="shared" si="10"/>
        <v>Primer dia</v>
      </c>
      <c r="C837" s="202">
        <f t="shared" si="1"/>
        <v>15</v>
      </c>
      <c r="D837" s="202" t="str">
        <f t="shared" si="2"/>
        <v> </v>
      </c>
      <c r="E837" s="202" t="str">
        <f t="shared" si="9"/>
        <v> </v>
      </c>
      <c r="F837" s="55" t="str">
        <f t="shared" si="4"/>
        <v/>
      </c>
      <c r="G837" s="202" t="str">
        <f t="shared" si="5"/>
        <v/>
      </c>
      <c r="H837" s="202" t="str">
        <f t="shared" si="11"/>
        <v> </v>
      </c>
      <c r="I837" s="205" t="str">
        <f t="shared" si="7"/>
        <v/>
      </c>
      <c r="J837" s="205"/>
      <c r="K837" s="205"/>
    </row>
    <row r="838" ht="14.25" customHeight="1">
      <c r="A838" s="55">
        <v>46493.0</v>
      </c>
      <c r="B838" s="55" t="str">
        <f t="shared" si="10"/>
        <v>Primer dia</v>
      </c>
      <c r="C838" s="202">
        <f t="shared" si="1"/>
        <v>16</v>
      </c>
      <c r="D838" s="202" t="str">
        <f t="shared" si="2"/>
        <v> </v>
      </c>
      <c r="E838" s="202" t="str">
        <f t="shared" si="9"/>
        <v> </v>
      </c>
      <c r="F838" s="55" t="str">
        <f t="shared" si="4"/>
        <v/>
      </c>
      <c r="G838" s="202" t="str">
        <f t="shared" si="5"/>
        <v/>
      </c>
      <c r="H838" s="202" t="str">
        <f t="shared" si="11"/>
        <v> </v>
      </c>
      <c r="I838" s="205" t="str">
        <f t="shared" si="7"/>
        <v/>
      </c>
      <c r="J838" s="205"/>
      <c r="K838" s="205"/>
    </row>
    <row r="839" ht="14.25" customHeight="1">
      <c r="A839" s="55">
        <v>46494.0</v>
      </c>
      <c r="B839" s="55" t="str">
        <f t="shared" si="10"/>
        <v>Primer dia</v>
      </c>
      <c r="C839" s="202">
        <f t="shared" si="1"/>
        <v>17</v>
      </c>
      <c r="D839" s="202" t="str">
        <f t="shared" si="2"/>
        <v> </v>
      </c>
      <c r="E839" s="202">
        <f t="shared" si="9"/>
        <v>17</v>
      </c>
      <c r="F839" s="55">
        <f t="shared" si="4"/>
        <v>46494</v>
      </c>
      <c r="G839" s="202">
        <f t="shared" si="5"/>
        <v>30</v>
      </c>
      <c r="H839" s="202" t="str">
        <f t="shared" si="11"/>
        <v> </v>
      </c>
      <c r="I839" s="205" t="str">
        <f t="shared" si="7"/>
        <v/>
      </c>
      <c r="J839" s="205"/>
      <c r="K839" s="205"/>
    </row>
    <row r="840" ht="14.25" customHeight="1">
      <c r="A840" s="55">
        <v>46495.0</v>
      </c>
      <c r="B840" s="55" t="str">
        <f t="shared" si="10"/>
        <v>Primer dia</v>
      </c>
      <c r="C840" s="202">
        <f t="shared" si="1"/>
        <v>18</v>
      </c>
      <c r="D840" s="202" t="str">
        <f t="shared" si="2"/>
        <v> </v>
      </c>
      <c r="E840" s="202" t="str">
        <f t="shared" si="9"/>
        <v> </v>
      </c>
      <c r="F840" s="55" t="str">
        <f t="shared" si="4"/>
        <v/>
      </c>
      <c r="G840" s="202" t="str">
        <f t="shared" si="5"/>
        <v/>
      </c>
      <c r="H840" s="202" t="str">
        <f t="shared" si="11"/>
        <v> </v>
      </c>
      <c r="I840" s="205" t="str">
        <f t="shared" si="7"/>
        <v/>
      </c>
      <c r="J840" s="205"/>
      <c r="K840" s="205"/>
    </row>
    <row r="841" ht="14.25" customHeight="1">
      <c r="A841" s="55">
        <v>46496.0</v>
      </c>
      <c r="B841" s="55" t="str">
        <f t="shared" si="10"/>
        <v>Primer dia</v>
      </c>
      <c r="C841" s="202">
        <f t="shared" si="1"/>
        <v>19</v>
      </c>
      <c r="D841" s="202" t="str">
        <f t="shared" si="2"/>
        <v> </v>
      </c>
      <c r="E841" s="202" t="str">
        <f t="shared" si="9"/>
        <v> </v>
      </c>
      <c r="F841" s="55" t="str">
        <f t="shared" si="4"/>
        <v/>
      </c>
      <c r="G841" s="202" t="str">
        <f t="shared" si="5"/>
        <v/>
      </c>
      <c r="H841" s="202" t="str">
        <f t="shared" si="11"/>
        <v> </v>
      </c>
      <c r="I841" s="205" t="str">
        <f t="shared" si="7"/>
        <v/>
      </c>
      <c r="J841" s="205"/>
      <c r="K841" s="205"/>
    </row>
    <row r="842" ht="14.25" customHeight="1">
      <c r="A842" s="55">
        <v>46497.0</v>
      </c>
      <c r="B842" s="55" t="str">
        <f t="shared" si="10"/>
        <v>Primer dia</v>
      </c>
      <c r="C842" s="202">
        <f t="shared" si="1"/>
        <v>20</v>
      </c>
      <c r="D842" s="202" t="str">
        <f t="shared" si="2"/>
        <v> </v>
      </c>
      <c r="E842" s="202" t="str">
        <f t="shared" si="9"/>
        <v> </v>
      </c>
      <c r="F842" s="55" t="str">
        <f t="shared" si="4"/>
        <v/>
      </c>
      <c r="G842" s="202" t="str">
        <f t="shared" si="5"/>
        <v/>
      </c>
      <c r="H842" s="202" t="str">
        <f t="shared" si="11"/>
        <v> </v>
      </c>
      <c r="I842" s="205" t="str">
        <f t="shared" si="7"/>
        <v/>
      </c>
      <c r="J842" s="205"/>
      <c r="K842" s="205"/>
    </row>
    <row r="843" ht="14.25" customHeight="1">
      <c r="A843" s="55">
        <v>46498.0</v>
      </c>
      <c r="B843" s="55" t="str">
        <f t="shared" si="10"/>
        <v>Primer dia</v>
      </c>
      <c r="C843" s="202">
        <f t="shared" si="1"/>
        <v>21</v>
      </c>
      <c r="D843" s="202" t="str">
        <f t="shared" si="2"/>
        <v> </v>
      </c>
      <c r="E843" s="202" t="str">
        <f t="shared" si="9"/>
        <v> </v>
      </c>
      <c r="F843" s="55" t="str">
        <f t="shared" si="4"/>
        <v/>
      </c>
      <c r="G843" s="202" t="str">
        <f t="shared" si="5"/>
        <v/>
      </c>
      <c r="H843" s="202" t="str">
        <f t="shared" si="11"/>
        <v> </v>
      </c>
      <c r="I843" s="205" t="str">
        <f t="shared" si="7"/>
        <v/>
      </c>
      <c r="J843" s="205"/>
      <c r="K843" s="205"/>
    </row>
    <row r="844" ht="14.25" customHeight="1">
      <c r="A844" s="55">
        <v>46499.0</v>
      </c>
      <c r="B844" s="55" t="str">
        <f t="shared" si="10"/>
        <v>Primer dia</v>
      </c>
      <c r="C844" s="202">
        <f t="shared" si="1"/>
        <v>22</v>
      </c>
      <c r="D844" s="202" t="str">
        <f t="shared" si="2"/>
        <v> </v>
      </c>
      <c r="E844" s="202" t="str">
        <f t="shared" si="9"/>
        <v> </v>
      </c>
      <c r="F844" s="55" t="str">
        <f t="shared" si="4"/>
        <v/>
      </c>
      <c r="G844" s="202" t="str">
        <f t="shared" si="5"/>
        <v/>
      </c>
      <c r="H844" s="202" t="str">
        <f t="shared" si="11"/>
        <v> </v>
      </c>
      <c r="I844" s="205" t="str">
        <f t="shared" si="7"/>
        <v/>
      </c>
      <c r="J844" s="205"/>
      <c r="K844" s="205"/>
    </row>
    <row r="845" ht="14.25" customHeight="1">
      <c r="A845" s="55">
        <v>46500.0</v>
      </c>
      <c r="B845" s="55" t="str">
        <f t="shared" si="10"/>
        <v>Primer dia</v>
      </c>
      <c r="C845" s="202">
        <f t="shared" si="1"/>
        <v>23</v>
      </c>
      <c r="D845" s="202" t="str">
        <f t="shared" si="2"/>
        <v> </v>
      </c>
      <c r="E845" s="202" t="str">
        <f t="shared" si="9"/>
        <v> </v>
      </c>
      <c r="F845" s="55" t="str">
        <f t="shared" si="4"/>
        <v/>
      </c>
      <c r="G845" s="202" t="str">
        <f t="shared" si="5"/>
        <v/>
      </c>
      <c r="H845" s="202" t="str">
        <f t="shared" si="11"/>
        <v> </v>
      </c>
      <c r="I845" s="205" t="str">
        <f t="shared" si="7"/>
        <v/>
      </c>
      <c r="J845" s="205"/>
      <c r="K845" s="205"/>
    </row>
    <row r="846" ht="14.25" customHeight="1">
      <c r="A846" s="55">
        <v>46501.0</v>
      </c>
      <c r="B846" s="55" t="str">
        <f t="shared" si="10"/>
        <v>Primer dia</v>
      </c>
      <c r="C846" s="202">
        <f t="shared" si="1"/>
        <v>24</v>
      </c>
      <c r="D846" s="202" t="str">
        <f t="shared" si="2"/>
        <v> </v>
      </c>
      <c r="E846" s="202" t="str">
        <f t="shared" si="9"/>
        <v> </v>
      </c>
      <c r="F846" s="55" t="str">
        <f t="shared" si="4"/>
        <v/>
      </c>
      <c r="G846" s="202" t="str">
        <f t="shared" si="5"/>
        <v/>
      </c>
      <c r="H846" s="202" t="str">
        <f t="shared" si="11"/>
        <v> </v>
      </c>
      <c r="I846" s="205" t="str">
        <f t="shared" si="7"/>
        <v/>
      </c>
      <c r="J846" s="205"/>
      <c r="K846" s="205"/>
    </row>
    <row r="847" ht="14.25" customHeight="1">
      <c r="A847" s="55">
        <v>46502.0</v>
      </c>
      <c r="B847" s="55" t="str">
        <f t="shared" si="10"/>
        <v>Primer dia</v>
      </c>
      <c r="C847" s="202">
        <f t="shared" si="1"/>
        <v>25</v>
      </c>
      <c r="D847" s="202" t="str">
        <f t="shared" si="2"/>
        <v> </v>
      </c>
      <c r="E847" s="202" t="str">
        <f t="shared" si="9"/>
        <v> </v>
      </c>
      <c r="F847" s="55" t="str">
        <f t="shared" si="4"/>
        <v/>
      </c>
      <c r="G847" s="202" t="str">
        <f t="shared" si="5"/>
        <v/>
      </c>
      <c r="H847" s="202" t="str">
        <f t="shared" si="11"/>
        <v> </v>
      </c>
      <c r="I847" s="205" t="str">
        <f t="shared" si="7"/>
        <v/>
      </c>
      <c r="J847" s="205"/>
      <c r="K847" s="205"/>
    </row>
    <row r="848" ht="14.25" customHeight="1">
      <c r="A848" s="55">
        <v>46503.0</v>
      </c>
      <c r="B848" s="55" t="str">
        <f t="shared" si="10"/>
        <v>Primer dia</v>
      </c>
      <c r="C848" s="202">
        <f t="shared" si="1"/>
        <v>26</v>
      </c>
      <c r="D848" s="202" t="str">
        <f t="shared" si="2"/>
        <v> </v>
      </c>
      <c r="E848" s="202" t="str">
        <f t="shared" si="9"/>
        <v> </v>
      </c>
      <c r="F848" s="55" t="str">
        <f t="shared" si="4"/>
        <v/>
      </c>
      <c r="G848" s="202" t="str">
        <f t="shared" si="5"/>
        <v/>
      </c>
      <c r="H848" s="202" t="str">
        <f t="shared" si="11"/>
        <v> </v>
      </c>
      <c r="I848" s="205" t="str">
        <f t="shared" si="7"/>
        <v/>
      </c>
      <c r="J848" s="205"/>
      <c r="K848" s="205"/>
    </row>
    <row r="849" ht="14.25" customHeight="1">
      <c r="A849" s="55">
        <v>46504.0</v>
      </c>
      <c r="B849" s="55" t="str">
        <f t="shared" si="10"/>
        <v>Primer dia</v>
      </c>
      <c r="C849" s="202">
        <f t="shared" si="1"/>
        <v>27</v>
      </c>
      <c r="D849" s="202" t="str">
        <f t="shared" si="2"/>
        <v> </v>
      </c>
      <c r="E849" s="202" t="str">
        <f t="shared" si="9"/>
        <v> </v>
      </c>
      <c r="F849" s="55" t="str">
        <f t="shared" si="4"/>
        <v/>
      </c>
      <c r="G849" s="202" t="str">
        <f t="shared" si="5"/>
        <v/>
      </c>
      <c r="H849" s="202" t="str">
        <f t="shared" si="11"/>
        <v> </v>
      </c>
      <c r="I849" s="205" t="str">
        <f t="shared" si="7"/>
        <v/>
      </c>
      <c r="J849" s="205"/>
      <c r="K849" s="205"/>
    </row>
    <row r="850" ht="14.25" customHeight="1">
      <c r="A850" s="55">
        <v>46505.0</v>
      </c>
      <c r="B850" s="55" t="str">
        <f t="shared" si="10"/>
        <v>Primer dia</v>
      </c>
      <c r="C850" s="202">
        <f t="shared" si="1"/>
        <v>28</v>
      </c>
      <c r="D850" s="202" t="str">
        <f t="shared" si="2"/>
        <v> </v>
      </c>
      <c r="E850" s="202" t="str">
        <f t="shared" si="9"/>
        <v> </v>
      </c>
      <c r="F850" s="55" t="str">
        <f t="shared" si="4"/>
        <v/>
      </c>
      <c r="G850" s="202" t="str">
        <f t="shared" si="5"/>
        <v/>
      </c>
      <c r="H850" s="202" t="str">
        <f t="shared" si="11"/>
        <v> </v>
      </c>
      <c r="I850" s="205" t="str">
        <f t="shared" si="7"/>
        <v/>
      </c>
      <c r="J850" s="205"/>
      <c r="K850" s="205"/>
    </row>
    <row r="851" ht="14.25" customHeight="1">
      <c r="A851" s="55">
        <v>46506.0</v>
      </c>
      <c r="B851" s="55" t="str">
        <f t="shared" si="10"/>
        <v>Primer dia</v>
      </c>
      <c r="C851" s="202">
        <f t="shared" si="1"/>
        <v>29</v>
      </c>
      <c r="D851" s="202" t="str">
        <f t="shared" si="2"/>
        <v> </v>
      </c>
      <c r="E851" s="202" t="str">
        <f t="shared" si="9"/>
        <v> </v>
      </c>
      <c r="F851" s="55" t="str">
        <f t="shared" si="4"/>
        <v/>
      </c>
      <c r="G851" s="202" t="str">
        <f t="shared" si="5"/>
        <v/>
      </c>
      <c r="H851" s="202" t="str">
        <f t="shared" si="11"/>
        <v> </v>
      </c>
      <c r="I851" s="205" t="str">
        <f t="shared" si="7"/>
        <v/>
      </c>
      <c r="J851" s="205"/>
      <c r="K851" s="205"/>
    </row>
    <row r="852" ht="14.25" customHeight="1">
      <c r="A852" s="55">
        <v>46507.0</v>
      </c>
      <c r="B852" s="55" t="str">
        <f t="shared" si="10"/>
        <v>Primer dia</v>
      </c>
      <c r="C852" s="202">
        <f t="shared" si="1"/>
        <v>30</v>
      </c>
      <c r="D852" s="202" t="str">
        <f t="shared" si="2"/>
        <v> </v>
      </c>
      <c r="E852" s="202" t="str">
        <f t="shared" si="9"/>
        <v> </v>
      </c>
      <c r="F852" s="55" t="str">
        <f t="shared" si="4"/>
        <v/>
      </c>
      <c r="G852" s="202" t="str">
        <f t="shared" si="5"/>
        <v/>
      </c>
      <c r="H852" s="202" t="str">
        <f t="shared" si="11"/>
        <v> </v>
      </c>
      <c r="I852" s="205" t="str">
        <f t="shared" si="7"/>
        <v/>
      </c>
      <c r="J852" s="205"/>
      <c r="K852" s="205"/>
    </row>
    <row r="853" ht="14.25" customHeight="1">
      <c r="A853" s="55">
        <v>46508.0</v>
      </c>
      <c r="B853" s="55" t="str">
        <f t="shared" si="10"/>
        <v>Primer dia</v>
      </c>
      <c r="C853" s="202">
        <f t="shared" si="1"/>
        <v>1</v>
      </c>
      <c r="D853" s="202" t="str">
        <f t="shared" si="2"/>
        <v> </v>
      </c>
      <c r="E853" s="202" t="str">
        <f t="shared" si="9"/>
        <v> </v>
      </c>
      <c r="F853" s="55" t="str">
        <f t="shared" si="4"/>
        <v/>
      </c>
      <c r="G853" s="202" t="str">
        <f t="shared" si="5"/>
        <v/>
      </c>
      <c r="H853" s="202" t="str">
        <f t="shared" si="11"/>
        <v> </v>
      </c>
      <c r="I853" s="205" t="str">
        <f t="shared" si="7"/>
        <v/>
      </c>
      <c r="J853" s="205"/>
      <c r="K853" s="205"/>
    </row>
    <row r="854" ht="14.25" customHeight="1">
      <c r="A854" s="55">
        <v>46509.0</v>
      </c>
      <c r="B854" s="55" t="str">
        <f t="shared" si="10"/>
        <v>Primer dia</v>
      </c>
      <c r="C854" s="202">
        <f t="shared" si="1"/>
        <v>2</v>
      </c>
      <c r="D854" s="202" t="str">
        <f t="shared" si="2"/>
        <v> </v>
      </c>
      <c r="E854" s="202">
        <f t="shared" si="9"/>
        <v>2</v>
      </c>
      <c r="F854" s="55">
        <f t="shared" si="4"/>
        <v>46509</v>
      </c>
      <c r="G854" s="202">
        <f t="shared" si="5"/>
        <v>31</v>
      </c>
      <c r="H854" s="202" t="str">
        <f t="shared" si="11"/>
        <v> </v>
      </c>
      <c r="I854" s="205" t="str">
        <f t="shared" si="7"/>
        <v/>
      </c>
      <c r="J854" s="205"/>
      <c r="K854" s="205"/>
    </row>
    <row r="855" ht="14.25" customHeight="1">
      <c r="A855" s="55">
        <v>46510.0</v>
      </c>
      <c r="B855" s="55" t="str">
        <f t="shared" si="10"/>
        <v>Primer dia</v>
      </c>
      <c r="C855" s="202">
        <f t="shared" si="1"/>
        <v>3</v>
      </c>
      <c r="D855" s="202" t="str">
        <f t="shared" si="2"/>
        <v> </v>
      </c>
      <c r="E855" s="202" t="str">
        <f t="shared" si="9"/>
        <v> </v>
      </c>
      <c r="F855" s="55" t="str">
        <f t="shared" si="4"/>
        <v/>
      </c>
      <c r="G855" s="202" t="str">
        <f t="shared" si="5"/>
        <v/>
      </c>
      <c r="H855" s="202" t="str">
        <f t="shared" si="11"/>
        <v> </v>
      </c>
      <c r="I855" s="205" t="str">
        <f t="shared" si="7"/>
        <v/>
      </c>
      <c r="J855" s="205"/>
      <c r="K855" s="205"/>
    </row>
    <row r="856" ht="14.25" customHeight="1">
      <c r="A856" s="55">
        <v>46511.0</v>
      </c>
      <c r="B856" s="55" t="str">
        <f t="shared" si="10"/>
        <v>Primer dia</v>
      </c>
      <c r="C856" s="202">
        <f t="shared" si="1"/>
        <v>4</v>
      </c>
      <c r="D856" s="202" t="str">
        <f t="shared" si="2"/>
        <v> </v>
      </c>
      <c r="E856" s="202" t="str">
        <f t="shared" si="9"/>
        <v> </v>
      </c>
      <c r="F856" s="55" t="str">
        <f t="shared" si="4"/>
        <v/>
      </c>
      <c r="G856" s="202" t="str">
        <f t="shared" si="5"/>
        <v/>
      </c>
      <c r="H856" s="202" t="str">
        <f t="shared" si="11"/>
        <v> </v>
      </c>
      <c r="I856" s="205" t="str">
        <f t="shared" si="7"/>
        <v/>
      </c>
      <c r="J856" s="205"/>
      <c r="K856" s="205"/>
    </row>
    <row r="857" ht="14.25" customHeight="1">
      <c r="A857" s="55">
        <v>46512.0</v>
      </c>
      <c r="B857" s="55" t="str">
        <f t="shared" si="10"/>
        <v>Primer dia</v>
      </c>
      <c r="C857" s="202">
        <f t="shared" si="1"/>
        <v>5</v>
      </c>
      <c r="D857" s="202" t="str">
        <f t="shared" si="2"/>
        <v> </v>
      </c>
      <c r="E857" s="202" t="str">
        <f t="shared" si="9"/>
        <v> </v>
      </c>
      <c r="F857" s="55" t="str">
        <f t="shared" si="4"/>
        <v/>
      </c>
      <c r="G857" s="202" t="str">
        <f t="shared" si="5"/>
        <v/>
      </c>
      <c r="H857" s="202" t="str">
        <f t="shared" si="11"/>
        <v> </v>
      </c>
      <c r="I857" s="205" t="str">
        <f t="shared" si="7"/>
        <v/>
      </c>
      <c r="J857" s="205"/>
      <c r="K857" s="205"/>
    </row>
    <row r="858" ht="14.25" customHeight="1">
      <c r="A858" s="55">
        <v>46513.0</v>
      </c>
      <c r="B858" s="55" t="str">
        <f t="shared" si="10"/>
        <v>Primer dia</v>
      </c>
      <c r="C858" s="202">
        <f t="shared" si="1"/>
        <v>6</v>
      </c>
      <c r="D858" s="202" t="str">
        <f t="shared" si="2"/>
        <v> </v>
      </c>
      <c r="E858" s="202" t="str">
        <f t="shared" si="9"/>
        <v> </v>
      </c>
      <c r="F858" s="55" t="str">
        <f t="shared" si="4"/>
        <v/>
      </c>
      <c r="G858" s="202" t="str">
        <f t="shared" si="5"/>
        <v/>
      </c>
      <c r="H858" s="202" t="str">
        <f t="shared" si="11"/>
        <v> </v>
      </c>
      <c r="I858" s="205" t="str">
        <f t="shared" si="7"/>
        <v/>
      </c>
      <c r="J858" s="205"/>
      <c r="K858" s="205"/>
    </row>
    <row r="859" ht="14.25" customHeight="1">
      <c r="A859" s="55">
        <v>46514.0</v>
      </c>
      <c r="B859" s="55" t="str">
        <f t="shared" si="10"/>
        <v>Primer dia</v>
      </c>
      <c r="C859" s="202">
        <f t="shared" si="1"/>
        <v>7</v>
      </c>
      <c r="D859" s="202" t="str">
        <f t="shared" si="2"/>
        <v> </v>
      </c>
      <c r="E859" s="202" t="str">
        <f t="shared" si="9"/>
        <v> </v>
      </c>
      <c r="F859" s="55" t="str">
        <f t="shared" si="4"/>
        <v/>
      </c>
      <c r="G859" s="202" t="str">
        <f t="shared" si="5"/>
        <v/>
      </c>
      <c r="H859" s="202" t="str">
        <f t="shared" si="11"/>
        <v> </v>
      </c>
      <c r="I859" s="205" t="str">
        <f t="shared" si="7"/>
        <v/>
      </c>
      <c r="J859" s="205"/>
      <c r="K859" s="205"/>
    </row>
    <row r="860" ht="14.25" customHeight="1">
      <c r="A860" s="55">
        <v>46515.0</v>
      </c>
      <c r="B860" s="55" t="str">
        <f t="shared" si="10"/>
        <v>Primer dia</v>
      </c>
      <c r="C860" s="202">
        <f t="shared" si="1"/>
        <v>8</v>
      </c>
      <c r="D860" s="202" t="str">
        <f t="shared" si="2"/>
        <v> </v>
      </c>
      <c r="E860" s="202" t="str">
        <f t="shared" si="9"/>
        <v> </v>
      </c>
      <c r="F860" s="55" t="str">
        <f t="shared" si="4"/>
        <v/>
      </c>
      <c r="G860" s="202" t="str">
        <f t="shared" si="5"/>
        <v/>
      </c>
      <c r="H860" s="202" t="str">
        <f t="shared" si="11"/>
        <v> </v>
      </c>
      <c r="I860" s="205" t="str">
        <f t="shared" si="7"/>
        <v/>
      </c>
      <c r="J860" s="205"/>
      <c r="K860" s="205"/>
    </row>
    <row r="861" ht="14.25" customHeight="1">
      <c r="A861" s="55">
        <v>46516.0</v>
      </c>
      <c r="B861" s="55" t="str">
        <f t="shared" si="10"/>
        <v>Primer dia</v>
      </c>
      <c r="C861" s="202">
        <f t="shared" si="1"/>
        <v>9</v>
      </c>
      <c r="D861" s="202" t="str">
        <f t="shared" si="2"/>
        <v> </v>
      </c>
      <c r="E861" s="202" t="str">
        <f t="shared" si="9"/>
        <v> </v>
      </c>
      <c r="F861" s="55" t="str">
        <f t="shared" si="4"/>
        <v/>
      </c>
      <c r="G861" s="202" t="str">
        <f t="shared" si="5"/>
        <v/>
      </c>
      <c r="H861" s="202" t="str">
        <f t="shared" si="11"/>
        <v> </v>
      </c>
      <c r="I861" s="205" t="str">
        <f t="shared" si="7"/>
        <v/>
      </c>
      <c r="J861" s="205"/>
      <c r="K861" s="205"/>
    </row>
    <row r="862" ht="14.25" customHeight="1">
      <c r="A862" s="55">
        <v>46517.0</v>
      </c>
      <c r="B862" s="55" t="str">
        <f t="shared" si="10"/>
        <v>Primer dia</v>
      </c>
      <c r="C862" s="202">
        <f t="shared" si="1"/>
        <v>10</v>
      </c>
      <c r="D862" s="202" t="str">
        <f t="shared" si="2"/>
        <v> </v>
      </c>
      <c r="E862" s="202" t="str">
        <f t="shared" si="9"/>
        <v> </v>
      </c>
      <c r="F862" s="55" t="str">
        <f t="shared" si="4"/>
        <v/>
      </c>
      <c r="G862" s="202" t="str">
        <f t="shared" si="5"/>
        <v/>
      </c>
      <c r="H862" s="202" t="str">
        <f t="shared" si="11"/>
        <v> </v>
      </c>
      <c r="I862" s="205" t="str">
        <f t="shared" si="7"/>
        <v/>
      </c>
      <c r="J862" s="205"/>
      <c r="K862" s="205"/>
    </row>
    <row r="863" ht="14.25" customHeight="1">
      <c r="A863" s="55">
        <v>46518.0</v>
      </c>
      <c r="B863" s="55" t="str">
        <f t="shared" si="10"/>
        <v>Primer dia</v>
      </c>
      <c r="C863" s="202">
        <f t="shared" si="1"/>
        <v>11</v>
      </c>
      <c r="D863" s="202" t="str">
        <f t="shared" si="2"/>
        <v> </v>
      </c>
      <c r="E863" s="202" t="str">
        <f t="shared" si="9"/>
        <v> </v>
      </c>
      <c r="F863" s="55" t="str">
        <f t="shared" si="4"/>
        <v/>
      </c>
      <c r="G863" s="202" t="str">
        <f t="shared" si="5"/>
        <v/>
      </c>
      <c r="H863" s="202" t="str">
        <f t="shared" si="11"/>
        <v> </v>
      </c>
      <c r="I863" s="205" t="str">
        <f t="shared" si="7"/>
        <v/>
      </c>
      <c r="J863" s="205"/>
      <c r="K863" s="205"/>
    </row>
    <row r="864" ht="14.25" customHeight="1">
      <c r="A864" s="55">
        <v>46519.0</v>
      </c>
      <c r="B864" s="55" t="str">
        <f t="shared" si="10"/>
        <v>Primer dia</v>
      </c>
      <c r="C864" s="202">
        <f t="shared" si="1"/>
        <v>12</v>
      </c>
      <c r="D864" s="202" t="str">
        <f t="shared" si="2"/>
        <v> </v>
      </c>
      <c r="E864" s="202" t="str">
        <f t="shared" si="9"/>
        <v> </v>
      </c>
      <c r="F864" s="55" t="str">
        <f t="shared" si="4"/>
        <v/>
      </c>
      <c r="G864" s="202" t="str">
        <f t="shared" si="5"/>
        <v/>
      </c>
      <c r="H864" s="202" t="str">
        <f t="shared" si="11"/>
        <v> </v>
      </c>
      <c r="I864" s="205" t="str">
        <f t="shared" si="7"/>
        <v/>
      </c>
      <c r="J864" s="205"/>
      <c r="K864" s="205"/>
    </row>
    <row r="865" ht="14.25" customHeight="1">
      <c r="A865" s="55">
        <v>46520.0</v>
      </c>
      <c r="B865" s="55" t="str">
        <f t="shared" si="10"/>
        <v>Primer dia</v>
      </c>
      <c r="C865" s="202">
        <f t="shared" si="1"/>
        <v>13</v>
      </c>
      <c r="D865" s="202" t="str">
        <f t="shared" si="2"/>
        <v> </v>
      </c>
      <c r="E865" s="202" t="str">
        <f t="shared" si="9"/>
        <v> </v>
      </c>
      <c r="F865" s="55" t="str">
        <f t="shared" si="4"/>
        <v/>
      </c>
      <c r="G865" s="202" t="str">
        <f t="shared" si="5"/>
        <v/>
      </c>
      <c r="H865" s="202" t="str">
        <f t="shared" si="11"/>
        <v> </v>
      </c>
      <c r="I865" s="205" t="str">
        <f t="shared" si="7"/>
        <v/>
      </c>
      <c r="J865" s="205"/>
      <c r="K865" s="205"/>
    </row>
    <row r="866" ht="14.25" customHeight="1">
      <c r="A866" s="55">
        <v>46521.0</v>
      </c>
      <c r="B866" s="55" t="str">
        <f t="shared" si="10"/>
        <v>Primer dia</v>
      </c>
      <c r="C866" s="202">
        <f t="shared" si="1"/>
        <v>14</v>
      </c>
      <c r="D866" s="202" t="str">
        <f t="shared" si="2"/>
        <v> </v>
      </c>
      <c r="E866" s="202" t="str">
        <f t="shared" si="9"/>
        <v> </v>
      </c>
      <c r="F866" s="55" t="str">
        <f t="shared" si="4"/>
        <v/>
      </c>
      <c r="G866" s="202" t="str">
        <f t="shared" si="5"/>
        <v/>
      </c>
      <c r="H866" s="202" t="str">
        <f t="shared" si="11"/>
        <v> </v>
      </c>
      <c r="I866" s="205" t="str">
        <f t="shared" si="7"/>
        <v/>
      </c>
      <c r="J866" s="205"/>
      <c r="K866" s="205"/>
    </row>
    <row r="867" ht="14.25" customHeight="1">
      <c r="A867" s="55">
        <v>46522.0</v>
      </c>
      <c r="B867" s="55" t="str">
        <f t="shared" si="10"/>
        <v>Primer dia</v>
      </c>
      <c r="C867" s="202">
        <f t="shared" si="1"/>
        <v>15</v>
      </c>
      <c r="D867" s="202" t="str">
        <f t="shared" si="2"/>
        <v> </v>
      </c>
      <c r="E867" s="202" t="str">
        <f t="shared" si="9"/>
        <v> </v>
      </c>
      <c r="F867" s="55" t="str">
        <f t="shared" si="4"/>
        <v/>
      </c>
      <c r="G867" s="202" t="str">
        <f t="shared" si="5"/>
        <v/>
      </c>
      <c r="H867" s="202" t="str">
        <f t="shared" si="11"/>
        <v> </v>
      </c>
      <c r="I867" s="205" t="str">
        <f t="shared" si="7"/>
        <v/>
      </c>
      <c r="J867" s="205"/>
      <c r="K867" s="205"/>
    </row>
    <row r="868" ht="14.25" customHeight="1">
      <c r="A868" s="55">
        <v>46523.0</v>
      </c>
      <c r="B868" s="55" t="str">
        <f t="shared" si="10"/>
        <v>Primer dia</v>
      </c>
      <c r="C868" s="202">
        <f t="shared" si="1"/>
        <v>16</v>
      </c>
      <c r="D868" s="202" t="str">
        <f t="shared" si="2"/>
        <v> </v>
      </c>
      <c r="E868" s="202" t="str">
        <f t="shared" si="9"/>
        <v> </v>
      </c>
      <c r="F868" s="55" t="str">
        <f t="shared" si="4"/>
        <v/>
      </c>
      <c r="G868" s="202" t="str">
        <f t="shared" si="5"/>
        <v/>
      </c>
      <c r="H868" s="202" t="str">
        <f t="shared" si="11"/>
        <v> </v>
      </c>
      <c r="I868" s="205" t="str">
        <f t="shared" si="7"/>
        <v/>
      </c>
      <c r="J868" s="205"/>
      <c r="K868" s="205"/>
    </row>
    <row r="869" ht="14.25" customHeight="1">
      <c r="A869" s="55">
        <v>46524.0</v>
      </c>
      <c r="B869" s="55" t="str">
        <f t="shared" si="10"/>
        <v>Primer dia</v>
      </c>
      <c r="C869" s="202">
        <f t="shared" si="1"/>
        <v>17</v>
      </c>
      <c r="D869" s="202" t="str">
        <f t="shared" si="2"/>
        <v> </v>
      </c>
      <c r="E869" s="202">
        <f t="shared" si="9"/>
        <v>17</v>
      </c>
      <c r="F869" s="55">
        <f t="shared" si="4"/>
        <v>46524</v>
      </c>
      <c r="G869" s="202">
        <f t="shared" si="5"/>
        <v>32</v>
      </c>
      <c r="H869" s="202" t="str">
        <f t="shared" si="11"/>
        <v> </v>
      </c>
      <c r="I869" s="205" t="str">
        <f t="shared" si="7"/>
        <v/>
      </c>
      <c r="J869" s="205"/>
      <c r="K869" s="205"/>
    </row>
    <row r="870" ht="14.25" customHeight="1">
      <c r="A870" s="55">
        <v>46525.0</v>
      </c>
      <c r="B870" s="55" t="str">
        <f t="shared" si="10"/>
        <v>Primer dia</v>
      </c>
      <c r="C870" s="202">
        <f t="shared" si="1"/>
        <v>18</v>
      </c>
      <c r="D870" s="202" t="str">
        <f t="shared" si="2"/>
        <v> </v>
      </c>
      <c r="E870" s="202" t="str">
        <f t="shared" si="9"/>
        <v> </v>
      </c>
      <c r="F870" s="55" t="str">
        <f t="shared" si="4"/>
        <v/>
      </c>
      <c r="G870" s="202" t="str">
        <f t="shared" si="5"/>
        <v/>
      </c>
      <c r="H870" s="202" t="str">
        <f t="shared" si="11"/>
        <v> </v>
      </c>
      <c r="I870" s="205" t="str">
        <f t="shared" si="7"/>
        <v/>
      </c>
      <c r="J870" s="205"/>
      <c r="K870" s="205"/>
    </row>
    <row r="871" ht="14.25" customHeight="1">
      <c r="A871" s="55">
        <v>46526.0</v>
      </c>
      <c r="B871" s="55" t="str">
        <f t="shared" si="10"/>
        <v>Primer dia</v>
      </c>
      <c r="C871" s="202">
        <f t="shared" si="1"/>
        <v>19</v>
      </c>
      <c r="D871" s="202" t="str">
        <f t="shared" si="2"/>
        <v> </v>
      </c>
      <c r="E871" s="202" t="str">
        <f t="shared" si="9"/>
        <v> </v>
      </c>
      <c r="F871" s="55" t="str">
        <f t="shared" si="4"/>
        <v/>
      </c>
      <c r="G871" s="202" t="str">
        <f t="shared" si="5"/>
        <v/>
      </c>
      <c r="H871" s="202" t="str">
        <f t="shared" si="11"/>
        <v> </v>
      </c>
      <c r="I871" s="205" t="str">
        <f t="shared" si="7"/>
        <v/>
      </c>
      <c r="J871" s="205"/>
      <c r="K871" s="205"/>
    </row>
    <row r="872" ht="14.25" customHeight="1">
      <c r="A872" s="55">
        <v>46527.0</v>
      </c>
      <c r="B872" s="55" t="str">
        <f t="shared" si="10"/>
        <v>Primer dia</v>
      </c>
      <c r="C872" s="202">
        <f t="shared" si="1"/>
        <v>20</v>
      </c>
      <c r="D872" s="202" t="str">
        <f t="shared" si="2"/>
        <v> </v>
      </c>
      <c r="E872" s="202" t="str">
        <f t="shared" si="9"/>
        <v> </v>
      </c>
      <c r="F872" s="55" t="str">
        <f t="shared" si="4"/>
        <v/>
      </c>
      <c r="G872" s="202" t="str">
        <f t="shared" si="5"/>
        <v/>
      </c>
      <c r="H872" s="202" t="str">
        <f t="shared" si="11"/>
        <v> </v>
      </c>
      <c r="I872" s="205" t="str">
        <f t="shared" si="7"/>
        <v/>
      </c>
      <c r="J872" s="205"/>
      <c r="K872" s="205"/>
    </row>
    <row r="873" ht="14.25" customHeight="1">
      <c r="A873" s="55">
        <v>46528.0</v>
      </c>
      <c r="B873" s="55" t="str">
        <f t="shared" si="10"/>
        <v>Primer dia</v>
      </c>
      <c r="C873" s="202">
        <f t="shared" si="1"/>
        <v>21</v>
      </c>
      <c r="D873" s="202" t="str">
        <f t="shared" si="2"/>
        <v> </v>
      </c>
      <c r="E873" s="202" t="str">
        <f t="shared" si="9"/>
        <v> </v>
      </c>
      <c r="F873" s="55" t="str">
        <f t="shared" si="4"/>
        <v/>
      </c>
      <c r="G873" s="202" t="str">
        <f t="shared" si="5"/>
        <v/>
      </c>
      <c r="H873" s="202" t="str">
        <f t="shared" si="11"/>
        <v> </v>
      </c>
      <c r="I873" s="205" t="str">
        <f t="shared" si="7"/>
        <v/>
      </c>
      <c r="J873" s="205"/>
      <c r="K873" s="205"/>
    </row>
    <row r="874" ht="14.25" customHeight="1">
      <c r="A874" s="55">
        <v>46529.0</v>
      </c>
      <c r="B874" s="55" t="str">
        <f t="shared" si="10"/>
        <v>Primer dia</v>
      </c>
      <c r="C874" s="202">
        <f t="shared" si="1"/>
        <v>22</v>
      </c>
      <c r="D874" s="202" t="str">
        <f t="shared" si="2"/>
        <v> </v>
      </c>
      <c r="E874" s="202" t="str">
        <f t="shared" si="9"/>
        <v> </v>
      </c>
      <c r="F874" s="55" t="str">
        <f t="shared" si="4"/>
        <v/>
      </c>
      <c r="G874" s="202" t="str">
        <f t="shared" si="5"/>
        <v/>
      </c>
      <c r="H874" s="202" t="str">
        <f t="shared" si="11"/>
        <v> </v>
      </c>
      <c r="I874" s="205" t="str">
        <f t="shared" si="7"/>
        <v/>
      </c>
      <c r="J874" s="205"/>
      <c r="K874" s="205"/>
    </row>
    <row r="875" ht="14.25" customHeight="1">
      <c r="A875" s="55">
        <v>46530.0</v>
      </c>
      <c r="B875" s="55" t="str">
        <f t="shared" si="10"/>
        <v>Primer dia</v>
      </c>
      <c r="C875" s="202">
        <f t="shared" si="1"/>
        <v>23</v>
      </c>
      <c r="D875" s="202" t="str">
        <f t="shared" si="2"/>
        <v> </v>
      </c>
      <c r="E875" s="202" t="str">
        <f t="shared" si="9"/>
        <v> </v>
      </c>
      <c r="F875" s="55" t="str">
        <f t="shared" si="4"/>
        <v/>
      </c>
      <c r="G875" s="202" t="str">
        <f t="shared" si="5"/>
        <v/>
      </c>
      <c r="H875" s="202" t="str">
        <f t="shared" si="11"/>
        <v> </v>
      </c>
      <c r="I875" s="205" t="str">
        <f t="shared" si="7"/>
        <v/>
      </c>
      <c r="J875" s="205"/>
      <c r="K875" s="205"/>
    </row>
    <row r="876" ht="14.25" customHeight="1">
      <c r="A876" s="55">
        <v>46531.0</v>
      </c>
      <c r="B876" s="55" t="str">
        <f t="shared" si="10"/>
        <v>Primer dia</v>
      </c>
      <c r="C876" s="202">
        <f t="shared" si="1"/>
        <v>24</v>
      </c>
      <c r="D876" s="202" t="str">
        <f t="shared" si="2"/>
        <v> </v>
      </c>
      <c r="E876" s="202" t="str">
        <f t="shared" si="9"/>
        <v> </v>
      </c>
      <c r="F876" s="55" t="str">
        <f t="shared" si="4"/>
        <v/>
      </c>
      <c r="G876" s="202" t="str">
        <f t="shared" si="5"/>
        <v/>
      </c>
      <c r="H876" s="202" t="str">
        <f t="shared" si="11"/>
        <v> </v>
      </c>
      <c r="I876" s="205" t="str">
        <f t="shared" si="7"/>
        <v/>
      </c>
      <c r="J876" s="205"/>
      <c r="K876" s="205"/>
    </row>
    <row r="877" ht="14.25" customHeight="1">
      <c r="A877" s="55">
        <v>46532.0</v>
      </c>
      <c r="B877" s="55" t="str">
        <f t="shared" si="10"/>
        <v>Primer dia</v>
      </c>
      <c r="C877" s="202">
        <f t="shared" si="1"/>
        <v>25</v>
      </c>
      <c r="D877" s="202" t="str">
        <f t="shared" si="2"/>
        <v> </v>
      </c>
      <c r="E877" s="202" t="str">
        <f t="shared" si="9"/>
        <v> </v>
      </c>
      <c r="F877" s="55" t="str">
        <f t="shared" si="4"/>
        <v/>
      </c>
      <c r="G877" s="202" t="str">
        <f t="shared" si="5"/>
        <v/>
      </c>
      <c r="H877" s="202" t="str">
        <f t="shared" si="11"/>
        <v> </v>
      </c>
      <c r="I877" s="205" t="str">
        <f t="shared" si="7"/>
        <v/>
      </c>
      <c r="J877" s="205"/>
      <c r="K877" s="205"/>
    </row>
    <row r="878" ht="14.25" customHeight="1">
      <c r="A878" s="55">
        <v>46533.0</v>
      </c>
      <c r="B878" s="55" t="str">
        <f t="shared" si="10"/>
        <v>Primer dia</v>
      </c>
      <c r="C878" s="202">
        <f t="shared" si="1"/>
        <v>26</v>
      </c>
      <c r="D878" s="202" t="str">
        <f t="shared" si="2"/>
        <v> </v>
      </c>
      <c r="E878" s="202" t="str">
        <f t="shared" si="9"/>
        <v> </v>
      </c>
      <c r="F878" s="55" t="str">
        <f t="shared" si="4"/>
        <v/>
      </c>
      <c r="G878" s="202" t="str">
        <f t="shared" si="5"/>
        <v/>
      </c>
      <c r="H878" s="202" t="str">
        <f t="shared" si="11"/>
        <v> </v>
      </c>
      <c r="I878" s="205" t="str">
        <f t="shared" si="7"/>
        <v/>
      </c>
      <c r="J878" s="205"/>
      <c r="K878" s="205"/>
    </row>
    <row r="879" ht="14.25" customHeight="1">
      <c r="A879" s="55">
        <v>46534.0</v>
      </c>
      <c r="B879" s="55" t="str">
        <f t="shared" si="10"/>
        <v>Primer dia</v>
      </c>
      <c r="C879" s="202">
        <f t="shared" si="1"/>
        <v>27</v>
      </c>
      <c r="D879" s="202" t="str">
        <f t="shared" si="2"/>
        <v> </v>
      </c>
      <c r="E879" s="202" t="str">
        <f t="shared" si="9"/>
        <v> </v>
      </c>
      <c r="F879" s="55" t="str">
        <f t="shared" si="4"/>
        <v/>
      </c>
      <c r="G879" s="202" t="str">
        <f t="shared" si="5"/>
        <v/>
      </c>
      <c r="H879" s="202" t="str">
        <f t="shared" si="11"/>
        <v> </v>
      </c>
      <c r="I879" s="205" t="str">
        <f t="shared" si="7"/>
        <v/>
      </c>
      <c r="J879" s="205"/>
      <c r="K879" s="205"/>
    </row>
    <row r="880" ht="14.25" customHeight="1">
      <c r="A880" s="55">
        <v>46535.0</v>
      </c>
      <c r="B880" s="55" t="str">
        <f t="shared" si="10"/>
        <v>Primer dia</v>
      </c>
      <c r="C880" s="202">
        <f t="shared" si="1"/>
        <v>28</v>
      </c>
      <c r="D880" s="202" t="str">
        <f t="shared" si="2"/>
        <v> </v>
      </c>
      <c r="E880" s="202" t="str">
        <f t="shared" si="9"/>
        <v> </v>
      </c>
      <c r="F880" s="55" t="str">
        <f t="shared" si="4"/>
        <v/>
      </c>
      <c r="G880" s="202" t="str">
        <f t="shared" si="5"/>
        <v/>
      </c>
      <c r="H880" s="202" t="str">
        <f t="shared" si="11"/>
        <v> </v>
      </c>
      <c r="I880" s="205" t="str">
        <f t="shared" si="7"/>
        <v/>
      </c>
      <c r="J880" s="205"/>
      <c r="K880" s="205"/>
    </row>
    <row r="881" ht="14.25" customHeight="1">
      <c r="A881" s="55">
        <v>46536.0</v>
      </c>
      <c r="B881" s="55" t="str">
        <f t="shared" si="10"/>
        <v>Primer dia</v>
      </c>
      <c r="C881" s="202">
        <f t="shared" si="1"/>
        <v>29</v>
      </c>
      <c r="D881" s="202" t="str">
        <f t="shared" si="2"/>
        <v> </v>
      </c>
      <c r="E881" s="202" t="str">
        <f t="shared" si="9"/>
        <v> </v>
      </c>
      <c r="F881" s="55" t="str">
        <f t="shared" si="4"/>
        <v/>
      </c>
      <c r="G881" s="202" t="str">
        <f t="shared" si="5"/>
        <v/>
      </c>
      <c r="H881" s="202" t="str">
        <f t="shared" si="11"/>
        <v> </v>
      </c>
      <c r="I881" s="205" t="str">
        <f t="shared" si="7"/>
        <v/>
      </c>
      <c r="J881" s="205"/>
      <c r="K881" s="205"/>
    </row>
    <row r="882" ht="14.25" customHeight="1">
      <c r="A882" s="55">
        <v>46537.0</v>
      </c>
      <c r="B882" s="55" t="str">
        <f t="shared" si="10"/>
        <v>Primer dia</v>
      </c>
      <c r="C882" s="202">
        <f t="shared" si="1"/>
        <v>30</v>
      </c>
      <c r="D882" s="202" t="str">
        <f t="shared" si="2"/>
        <v> </v>
      </c>
      <c r="E882" s="202" t="str">
        <f t="shared" si="9"/>
        <v> </v>
      </c>
      <c r="F882" s="55" t="str">
        <f t="shared" si="4"/>
        <v/>
      </c>
      <c r="G882" s="202" t="str">
        <f t="shared" si="5"/>
        <v/>
      </c>
      <c r="H882" s="202" t="str">
        <f t="shared" si="11"/>
        <v> </v>
      </c>
      <c r="I882" s="205" t="str">
        <f t="shared" si="7"/>
        <v/>
      </c>
      <c r="J882" s="205"/>
      <c r="K882" s="205"/>
    </row>
    <row r="883" ht="14.25" customHeight="1">
      <c r="A883" s="55">
        <v>46538.0</v>
      </c>
      <c r="B883" s="55" t="str">
        <f t="shared" si="10"/>
        <v>Primer dia</v>
      </c>
      <c r="C883" s="202">
        <f t="shared" si="1"/>
        <v>31</v>
      </c>
      <c r="D883" s="202" t="str">
        <f t="shared" si="2"/>
        <v> </v>
      </c>
      <c r="E883" s="202" t="str">
        <f t="shared" si="9"/>
        <v> </v>
      </c>
      <c r="F883" s="55" t="str">
        <f t="shared" si="4"/>
        <v/>
      </c>
      <c r="G883" s="202" t="str">
        <f t="shared" si="5"/>
        <v/>
      </c>
      <c r="H883" s="202" t="str">
        <f t="shared" si="11"/>
        <v> </v>
      </c>
      <c r="I883" s="205" t="str">
        <f t="shared" si="7"/>
        <v/>
      </c>
      <c r="J883" s="205"/>
      <c r="K883" s="205"/>
    </row>
    <row r="884" ht="14.25" customHeight="1">
      <c r="A884" s="55">
        <v>46539.0</v>
      </c>
      <c r="B884" s="55" t="str">
        <f t="shared" si="10"/>
        <v>Primer dia</v>
      </c>
      <c r="C884" s="202">
        <f t="shared" si="1"/>
        <v>1</v>
      </c>
      <c r="D884" s="202" t="str">
        <f t="shared" si="2"/>
        <v> </v>
      </c>
      <c r="E884" s="202" t="str">
        <f t="shared" si="9"/>
        <v> </v>
      </c>
      <c r="F884" s="55" t="str">
        <f t="shared" si="4"/>
        <v/>
      </c>
      <c r="G884" s="202" t="str">
        <f t="shared" si="5"/>
        <v/>
      </c>
      <c r="H884" s="202" t="str">
        <f t="shared" si="11"/>
        <v> </v>
      </c>
      <c r="I884" s="205" t="str">
        <f t="shared" si="7"/>
        <v/>
      </c>
      <c r="J884" s="205"/>
      <c r="K884" s="205"/>
    </row>
    <row r="885" ht="14.25" customHeight="1">
      <c r="A885" s="55">
        <v>46540.0</v>
      </c>
      <c r="B885" s="55" t="str">
        <f t="shared" si="10"/>
        <v>Primer dia</v>
      </c>
      <c r="C885" s="202">
        <f t="shared" si="1"/>
        <v>2</v>
      </c>
      <c r="D885" s="202" t="str">
        <f t="shared" si="2"/>
        <v> </v>
      </c>
      <c r="E885" s="202">
        <f t="shared" si="9"/>
        <v>2</v>
      </c>
      <c r="F885" s="55">
        <f t="shared" si="4"/>
        <v>46540</v>
      </c>
      <c r="G885" s="202">
        <f t="shared" si="5"/>
        <v>33</v>
      </c>
      <c r="H885" s="202" t="str">
        <f t="shared" si="11"/>
        <v> </v>
      </c>
      <c r="I885" s="205" t="str">
        <f t="shared" si="7"/>
        <v/>
      </c>
      <c r="J885" s="205"/>
      <c r="K885" s="205"/>
    </row>
    <row r="886" ht="14.25" customHeight="1">
      <c r="A886" s="55">
        <v>46541.0</v>
      </c>
      <c r="B886" s="55" t="str">
        <f t="shared" si="10"/>
        <v>Primer dia</v>
      </c>
      <c r="C886" s="202">
        <f t="shared" si="1"/>
        <v>3</v>
      </c>
      <c r="D886" s="202" t="str">
        <f t="shared" si="2"/>
        <v> </v>
      </c>
      <c r="E886" s="202" t="str">
        <f t="shared" si="9"/>
        <v> </v>
      </c>
      <c r="F886" s="55" t="str">
        <f t="shared" si="4"/>
        <v/>
      </c>
      <c r="G886" s="202" t="str">
        <f t="shared" si="5"/>
        <v/>
      </c>
      <c r="H886" s="202" t="str">
        <f t="shared" si="11"/>
        <v> </v>
      </c>
      <c r="I886" s="205" t="str">
        <f t="shared" si="7"/>
        <v/>
      </c>
      <c r="J886" s="205"/>
      <c r="K886" s="205"/>
    </row>
    <row r="887" ht="14.25" customHeight="1">
      <c r="A887" s="55">
        <v>46542.0</v>
      </c>
      <c r="B887" s="55" t="str">
        <f t="shared" si="10"/>
        <v>Primer dia</v>
      </c>
      <c r="C887" s="202">
        <f t="shared" si="1"/>
        <v>4</v>
      </c>
      <c r="D887" s="202" t="str">
        <f t="shared" si="2"/>
        <v> </v>
      </c>
      <c r="E887" s="202" t="str">
        <f t="shared" si="9"/>
        <v> </v>
      </c>
      <c r="F887" s="55" t="str">
        <f t="shared" si="4"/>
        <v/>
      </c>
      <c r="G887" s="202" t="str">
        <f t="shared" si="5"/>
        <v/>
      </c>
      <c r="H887" s="202" t="str">
        <f t="shared" si="11"/>
        <v> </v>
      </c>
      <c r="I887" s="205" t="str">
        <f t="shared" si="7"/>
        <v/>
      </c>
      <c r="J887" s="205"/>
      <c r="K887" s="205"/>
    </row>
    <row r="888" ht="14.25" customHeight="1">
      <c r="A888" s="55">
        <v>46543.0</v>
      </c>
      <c r="B888" s="55" t="str">
        <f t="shared" si="10"/>
        <v>Primer dia</v>
      </c>
      <c r="C888" s="202">
        <f t="shared" si="1"/>
        <v>5</v>
      </c>
      <c r="D888" s="202" t="str">
        <f t="shared" si="2"/>
        <v> </v>
      </c>
      <c r="E888" s="202" t="str">
        <f t="shared" si="9"/>
        <v> </v>
      </c>
      <c r="F888" s="55" t="str">
        <f t="shared" si="4"/>
        <v/>
      </c>
      <c r="G888" s="202" t="str">
        <f t="shared" si="5"/>
        <v/>
      </c>
      <c r="H888" s="202" t="str">
        <f t="shared" si="11"/>
        <v> </v>
      </c>
      <c r="I888" s="205" t="str">
        <f t="shared" si="7"/>
        <v/>
      </c>
      <c r="J888" s="205"/>
      <c r="K888" s="205"/>
    </row>
    <row r="889" ht="14.25" customHeight="1">
      <c r="A889" s="55">
        <v>46544.0</v>
      </c>
      <c r="B889" s="55" t="str">
        <f t="shared" si="10"/>
        <v>Primer dia</v>
      </c>
      <c r="C889" s="202">
        <f t="shared" si="1"/>
        <v>6</v>
      </c>
      <c r="D889" s="202" t="str">
        <f t="shared" si="2"/>
        <v> </v>
      </c>
      <c r="E889" s="202" t="str">
        <f t="shared" si="9"/>
        <v> </v>
      </c>
      <c r="F889" s="55" t="str">
        <f t="shared" si="4"/>
        <v/>
      </c>
      <c r="G889" s="202" t="str">
        <f t="shared" si="5"/>
        <v/>
      </c>
      <c r="H889" s="202" t="str">
        <f t="shared" si="11"/>
        <v> </v>
      </c>
      <c r="I889" s="205" t="str">
        <f t="shared" si="7"/>
        <v/>
      </c>
      <c r="J889" s="205"/>
      <c r="K889" s="205"/>
    </row>
    <row r="890" ht="14.25" customHeight="1">
      <c r="A890" s="55">
        <v>46545.0</v>
      </c>
      <c r="B890" s="55" t="str">
        <f t="shared" si="10"/>
        <v>Primer dia</v>
      </c>
      <c r="C890" s="202">
        <f t="shared" si="1"/>
        <v>7</v>
      </c>
      <c r="D890" s="202" t="str">
        <f t="shared" si="2"/>
        <v> </v>
      </c>
      <c r="E890" s="202" t="str">
        <f t="shared" si="9"/>
        <v> </v>
      </c>
      <c r="F890" s="55" t="str">
        <f t="shared" si="4"/>
        <v/>
      </c>
      <c r="G890" s="202" t="str">
        <f t="shared" si="5"/>
        <v/>
      </c>
      <c r="H890" s="202" t="str">
        <f t="shared" si="11"/>
        <v> </v>
      </c>
      <c r="I890" s="205" t="str">
        <f t="shared" si="7"/>
        <v/>
      </c>
      <c r="J890" s="205"/>
      <c r="K890" s="205"/>
    </row>
    <row r="891" ht="14.25" customHeight="1">
      <c r="A891" s="55">
        <v>46546.0</v>
      </c>
      <c r="B891" s="55" t="str">
        <f t="shared" si="10"/>
        <v>Primer dia</v>
      </c>
      <c r="C891" s="202">
        <f t="shared" si="1"/>
        <v>8</v>
      </c>
      <c r="D891" s="202" t="str">
        <f t="shared" si="2"/>
        <v> </v>
      </c>
      <c r="E891" s="202" t="str">
        <f t="shared" si="9"/>
        <v> </v>
      </c>
      <c r="F891" s="55" t="str">
        <f t="shared" si="4"/>
        <v/>
      </c>
      <c r="G891" s="202" t="str">
        <f t="shared" si="5"/>
        <v/>
      </c>
      <c r="H891" s="202" t="str">
        <f t="shared" si="11"/>
        <v> </v>
      </c>
      <c r="I891" s="205" t="str">
        <f t="shared" si="7"/>
        <v/>
      </c>
      <c r="J891" s="205"/>
      <c r="K891" s="205"/>
    </row>
    <row r="892" ht="14.25" customHeight="1">
      <c r="A892" s="55">
        <v>46547.0</v>
      </c>
      <c r="B892" s="55" t="str">
        <f t="shared" si="10"/>
        <v>Primer dia</v>
      </c>
      <c r="C892" s="202">
        <f t="shared" si="1"/>
        <v>9</v>
      </c>
      <c r="D892" s="202" t="str">
        <f t="shared" si="2"/>
        <v> </v>
      </c>
      <c r="E892" s="202" t="str">
        <f t="shared" si="9"/>
        <v> </v>
      </c>
      <c r="F892" s="55" t="str">
        <f t="shared" si="4"/>
        <v/>
      </c>
      <c r="G892" s="202" t="str">
        <f t="shared" si="5"/>
        <v/>
      </c>
      <c r="H892" s="202" t="str">
        <f t="shared" si="11"/>
        <v> </v>
      </c>
      <c r="I892" s="205" t="str">
        <f t="shared" si="7"/>
        <v/>
      </c>
      <c r="J892" s="205"/>
      <c r="K892" s="205"/>
    </row>
    <row r="893" ht="14.25" customHeight="1">
      <c r="A893" s="55">
        <v>46548.0</v>
      </c>
      <c r="B893" s="55" t="str">
        <f t="shared" si="10"/>
        <v>Primer dia</v>
      </c>
      <c r="C893" s="202">
        <f t="shared" si="1"/>
        <v>10</v>
      </c>
      <c r="D893" s="202" t="str">
        <f t="shared" si="2"/>
        <v> </v>
      </c>
      <c r="E893" s="202" t="str">
        <f t="shared" si="9"/>
        <v> </v>
      </c>
      <c r="F893" s="55" t="str">
        <f t="shared" si="4"/>
        <v/>
      </c>
      <c r="G893" s="202" t="str">
        <f t="shared" si="5"/>
        <v/>
      </c>
      <c r="H893" s="202" t="str">
        <f t="shared" si="11"/>
        <v> </v>
      </c>
      <c r="I893" s="205" t="str">
        <f t="shared" si="7"/>
        <v/>
      </c>
      <c r="J893" s="205"/>
      <c r="K893" s="205"/>
    </row>
    <row r="894" ht="14.25" customHeight="1">
      <c r="A894" s="55">
        <v>46549.0</v>
      </c>
      <c r="B894" s="55" t="str">
        <f t="shared" si="10"/>
        <v>Primer dia</v>
      </c>
      <c r="C894" s="202">
        <f t="shared" si="1"/>
        <v>11</v>
      </c>
      <c r="D894" s="202" t="str">
        <f t="shared" si="2"/>
        <v> </v>
      </c>
      <c r="E894" s="202" t="str">
        <f t="shared" si="9"/>
        <v> </v>
      </c>
      <c r="F894" s="55" t="str">
        <f t="shared" si="4"/>
        <v/>
      </c>
      <c r="G894" s="202" t="str">
        <f t="shared" si="5"/>
        <v/>
      </c>
      <c r="H894" s="202" t="str">
        <f t="shared" si="11"/>
        <v> </v>
      </c>
      <c r="I894" s="205" t="str">
        <f t="shared" si="7"/>
        <v/>
      </c>
      <c r="J894" s="205"/>
      <c r="K894" s="205"/>
    </row>
    <row r="895" ht="14.25" customHeight="1">
      <c r="A895" s="55">
        <v>46550.0</v>
      </c>
      <c r="B895" s="55" t="str">
        <f t="shared" si="10"/>
        <v>Primer dia</v>
      </c>
      <c r="C895" s="202">
        <f t="shared" si="1"/>
        <v>12</v>
      </c>
      <c r="D895" s="202" t="str">
        <f t="shared" si="2"/>
        <v> </v>
      </c>
      <c r="E895" s="202" t="str">
        <f t="shared" si="9"/>
        <v> </v>
      </c>
      <c r="F895" s="55" t="str">
        <f t="shared" si="4"/>
        <v/>
      </c>
      <c r="G895" s="202" t="str">
        <f t="shared" si="5"/>
        <v/>
      </c>
      <c r="H895" s="202" t="str">
        <f t="shared" si="11"/>
        <v> </v>
      </c>
      <c r="I895" s="205" t="str">
        <f t="shared" si="7"/>
        <v/>
      </c>
      <c r="J895" s="205"/>
      <c r="K895" s="205"/>
    </row>
    <row r="896" ht="14.25" customHeight="1">
      <c r="A896" s="55">
        <v>46551.0</v>
      </c>
      <c r="B896" s="55" t="str">
        <f t="shared" si="10"/>
        <v>Primer dia</v>
      </c>
      <c r="C896" s="202">
        <f t="shared" si="1"/>
        <v>13</v>
      </c>
      <c r="D896" s="202" t="str">
        <f t="shared" si="2"/>
        <v> </v>
      </c>
      <c r="E896" s="202" t="str">
        <f t="shared" si="9"/>
        <v> </v>
      </c>
      <c r="F896" s="55" t="str">
        <f t="shared" si="4"/>
        <v/>
      </c>
      <c r="G896" s="202" t="str">
        <f t="shared" si="5"/>
        <v/>
      </c>
      <c r="H896" s="202" t="str">
        <f t="shared" si="11"/>
        <v> </v>
      </c>
      <c r="I896" s="205" t="str">
        <f t="shared" si="7"/>
        <v/>
      </c>
      <c r="J896" s="205"/>
      <c r="K896" s="205"/>
    </row>
    <row r="897" ht="14.25" customHeight="1">
      <c r="A897" s="55">
        <v>46552.0</v>
      </c>
      <c r="B897" s="55" t="str">
        <f t="shared" si="10"/>
        <v>Primer dia</v>
      </c>
      <c r="C897" s="202">
        <f t="shared" si="1"/>
        <v>14</v>
      </c>
      <c r="D897" s="202" t="str">
        <f t="shared" si="2"/>
        <v> </v>
      </c>
      <c r="E897" s="202" t="str">
        <f t="shared" si="9"/>
        <v> </v>
      </c>
      <c r="F897" s="55" t="str">
        <f t="shared" si="4"/>
        <v/>
      </c>
      <c r="G897" s="202" t="str">
        <f t="shared" si="5"/>
        <v/>
      </c>
      <c r="H897" s="202" t="str">
        <f t="shared" si="11"/>
        <v> </v>
      </c>
      <c r="I897" s="205" t="str">
        <f t="shared" si="7"/>
        <v/>
      </c>
      <c r="J897" s="205"/>
      <c r="K897" s="205"/>
    </row>
    <row r="898" ht="14.25" customHeight="1">
      <c r="A898" s="55">
        <v>46553.0</v>
      </c>
      <c r="B898" s="55" t="str">
        <f t="shared" si="10"/>
        <v>Primer dia</v>
      </c>
      <c r="C898" s="202">
        <f t="shared" si="1"/>
        <v>15</v>
      </c>
      <c r="D898" s="202" t="str">
        <f t="shared" si="2"/>
        <v> </v>
      </c>
      <c r="E898" s="202" t="str">
        <f t="shared" si="9"/>
        <v> </v>
      </c>
      <c r="F898" s="55" t="str">
        <f t="shared" si="4"/>
        <v/>
      </c>
      <c r="G898" s="202" t="str">
        <f t="shared" si="5"/>
        <v/>
      </c>
      <c r="H898" s="202" t="str">
        <f t="shared" si="11"/>
        <v> </v>
      </c>
      <c r="I898" s="205" t="str">
        <f t="shared" si="7"/>
        <v/>
      </c>
      <c r="J898" s="205"/>
      <c r="K898" s="205"/>
    </row>
    <row r="899" ht="14.25" customHeight="1">
      <c r="A899" s="55">
        <v>46554.0</v>
      </c>
      <c r="B899" s="55" t="str">
        <f t="shared" si="10"/>
        <v>Primer dia</v>
      </c>
      <c r="C899" s="202">
        <f t="shared" si="1"/>
        <v>16</v>
      </c>
      <c r="D899" s="202" t="str">
        <f t="shared" si="2"/>
        <v> </v>
      </c>
      <c r="E899" s="202" t="str">
        <f t="shared" si="9"/>
        <v> </v>
      </c>
      <c r="F899" s="55" t="str">
        <f t="shared" si="4"/>
        <v/>
      </c>
      <c r="G899" s="202" t="str">
        <f t="shared" si="5"/>
        <v/>
      </c>
      <c r="H899" s="202" t="str">
        <f t="shared" si="11"/>
        <v> </v>
      </c>
      <c r="I899" s="205" t="str">
        <f t="shared" si="7"/>
        <v/>
      </c>
      <c r="J899" s="205"/>
      <c r="K899" s="205"/>
    </row>
    <row r="900" ht="14.25" customHeight="1">
      <c r="A900" s="55">
        <v>46555.0</v>
      </c>
      <c r="B900" s="55" t="str">
        <f t="shared" si="10"/>
        <v>Primer dia</v>
      </c>
      <c r="C900" s="202">
        <f t="shared" si="1"/>
        <v>17</v>
      </c>
      <c r="D900" s="202" t="str">
        <f t="shared" si="2"/>
        <v> </v>
      </c>
      <c r="E900" s="202">
        <f t="shared" si="9"/>
        <v>17</v>
      </c>
      <c r="F900" s="55">
        <f t="shared" si="4"/>
        <v>46555</v>
      </c>
      <c r="G900" s="202">
        <f t="shared" si="5"/>
        <v>34</v>
      </c>
      <c r="H900" s="202" t="str">
        <f t="shared" si="11"/>
        <v> </v>
      </c>
      <c r="I900" s="205" t="str">
        <f t="shared" si="7"/>
        <v/>
      </c>
      <c r="J900" s="205"/>
      <c r="K900" s="205"/>
    </row>
    <row r="901" ht="14.25" customHeight="1">
      <c r="A901" s="55">
        <v>46556.0</v>
      </c>
      <c r="B901" s="55" t="str">
        <f t="shared" si="10"/>
        <v>Primer dia</v>
      </c>
      <c r="C901" s="202">
        <f t="shared" si="1"/>
        <v>18</v>
      </c>
      <c r="D901" s="202" t="str">
        <f t="shared" si="2"/>
        <v> </v>
      </c>
      <c r="E901" s="202" t="str">
        <f t="shared" si="9"/>
        <v> </v>
      </c>
      <c r="F901" s="55" t="str">
        <f t="shared" si="4"/>
        <v/>
      </c>
      <c r="G901" s="202" t="str">
        <f t="shared" si="5"/>
        <v/>
      </c>
      <c r="H901" s="202" t="str">
        <f t="shared" si="11"/>
        <v> </v>
      </c>
      <c r="I901" s="205" t="str">
        <f t="shared" si="7"/>
        <v/>
      </c>
      <c r="J901" s="205"/>
      <c r="K901" s="205"/>
    </row>
    <row r="902" ht="14.25" customHeight="1">
      <c r="A902" s="55">
        <v>46557.0</v>
      </c>
      <c r="B902" s="55" t="str">
        <f t="shared" si="10"/>
        <v>Primer dia</v>
      </c>
      <c r="C902" s="202">
        <f t="shared" si="1"/>
        <v>19</v>
      </c>
      <c r="D902" s="202" t="str">
        <f t="shared" si="2"/>
        <v> </v>
      </c>
      <c r="E902" s="202" t="str">
        <f t="shared" si="9"/>
        <v> </v>
      </c>
      <c r="F902" s="55" t="str">
        <f t="shared" si="4"/>
        <v/>
      </c>
      <c r="G902" s="202" t="str">
        <f t="shared" si="5"/>
        <v/>
      </c>
      <c r="H902" s="202" t="str">
        <f t="shared" si="11"/>
        <v> </v>
      </c>
      <c r="I902" s="205" t="str">
        <f t="shared" si="7"/>
        <v/>
      </c>
      <c r="J902" s="205"/>
      <c r="K902" s="205"/>
    </row>
    <row r="903" ht="14.25" customHeight="1">
      <c r="A903" s="55">
        <v>46558.0</v>
      </c>
      <c r="B903" s="55" t="str">
        <f t="shared" si="10"/>
        <v>Primer dia</v>
      </c>
      <c r="C903" s="202">
        <f t="shared" si="1"/>
        <v>20</v>
      </c>
      <c r="D903" s="202" t="str">
        <f t="shared" si="2"/>
        <v> </v>
      </c>
      <c r="E903" s="202" t="str">
        <f t="shared" si="9"/>
        <v> </v>
      </c>
      <c r="F903" s="55" t="str">
        <f t="shared" si="4"/>
        <v/>
      </c>
      <c r="G903" s="202" t="str">
        <f t="shared" si="5"/>
        <v/>
      </c>
      <c r="H903" s="202" t="str">
        <f t="shared" si="11"/>
        <v> </v>
      </c>
      <c r="I903" s="205" t="str">
        <f t="shared" si="7"/>
        <v/>
      </c>
      <c r="J903" s="205"/>
      <c r="K903" s="205"/>
    </row>
    <row r="904" ht="14.25" customHeight="1">
      <c r="A904" s="55">
        <v>46559.0</v>
      </c>
      <c r="B904" s="55" t="str">
        <f t="shared" si="10"/>
        <v>Primer dia</v>
      </c>
      <c r="C904" s="202">
        <f t="shared" si="1"/>
        <v>21</v>
      </c>
      <c r="D904" s="202" t="str">
        <f t="shared" si="2"/>
        <v> </v>
      </c>
      <c r="E904" s="202" t="str">
        <f t="shared" si="9"/>
        <v> </v>
      </c>
      <c r="F904" s="55" t="str">
        <f t="shared" si="4"/>
        <v/>
      </c>
      <c r="G904" s="202" t="str">
        <f t="shared" si="5"/>
        <v/>
      </c>
      <c r="H904" s="202" t="str">
        <f t="shared" si="11"/>
        <v> </v>
      </c>
      <c r="I904" s="205" t="str">
        <f t="shared" si="7"/>
        <v/>
      </c>
      <c r="J904" s="205"/>
      <c r="K904" s="205"/>
    </row>
    <row r="905" ht="14.25" customHeight="1">
      <c r="A905" s="55">
        <v>46560.0</v>
      </c>
      <c r="B905" s="55" t="str">
        <f t="shared" si="10"/>
        <v>Primer dia</v>
      </c>
      <c r="C905" s="202">
        <f t="shared" si="1"/>
        <v>22</v>
      </c>
      <c r="D905" s="202" t="str">
        <f t="shared" si="2"/>
        <v> </v>
      </c>
      <c r="E905" s="202" t="str">
        <f t="shared" si="9"/>
        <v> </v>
      </c>
      <c r="F905" s="55" t="str">
        <f t="shared" si="4"/>
        <v/>
      </c>
      <c r="G905" s="202" t="str">
        <f t="shared" si="5"/>
        <v/>
      </c>
      <c r="H905" s="202" t="str">
        <f t="shared" si="11"/>
        <v> </v>
      </c>
      <c r="I905" s="205" t="str">
        <f t="shared" si="7"/>
        <v/>
      </c>
      <c r="J905" s="205"/>
      <c r="K905" s="205"/>
    </row>
    <row r="906" ht="14.25" customHeight="1">
      <c r="A906" s="55">
        <v>46561.0</v>
      </c>
      <c r="B906" s="55" t="str">
        <f t="shared" si="10"/>
        <v>Primer dia</v>
      </c>
      <c r="C906" s="202">
        <f t="shared" si="1"/>
        <v>23</v>
      </c>
      <c r="D906" s="202" t="str">
        <f t="shared" si="2"/>
        <v> </v>
      </c>
      <c r="E906" s="202" t="str">
        <f t="shared" si="9"/>
        <v> </v>
      </c>
      <c r="F906" s="55" t="str">
        <f t="shared" si="4"/>
        <v/>
      </c>
      <c r="G906" s="202" t="str">
        <f t="shared" si="5"/>
        <v/>
      </c>
      <c r="H906" s="202" t="str">
        <f t="shared" si="11"/>
        <v> </v>
      </c>
      <c r="I906" s="205" t="str">
        <f t="shared" si="7"/>
        <v/>
      </c>
      <c r="J906" s="205"/>
      <c r="K906" s="205"/>
    </row>
    <row r="907" ht="14.25" customHeight="1">
      <c r="A907" s="55">
        <v>46562.0</v>
      </c>
      <c r="B907" s="55" t="str">
        <f t="shared" si="10"/>
        <v>Primer dia</v>
      </c>
      <c r="C907" s="202">
        <f t="shared" si="1"/>
        <v>24</v>
      </c>
      <c r="D907" s="202" t="str">
        <f t="shared" si="2"/>
        <v> </v>
      </c>
      <c r="E907" s="202" t="str">
        <f t="shared" si="9"/>
        <v> </v>
      </c>
      <c r="F907" s="55" t="str">
        <f t="shared" si="4"/>
        <v/>
      </c>
      <c r="G907" s="202" t="str">
        <f t="shared" si="5"/>
        <v/>
      </c>
      <c r="H907" s="202" t="str">
        <f t="shared" si="11"/>
        <v> </v>
      </c>
      <c r="I907" s="205" t="str">
        <f t="shared" si="7"/>
        <v/>
      </c>
      <c r="J907" s="205"/>
      <c r="K907" s="205"/>
    </row>
    <row r="908" ht="14.25" customHeight="1">
      <c r="A908" s="55">
        <v>46563.0</v>
      </c>
      <c r="B908" s="55" t="str">
        <f t="shared" si="10"/>
        <v>Primer dia</v>
      </c>
      <c r="C908" s="202">
        <f t="shared" si="1"/>
        <v>25</v>
      </c>
      <c r="D908" s="202" t="str">
        <f t="shared" si="2"/>
        <v> </v>
      </c>
      <c r="E908" s="202" t="str">
        <f t="shared" si="9"/>
        <v> </v>
      </c>
      <c r="F908" s="55" t="str">
        <f t="shared" si="4"/>
        <v/>
      </c>
      <c r="G908" s="202" t="str">
        <f t="shared" si="5"/>
        <v/>
      </c>
      <c r="H908" s="202" t="str">
        <f t="shared" si="11"/>
        <v> </v>
      </c>
      <c r="I908" s="205" t="str">
        <f t="shared" si="7"/>
        <v/>
      </c>
      <c r="J908" s="205"/>
      <c r="K908" s="205"/>
    </row>
    <row r="909" ht="14.25" customHeight="1">
      <c r="A909" s="55">
        <v>46564.0</v>
      </c>
      <c r="B909" s="55" t="str">
        <f t="shared" si="10"/>
        <v>Primer dia</v>
      </c>
      <c r="C909" s="202">
        <f t="shared" si="1"/>
        <v>26</v>
      </c>
      <c r="D909" s="202" t="str">
        <f t="shared" si="2"/>
        <v> </v>
      </c>
      <c r="E909" s="202" t="str">
        <f t="shared" si="9"/>
        <v> </v>
      </c>
      <c r="F909" s="55" t="str">
        <f t="shared" si="4"/>
        <v/>
      </c>
      <c r="G909" s="202" t="str">
        <f t="shared" si="5"/>
        <v/>
      </c>
      <c r="H909" s="202" t="str">
        <f t="shared" si="11"/>
        <v> </v>
      </c>
      <c r="I909" s="205" t="str">
        <f t="shared" si="7"/>
        <v/>
      </c>
      <c r="J909" s="205"/>
      <c r="K909" s="205"/>
    </row>
    <row r="910" ht="14.25" customHeight="1">
      <c r="A910" s="55">
        <v>46565.0</v>
      </c>
      <c r="B910" s="55" t="str">
        <f t="shared" si="10"/>
        <v>Primer dia</v>
      </c>
      <c r="C910" s="202">
        <f t="shared" si="1"/>
        <v>27</v>
      </c>
      <c r="D910" s="202" t="str">
        <f t="shared" si="2"/>
        <v> </v>
      </c>
      <c r="E910" s="202" t="str">
        <f t="shared" si="9"/>
        <v> </v>
      </c>
      <c r="F910" s="55" t="str">
        <f t="shared" si="4"/>
        <v/>
      </c>
      <c r="G910" s="202" t="str">
        <f t="shared" si="5"/>
        <v/>
      </c>
      <c r="H910" s="202" t="str">
        <f t="shared" si="11"/>
        <v> </v>
      </c>
      <c r="I910" s="205" t="str">
        <f t="shared" si="7"/>
        <v/>
      </c>
      <c r="J910" s="205"/>
      <c r="K910" s="205"/>
    </row>
    <row r="911" ht="14.25" customHeight="1">
      <c r="A911" s="55">
        <v>46566.0</v>
      </c>
      <c r="B911" s="55" t="str">
        <f t="shared" si="10"/>
        <v>Primer dia</v>
      </c>
      <c r="C911" s="202">
        <f t="shared" si="1"/>
        <v>28</v>
      </c>
      <c r="D911" s="202" t="str">
        <f t="shared" si="2"/>
        <v> </v>
      </c>
      <c r="E911" s="202" t="str">
        <f t="shared" si="9"/>
        <v> </v>
      </c>
      <c r="F911" s="55" t="str">
        <f t="shared" si="4"/>
        <v/>
      </c>
      <c r="G911" s="202" t="str">
        <f t="shared" si="5"/>
        <v/>
      </c>
      <c r="H911" s="202" t="str">
        <f t="shared" si="11"/>
        <v> </v>
      </c>
      <c r="I911" s="205" t="str">
        <f t="shared" si="7"/>
        <v/>
      </c>
      <c r="J911" s="205"/>
      <c r="K911" s="205"/>
    </row>
    <row r="912" ht="14.25" customHeight="1">
      <c r="A912" s="55">
        <v>46567.0</v>
      </c>
      <c r="B912" s="55" t="str">
        <f t="shared" si="10"/>
        <v>Primer dia</v>
      </c>
      <c r="C912" s="202">
        <f t="shared" si="1"/>
        <v>29</v>
      </c>
      <c r="D912" s="202" t="str">
        <f t="shared" si="2"/>
        <v> </v>
      </c>
      <c r="E912" s="202" t="str">
        <f t="shared" si="9"/>
        <v> </v>
      </c>
      <c r="F912" s="55" t="str">
        <f t="shared" si="4"/>
        <v/>
      </c>
      <c r="G912" s="202" t="str">
        <f t="shared" si="5"/>
        <v/>
      </c>
      <c r="H912" s="202" t="str">
        <f t="shared" si="11"/>
        <v> </v>
      </c>
      <c r="I912" s="205" t="str">
        <f t="shared" si="7"/>
        <v/>
      </c>
      <c r="J912" s="205"/>
      <c r="K912" s="205"/>
    </row>
    <row r="913" ht="14.25" customHeight="1">
      <c r="A913" s="55">
        <v>46568.0</v>
      </c>
      <c r="B913" s="55" t="str">
        <f t="shared" si="10"/>
        <v>Primer dia</v>
      </c>
      <c r="C913" s="202">
        <f t="shared" si="1"/>
        <v>30</v>
      </c>
      <c r="D913" s="202" t="str">
        <f t="shared" si="2"/>
        <v> </v>
      </c>
      <c r="E913" s="202" t="str">
        <f t="shared" si="9"/>
        <v> </v>
      </c>
      <c r="F913" s="55" t="str">
        <f t="shared" si="4"/>
        <v/>
      </c>
      <c r="G913" s="202" t="str">
        <f t="shared" si="5"/>
        <v/>
      </c>
      <c r="H913" s="202" t="str">
        <f t="shared" si="11"/>
        <v> </v>
      </c>
      <c r="I913" s="205" t="str">
        <f t="shared" si="7"/>
        <v/>
      </c>
      <c r="J913" s="205"/>
      <c r="K913" s="205"/>
    </row>
    <row r="914" ht="14.25" customHeight="1">
      <c r="A914" s="55">
        <v>46569.0</v>
      </c>
      <c r="B914" s="55" t="str">
        <f t="shared" si="10"/>
        <v>Primer dia</v>
      </c>
      <c r="C914" s="202">
        <f t="shared" si="1"/>
        <v>1</v>
      </c>
      <c r="D914" s="202" t="str">
        <f t="shared" si="2"/>
        <v> </v>
      </c>
      <c r="E914" s="202" t="str">
        <f t="shared" si="9"/>
        <v> </v>
      </c>
      <c r="F914" s="55" t="str">
        <f t="shared" si="4"/>
        <v/>
      </c>
      <c r="G914" s="202" t="str">
        <f t="shared" si="5"/>
        <v/>
      </c>
      <c r="H914" s="202" t="str">
        <f t="shared" si="11"/>
        <v> </v>
      </c>
      <c r="I914" s="205" t="str">
        <f t="shared" si="7"/>
        <v/>
      </c>
      <c r="J914" s="205"/>
      <c r="K914" s="205"/>
    </row>
    <row r="915" ht="14.25" customHeight="1">
      <c r="A915" s="55">
        <v>46570.0</v>
      </c>
      <c r="B915" s="55" t="str">
        <f t="shared" si="10"/>
        <v>Primer dia</v>
      </c>
      <c r="C915" s="202">
        <f t="shared" si="1"/>
        <v>2</v>
      </c>
      <c r="D915" s="202" t="str">
        <f t="shared" si="2"/>
        <v> </v>
      </c>
      <c r="E915" s="202">
        <f t="shared" si="9"/>
        <v>2</v>
      </c>
      <c r="F915" s="55">
        <f t="shared" si="4"/>
        <v>46570</v>
      </c>
      <c r="G915" s="202">
        <f t="shared" si="5"/>
        <v>35</v>
      </c>
      <c r="H915" s="202" t="str">
        <f t="shared" si="11"/>
        <v> </v>
      </c>
      <c r="I915" s="205" t="str">
        <f t="shared" si="7"/>
        <v/>
      </c>
      <c r="J915" s="205"/>
      <c r="K915" s="205"/>
    </row>
    <row r="916" ht="14.25" customHeight="1">
      <c r="A916" s="55">
        <v>46571.0</v>
      </c>
      <c r="B916" s="55" t="str">
        <f t="shared" si="10"/>
        <v>Primer dia</v>
      </c>
      <c r="C916" s="202">
        <f t="shared" si="1"/>
        <v>3</v>
      </c>
      <c r="D916" s="202" t="str">
        <f t="shared" si="2"/>
        <v> </v>
      </c>
      <c r="E916" s="202" t="str">
        <f t="shared" si="9"/>
        <v> </v>
      </c>
      <c r="F916" s="55" t="str">
        <f t="shared" si="4"/>
        <v/>
      </c>
      <c r="G916" s="202" t="str">
        <f t="shared" si="5"/>
        <v/>
      </c>
      <c r="H916" s="202" t="str">
        <f t="shared" si="11"/>
        <v> </v>
      </c>
      <c r="I916" s="205" t="str">
        <f t="shared" si="7"/>
        <v/>
      </c>
      <c r="J916" s="205"/>
      <c r="K916" s="205"/>
    </row>
    <row r="917" ht="14.25" customHeight="1">
      <c r="A917" s="55">
        <v>46572.0</v>
      </c>
      <c r="B917" s="55" t="str">
        <f t="shared" si="10"/>
        <v>Primer dia</v>
      </c>
      <c r="C917" s="202">
        <f t="shared" si="1"/>
        <v>4</v>
      </c>
      <c r="D917" s="202" t="str">
        <f t="shared" si="2"/>
        <v> </v>
      </c>
      <c r="E917" s="202" t="str">
        <f t="shared" si="9"/>
        <v> </v>
      </c>
      <c r="F917" s="55" t="str">
        <f t="shared" si="4"/>
        <v/>
      </c>
      <c r="G917" s="202" t="str">
        <f t="shared" si="5"/>
        <v/>
      </c>
      <c r="H917" s="202" t="str">
        <f t="shared" si="11"/>
        <v> </v>
      </c>
      <c r="I917" s="205" t="str">
        <f t="shared" si="7"/>
        <v/>
      </c>
      <c r="J917" s="205"/>
      <c r="K917" s="205"/>
    </row>
    <row r="918" ht="14.25" customHeight="1">
      <c r="A918" s="55">
        <v>46573.0</v>
      </c>
      <c r="B918" s="55" t="str">
        <f t="shared" si="10"/>
        <v>Primer dia</v>
      </c>
      <c r="C918" s="202">
        <f t="shared" si="1"/>
        <v>5</v>
      </c>
      <c r="D918" s="202" t="str">
        <f t="shared" si="2"/>
        <v> </v>
      </c>
      <c r="E918" s="202" t="str">
        <f t="shared" si="9"/>
        <v> </v>
      </c>
      <c r="F918" s="55" t="str">
        <f t="shared" si="4"/>
        <v/>
      </c>
      <c r="G918" s="202" t="str">
        <f t="shared" si="5"/>
        <v/>
      </c>
      <c r="H918" s="202" t="str">
        <f t="shared" si="11"/>
        <v> </v>
      </c>
      <c r="I918" s="205" t="str">
        <f t="shared" si="7"/>
        <v/>
      </c>
      <c r="J918" s="205"/>
      <c r="K918" s="205"/>
    </row>
    <row r="919" ht="14.25" customHeight="1">
      <c r="A919" s="55">
        <v>46574.0</v>
      </c>
      <c r="B919" s="55" t="str">
        <f t="shared" si="10"/>
        <v>Primer dia</v>
      </c>
      <c r="C919" s="202">
        <f t="shared" si="1"/>
        <v>6</v>
      </c>
      <c r="D919" s="202" t="str">
        <f t="shared" si="2"/>
        <v> </v>
      </c>
      <c r="E919" s="202" t="str">
        <f t="shared" si="9"/>
        <v> </v>
      </c>
      <c r="F919" s="55" t="str">
        <f t="shared" si="4"/>
        <v/>
      </c>
      <c r="G919" s="202" t="str">
        <f t="shared" si="5"/>
        <v/>
      </c>
      <c r="H919" s="202" t="str">
        <f t="shared" si="11"/>
        <v> </v>
      </c>
      <c r="I919" s="205" t="str">
        <f t="shared" si="7"/>
        <v/>
      </c>
      <c r="J919" s="205"/>
      <c r="K919" s="205"/>
    </row>
    <row r="920" ht="14.25" customHeight="1">
      <c r="A920" s="55">
        <v>46575.0</v>
      </c>
      <c r="B920" s="55" t="str">
        <f t="shared" si="10"/>
        <v>Primer dia</v>
      </c>
      <c r="C920" s="202">
        <f t="shared" si="1"/>
        <v>7</v>
      </c>
      <c r="D920" s="202" t="str">
        <f t="shared" si="2"/>
        <v> </v>
      </c>
      <c r="E920" s="202" t="str">
        <f t="shared" si="9"/>
        <v> </v>
      </c>
      <c r="F920" s="55" t="str">
        <f t="shared" si="4"/>
        <v/>
      </c>
      <c r="G920" s="202" t="str">
        <f t="shared" si="5"/>
        <v/>
      </c>
      <c r="H920" s="202" t="str">
        <f t="shared" si="11"/>
        <v> </v>
      </c>
      <c r="I920" s="205" t="str">
        <f t="shared" si="7"/>
        <v/>
      </c>
      <c r="J920" s="205"/>
      <c r="K920" s="205"/>
    </row>
    <row r="921" ht="14.25" customHeight="1">
      <c r="A921" s="55">
        <v>46576.0</v>
      </c>
      <c r="B921" s="55" t="str">
        <f t="shared" si="10"/>
        <v>Primer dia</v>
      </c>
      <c r="C921" s="202">
        <f t="shared" si="1"/>
        <v>8</v>
      </c>
      <c r="D921" s="202" t="str">
        <f t="shared" si="2"/>
        <v> </v>
      </c>
      <c r="E921" s="202" t="str">
        <f t="shared" si="9"/>
        <v> </v>
      </c>
      <c r="F921" s="55" t="str">
        <f t="shared" si="4"/>
        <v/>
      </c>
      <c r="G921" s="202" t="str">
        <f t="shared" si="5"/>
        <v/>
      </c>
      <c r="H921" s="202" t="str">
        <f t="shared" si="11"/>
        <v> </v>
      </c>
      <c r="I921" s="205" t="str">
        <f t="shared" si="7"/>
        <v/>
      </c>
      <c r="J921" s="205"/>
      <c r="K921" s="205"/>
    </row>
    <row r="922" ht="14.25" customHeight="1">
      <c r="A922" s="55">
        <v>46577.0</v>
      </c>
      <c r="B922" s="55" t="str">
        <f t="shared" si="10"/>
        <v>Primer dia</v>
      </c>
      <c r="C922" s="202">
        <f t="shared" si="1"/>
        <v>9</v>
      </c>
      <c r="D922" s="202" t="str">
        <f t="shared" si="2"/>
        <v> </v>
      </c>
      <c r="E922" s="202" t="str">
        <f t="shared" si="9"/>
        <v> </v>
      </c>
      <c r="F922" s="55" t="str">
        <f t="shared" si="4"/>
        <v/>
      </c>
      <c r="G922" s="202" t="str">
        <f t="shared" si="5"/>
        <v/>
      </c>
      <c r="H922" s="202" t="str">
        <f t="shared" si="11"/>
        <v> </v>
      </c>
      <c r="I922" s="205" t="str">
        <f t="shared" si="7"/>
        <v/>
      </c>
      <c r="J922" s="205"/>
      <c r="K922" s="205"/>
    </row>
    <row r="923" ht="14.25" customHeight="1">
      <c r="A923" s="55">
        <v>46578.0</v>
      </c>
      <c r="B923" s="55" t="str">
        <f t="shared" si="10"/>
        <v>Primer dia</v>
      </c>
      <c r="C923" s="202">
        <f t="shared" si="1"/>
        <v>10</v>
      </c>
      <c r="D923" s="202" t="str">
        <f t="shared" si="2"/>
        <v> </v>
      </c>
      <c r="E923" s="202" t="str">
        <f t="shared" si="9"/>
        <v> </v>
      </c>
      <c r="F923" s="55" t="str">
        <f t="shared" si="4"/>
        <v/>
      </c>
      <c r="G923" s="202" t="str">
        <f t="shared" si="5"/>
        <v/>
      </c>
      <c r="H923" s="202" t="str">
        <f t="shared" si="11"/>
        <v> </v>
      </c>
      <c r="I923" s="205" t="str">
        <f t="shared" si="7"/>
        <v/>
      </c>
      <c r="J923" s="205"/>
      <c r="K923" s="205"/>
    </row>
    <row r="924" ht="14.25" customHeight="1">
      <c r="A924" s="55">
        <v>46579.0</v>
      </c>
      <c r="B924" s="55" t="str">
        <f t="shared" si="10"/>
        <v>Primer dia</v>
      </c>
      <c r="C924" s="202">
        <f t="shared" si="1"/>
        <v>11</v>
      </c>
      <c r="D924" s="202" t="str">
        <f t="shared" si="2"/>
        <v> </v>
      </c>
      <c r="E924" s="202" t="str">
        <f t="shared" si="9"/>
        <v> </v>
      </c>
      <c r="F924" s="55" t="str">
        <f t="shared" si="4"/>
        <v/>
      </c>
      <c r="G924" s="202" t="str">
        <f t="shared" si="5"/>
        <v/>
      </c>
      <c r="H924" s="202" t="str">
        <f t="shared" si="11"/>
        <v> </v>
      </c>
      <c r="I924" s="205" t="str">
        <f t="shared" si="7"/>
        <v/>
      </c>
      <c r="J924" s="205"/>
      <c r="K924" s="205"/>
    </row>
    <row r="925" ht="14.25" customHeight="1">
      <c r="A925" s="55">
        <v>46580.0</v>
      </c>
      <c r="B925" s="55" t="str">
        <f t="shared" si="10"/>
        <v>Primer dia</v>
      </c>
      <c r="C925" s="202">
        <f t="shared" si="1"/>
        <v>12</v>
      </c>
      <c r="D925" s="202" t="str">
        <f t="shared" si="2"/>
        <v> </v>
      </c>
      <c r="E925" s="202" t="str">
        <f t="shared" si="9"/>
        <v> </v>
      </c>
      <c r="F925" s="55" t="str">
        <f t="shared" si="4"/>
        <v/>
      </c>
      <c r="G925" s="202" t="str">
        <f t="shared" si="5"/>
        <v/>
      </c>
      <c r="H925" s="202" t="str">
        <f t="shared" si="11"/>
        <v> </v>
      </c>
      <c r="I925" s="205" t="str">
        <f t="shared" si="7"/>
        <v/>
      </c>
      <c r="J925" s="205"/>
      <c r="K925" s="205"/>
    </row>
    <row r="926" ht="14.25" customHeight="1">
      <c r="A926" s="55">
        <v>46581.0</v>
      </c>
      <c r="B926" s="55" t="str">
        <f t="shared" si="10"/>
        <v>Primer dia</v>
      </c>
      <c r="C926" s="202">
        <f t="shared" si="1"/>
        <v>13</v>
      </c>
      <c r="D926" s="202" t="str">
        <f t="shared" si="2"/>
        <v> </v>
      </c>
      <c r="E926" s="202" t="str">
        <f t="shared" si="9"/>
        <v> </v>
      </c>
      <c r="F926" s="55" t="str">
        <f t="shared" si="4"/>
        <v/>
      </c>
      <c r="G926" s="202" t="str">
        <f t="shared" si="5"/>
        <v/>
      </c>
      <c r="H926" s="202" t="str">
        <f t="shared" si="11"/>
        <v> </v>
      </c>
      <c r="I926" s="205" t="str">
        <f t="shared" si="7"/>
        <v/>
      </c>
      <c r="J926" s="205"/>
      <c r="K926" s="205"/>
    </row>
    <row r="927" ht="14.25" customHeight="1">
      <c r="A927" s="55">
        <v>46582.0</v>
      </c>
      <c r="B927" s="55" t="str">
        <f t="shared" si="10"/>
        <v>Primer dia</v>
      </c>
      <c r="C927" s="202">
        <f t="shared" si="1"/>
        <v>14</v>
      </c>
      <c r="D927" s="202" t="str">
        <f t="shared" si="2"/>
        <v> </v>
      </c>
      <c r="E927" s="202" t="str">
        <f t="shared" si="9"/>
        <v> </v>
      </c>
      <c r="F927" s="55" t="str">
        <f t="shared" si="4"/>
        <v/>
      </c>
      <c r="G927" s="202" t="str">
        <f t="shared" si="5"/>
        <v/>
      </c>
      <c r="H927" s="202" t="str">
        <f t="shared" si="11"/>
        <v> </v>
      </c>
      <c r="I927" s="205" t="str">
        <f t="shared" si="7"/>
        <v/>
      </c>
      <c r="J927" s="205"/>
      <c r="K927" s="205"/>
    </row>
    <row r="928" ht="14.25" customHeight="1">
      <c r="A928" s="55">
        <v>46583.0</v>
      </c>
      <c r="B928" s="55" t="str">
        <f t="shared" si="10"/>
        <v>Primer dia</v>
      </c>
      <c r="C928" s="202">
        <f t="shared" si="1"/>
        <v>15</v>
      </c>
      <c r="D928" s="202" t="str">
        <f t="shared" si="2"/>
        <v> </v>
      </c>
      <c r="E928" s="202" t="str">
        <f t="shared" si="9"/>
        <v> </v>
      </c>
      <c r="F928" s="55" t="str">
        <f t="shared" si="4"/>
        <v/>
      </c>
      <c r="G928" s="202" t="str">
        <f t="shared" si="5"/>
        <v/>
      </c>
      <c r="H928" s="202" t="str">
        <f t="shared" si="11"/>
        <v> </v>
      </c>
      <c r="I928" s="205" t="str">
        <f t="shared" si="7"/>
        <v/>
      </c>
      <c r="J928" s="205"/>
      <c r="K928" s="205"/>
    </row>
    <row r="929" ht="14.25" customHeight="1">
      <c r="A929" s="55">
        <v>46584.0</v>
      </c>
      <c r="B929" s="55" t="str">
        <f t="shared" si="10"/>
        <v>Primer dia</v>
      </c>
      <c r="C929" s="202">
        <f t="shared" si="1"/>
        <v>16</v>
      </c>
      <c r="D929" s="202" t="str">
        <f t="shared" si="2"/>
        <v> </v>
      </c>
      <c r="E929" s="202" t="str">
        <f t="shared" si="9"/>
        <v> </v>
      </c>
      <c r="F929" s="55" t="str">
        <f t="shared" si="4"/>
        <v/>
      </c>
      <c r="G929" s="202" t="str">
        <f t="shared" si="5"/>
        <v/>
      </c>
      <c r="H929" s="202" t="str">
        <f t="shared" si="11"/>
        <v> </v>
      </c>
      <c r="I929" s="205" t="str">
        <f t="shared" si="7"/>
        <v/>
      </c>
      <c r="J929" s="205"/>
      <c r="K929" s="205"/>
    </row>
    <row r="930" ht="14.25" customHeight="1">
      <c r="A930" s="55">
        <v>46585.0</v>
      </c>
      <c r="B930" s="55" t="str">
        <f t="shared" si="10"/>
        <v>Primer dia</v>
      </c>
      <c r="C930" s="202">
        <f t="shared" si="1"/>
        <v>17</v>
      </c>
      <c r="D930" s="202" t="str">
        <f t="shared" si="2"/>
        <v> </v>
      </c>
      <c r="E930" s="202">
        <f t="shared" si="9"/>
        <v>17</v>
      </c>
      <c r="F930" s="55">
        <f t="shared" si="4"/>
        <v>46585</v>
      </c>
      <c r="G930" s="202">
        <f t="shared" si="5"/>
        <v>36</v>
      </c>
      <c r="H930" s="202" t="str">
        <f t="shared" si="11"/>
        <v> </v>
      </c>
      <c r="I930" s="205" t="str">
        <f t="shared" si="7"/>
        <v/>
      </c>
      <c r="J930" s="205"/>
      <c r="K930" s="205"/>
    </row>
    <row r="931" ht="14.25" customHeight="1">
      <c r="A931" s="55">
        <v>46586.0</v>
      </c>
      <c r="B931" s="55" t="str">
        <f t="shared" si="10"/>
        <v>Primer dia</v>
      </c>
      <c r="C931" s="202">
        <f t="shared" si="1"/>
        <v>18</v>
      </c>
      <c r="D931" s="202" t="str">
        <f t="shared" si="2"/>
        <v> </v>
      </c>
      <c r="E931" s="202" t="str">
        <f t="shared" si="9"/>
        <v> </v>
      </c>
      <c r="F931" s="55" t="str">
        <f t="shared" si="4"/>
        <v/>
      </c>
      <c r="G931" s="202" t="str">
        <f t="shared" si="5"/>
        <v/>
      </c>
      <c r="H931" s="202" t="str">
        <f t="shared" si="11"/>
        <v> </v>
      </c>
      <c r="I931" s="205" t="str">
        <f t="shared" si="7"/>
        <v/>
      </c>
      <c r="J931" s="205"/>
      <c r="K931" s="205"/>
    </row>
    <row r="932" ht="14.25" customHeight="1">
      <c r="A932" s="55">
        <v>46587.0</v>
      </c>
      <c r="B932" s="55" t="str">
        <f t="shared" si="10"/>
        <v>Primer dia</v>
      </c>
      <c r="C932" s="202">
        <f t="shared" si="1"/>
        <v>19</v>
      </c>
      <c r="D932" s="202" t="str">
        <f t="shared" si="2"/>
        <v> </v>
      </c>
      <c r="E932" s="202" t="str">
        <f t="shared" si="9"/>
        <v> </v>
      </c>
      <c r="F932" s="55" t="str">
        <f t="shared" si="4"/>
        <v/>
      </c>
      <c r="G932" s="202" t="str">
        <f t="shared" si="5"/>
        <v/>
      </c>
      <c r="H932" s="202" t="str">
        <f t="shared" si="11"/>
        <v> </v>
      </c>
      <c r="I932" s="205" t="str">
        <f t="shared" si="7"/>
        <v/>
      </c>
      <c r="J932" s="205"/>
      <c r="K932" s="205"/>
    </row>
    <row r="933" ht="14.25" customHeight="1">
      <c r="A933" s="55">
        <v>46588.0</v>
      </c>
      <c r="B933" s="55" t="str">
        <f t="shared" si="10"/>
        <v>Primer dia</v>
      </c>
      <c r="C933" s="202">
        <f t="shared" si="1"/>
        <v>20</v>
      </c>
      <c r="D933" s="202" t="str">
        <f t="shared" si="2"/>
        <v> </v>
      </c>
      <c r="E933" s="202" t="str">
        <f t="shared" si="9"/>
        <v> </v>
      </c>
      <c r="F933" s="55" t="str">
        <f t="shared" si="4"/>
        <v/>
      </c>
      <c r="G933" s="202" t="str">
        <f t="shared" si="5"/>
        <v/>
      </c>
      <c r="H933" s="202" t="str">
        <f t="shared" si="11"/>
        <v> </v>
      </c>
      <c r="I933" s="205" t="str">
        <f t="shared" si="7"/>
        <v/>
      </c>
      <c r="J933" s="205"/>
      <c r="K933" s="205"/>
    </row>
    <row r="934" ht="14.25" customHeight="1">
      <c r="A934" s="55">
        <v>46589.0</v>
      </c>
      <c r="B934" s="55" t="str">
        <f t="shared" si="10"/>
        <v>Primer dia</v>
      </c>
      <c r="C934" s="202">
        <f t="shared" si="1"/>
        <v>21</v>
      </c>
      <c r="D934" s="202" t="str">
        <f t="shared" si="2"/>
        <v> </v>
      </c>
      <c r="E934" s="202" t="str">
        <f t="shared" si="9"/>
        <v> </v>
      </c>
      <c r="F934" s="55" t="str">
        <f t="shared" si="4"/>
        <v/>
      </c>
      <c r="G934" s="202" t="str">
        <f t="shared" si="5"/>
        <v/>
      </c>
      <c r="H934" s="202" t="str">
        <f t="shared" si="11"/>
        <v> </v>
      </c>
      <c r="I934" s="205" t="str">
        <f t="shared" si="7"/>
        <v/>
      </c>
      <c r="J934" s="205"/>
      <c r="K934" s="205"/>
    </row>
    <row r="935" ht="14.25" customHeight="1">
      <c r="A935" s="55">
        <v>46590.0</v>
      </c>
      <c r="B935" s="55" t="str">
        <f t="shared" si="10"/>
        <v>Primer dia</v>
      </c>
      <c r="C935" s="202">
        <f t="shared" si="1"/>
        <v>22</v>
      </c>
      <c r="D935" s="202" t="str">
        <f t="shared" si="2"/>
        <v> </v>
      </c>
      <c r="E935" s="202" t="str">
        <f t="shared" si="9"/>
        <v> </v>
      </c>
      <c r="F935" s="55" t="str">
        <f t="shared" si="4"/>
        <v/>
      </c>
      <c r="G935" s="202" t="str">
        <f t="shared" si="5"/>
        <v/>
      </c>
      <c r="H935" s="202" t="str">
        <f t="shared" si="11"/>
        <v> </v>
      </c>
      <c r="I935" s="205" t="str">
        <f t="shared" si="7"/>
        <v/>
      </c>
      <c r="J935" s="205"/>
      <c r="K935" s="205"/>
    </row>
    <row r="936" ht="14.25" customHeight="1">
      <c r="A936" s="55">
        <v>46591.0</v>
      </c>
      <c r="B936" s="55" t="str">
        <f t="shared" si="10"/>
        <v>Primer dia</v>
      </c>
      <c r="C936" s="202">
        <f t="shared" si="1"/>
        <v>23</v>
      </c>
      <c r="D936" s="202" t="str">
        <f t="shared" si="2"/>
        <v> </v>
      </c>
      <c r="E936" s="202" t="str">
        <f t="shared" si="9"/>
        <v> </v>
      </c>
      <c r="F936" s="55" t="str">
        <f t="shared" si="4"/>
        <v/>
      </c>
      <c r="G936" s="202" t="str">
        <f t="shared" si="5"/>
        <v/>
      </c>
      <c r="H936" s="202" t="str">
        <f t="shared" si="11"/>
        <v> </v>
      </c>
      <c r="I936" s="205" t="str">
        <f t="shared" si="7"/>
        <v/>
      </c>
      <c r="J936" s="205"/>
      <c r="K936" s="205"/>
    </row>
    <row r="937" ht="14.25" customHeight="1">
      <c r="A937" s="55">
        <v>46592.0</v>
      </c>
      <c r="B937" s="55" t="str">
        <f t="shared" si="10"/>
        <v>Primer dia</v>
      </c>
      <c r="C937" s="202">
        <f t="shared" si="1"/>
        <v>24</v>
      </c>
      <c r="D937" s="202" t="str">
        <f t="shared" si="2"/>
        <v> </v>
      </c>
      <c r="E937" s="202" t="str">
        <f t="shared" si="9"/>
        <v> </v>
      </c>
      <c r="F937" s="55" t="str">
        <f t="shared" si="4"/>
        <v/>
      </c>
      <c r="G937" s="202" t="str">
        <f t="shared" si="5"/>
        <v/>
      </c>
      <c r="H937" s="202" t="str">
        <f t="shared" si="11"/>
        <v> </v>
      </c>
      <c r="I937" s="205" t="str">
        <f t="shared" si="7"/>
        <v/>
      </c>
      <c r="J937" s="205"/>
      <c r="K937" s="205"/>
    </row>
    <row r="938" ht="14.25" customHeight="1">
      <c r="A938" s="55">
        <v>46593.0</v>
      </c>
      <c r="B938" s="55" t="str">
        <f t="shared" si="10"/>
        <v>Primer dia</v>
      </c>
      <c r="C938" s="202">
        <f t="shared" si="1"/>
        <v>25</v>
      </c>
      <c r="D938" s="202" t="str">
        <f t="shared" si="2"/>
        <v> </v>
      </c>
      <c r="E938" s="202" t="str">
        <f t="shared" si="9"/>
        <v> </v>
      </c>
      <c r="F938" s="55" t="str">
        <f t="shared" si="4"/>
        <v/>
      </c>
      <c r="G938" s="202" t="str">
        <f t="shared" si="5"/>
        <v/>
      </c>
      <c r="H938" s="202" t="str">
        <f t="shared" si="11"/>
        <v> </v>
      </c>
      <c r="I938" s="205" t="str">
        <f t="shared" si="7"/>
        <v/>
      </c>
      <c r="J938" s="205"/>
      <c r="K938" s="205"/>
    </row>
    <row r="939" ht="14.25" customHeight="1">
      <c r="A939" s="55">
        <v>46594.0</v>
      </c>
      <c r="B939" s="55" t="str">
        <f t="shared" si="10"/>
        <v>Primer dia</v>
      </c>
      <c r="C939" s="202">
        <f t="shared" si="1"/>
        <v>26</v>
      </c>
      <c r="D939" s="202" t="str">
        <f t="shared" si="2"/>
        <v> </v>
      </c>
      <c r="E939" s="202" t="str">
        <f t="shared" si="9"/>
        <v> </v>
      </c>
      <c r="F939" s="55" t="str">
        <f t="shared" si="4"/>
        <v/>
      </c>
      <c r="G939" s="202" t="str">
        <f t="shared" si="5"/>
        <v/>
      </c>
      <c r="H939" s="202" t="str">
        <f t="shared" si="11"/>
        <v> </v>
      </c>
      <c r="I939" s="205" t="str">
        <f t="shared" si="7"/>
        <v/>
      </c>
      <c r="J939" s="205"/>
      <c r="K939" s="205"/>
    </row>
    <row r="940" ht="14.25" customHeight="1">
      <c r="A940" s="55">
        <v>46595.0</v>
      </c>
      <c r="B940" s="55" t="str">
        <f t="shared" si="10"/>
        <v>Primer dia</v>
      </c>
      <c r="C940" s="202">
        <f t="shared" si="1"/>
        <v>27</v>
      </c>
      <c r="D940" s="202" t="str">
        <f t="shared" si="2"/>
        <v> </v>
      </c>
      <c r="E940" s="202" t="str">
        <f t="shared" si="9"/>
        <v> </v>
      </c>
      <c r="F940" s="55" t="str">
        <f t="shared" si="4"/>
        <v/>
      </c>
      <c r="G940" s="202" t="str">
        <f t="shared" si="5"/>
        <v/>
      </c>
      <c r="H940" s="202" t="str">
        <f t="shared" si="11"/>
        <v> </v>
      </c>
      <c r="I940" s="205" t="str">
        <f t="shared" si="7"/>
        <v/>
      </c>
      <c r="J940" s="205"/>
      <c r="K940" s="205"/>
    </row>
    <row r="941" ht="14.25" customHeight="1">
      <c r="A941" s="55">
        <v>46596.0</v>
      </c>
      <c r="B941" s="55" t="str">
        <f t="shared" si="10"/>
        <v>Primer dia</v>
      </c>
      <c r="C941" s="202">
        <f t="shared" si="1"/>
        <v>28</v>
      </c>
      <c r="D941" s="202" t="str">
        <f t="shared" si="2"/>
        <v> </v>
      </c>
      <c r="E941" s="202" t="str">
        <f t="shared" si="9"/>
        <v> </v>
      </c>
      <c r="F941" s="55" t="str">
        <f t="shared" si="4"/>
        <v/>
      </c>
      <c r="G941" s="202" t="str">
        <f t="shared" si="5"/>
        <v/>
      </c>
      <c r="H941" s="202" t="str">
        <f t="shared" si="11"/>
        <v> </v>
      </c>
      <c r="I941" s="205" t="str">
        <f t="shared" si="7"/>
        <v/>
      </c>
      <c r="J941" s="205"/>
      <c r="K941" s="205"/>
    </row>
    <row r="942" ht="14.25" customHeight="1">
      <c r="A942" s="55">
        <v>46597.0</v>
      </c>
      <c r="B942" s="55" t="str">
        <f t="shared" si="10"/>
        <v>Primer dia</v>
      </c>
      <c r="C942" s="202">
        <f t="shared" si="1"/>
        <v>29</v>
      </c>
      <c r="D942" s="202" t="str">
        <f t="shared" si="2"/>
        <v> </v>
      </c>
      <c r="E942" s="202" t="str">
        <f t="shared" si="9"/>
        <v> </v>
      </c>
      <c r="F942" s="55" t="str">
        <f t="shared" si="4"/>
        <v/>
      </c>
      <c r="G942" s="202" t="str">
        <f t="shared" si="5"/>
        <v/>
      </c>
      <c r="H942" s="202" t="str">
        <f t="shared" si="11"/>
        <v> </v>
      </c>
      <c r="I942" s="205" t="str">
        <f t="shared" si="7"/>
        <v/>
      </c>
      <c r="J942" s="205"/>
      <c r="K942" s="205"/>
    </row>
    <row r="943" ht="14.25" customHeight="1">
      <c r="A943" s="55">
        <v>46598.0</v>
      </c>
      <c r="B943" s="55" t="str">
        <f t="shared" si="10"/>
        <v>Primer dia</v>
      </c>
      <c r="C943" s="202">
        <f t="shared" si="1"/>
        <v>30</v>
      </c>
      <c r="D943" s="202" t="str">
        <f t="shared" si="2"/>
        <v> </v>
      </c>
      <c r="E943" s="202" t="str">
        <f t="shared" si="9"/>
        <v> </v>
      </c>
      <c r="F943" s="55" t="str">
        <f t="shared" si="4"/>
        <v/>
      </c>
      <c r="G943" s="202" t="str">
        <f t="shared" si="5"/>
        <v/>
      </c>
      <c r="H943" s="202" t="str">
        <f t="shared" si="11"/>
        <v> </v>
      </c>
      <c r="I943" s="205" t="str">
        <f t="shared" si="7"/>
        <v/>
      </c>
      <c r="J943" s="205"/>
      <c r="K943" s="205"/>
    </row>
    <row r="944" ht="14.25" customHeight="1">
      <c r="A944" s="55">
        <v>46599.0</v>
      </c>
      <c r="B944" s="55" t="str">
        <f t="shared" si="10"/>
        <v>Primer dia</v>
      </c>
      <c r="C944" s="202">
        <f t="shared" si="1"/>
        <v>31</v>
      </c>
      <c r="D944" s="202" t="str">
        <f t="shared" si="2"/>
        <v> </v>
      </c>
      <c r="E944" s="202" t="str">
        <f t="shared" si="9"/>
        <v> </v>
      </c>
      <c r="F944" s="55" t="str">
        <f t="shared" si="4"/>
        <v/>
      </c>
      <c r="G944" s="202" t="str">
        <f t="shared" si="5"/>
        <v/>
      </c>
      <c r="H944" s="202" t="str">
        <f t="shared" si="11"/>
        <v> </v>
      </c>
      <c r="I944" s="205" t="str">
        <f t="shared" si="7"/>
        <v/>
      </c>
      <c r="J944" s="205"/>
      <c r="K944" s="205"/>
    </row>
    <row r="945" ht="14.25" customHeight="1">
      <c r="A945" s="55">
        <v>46600.0</v>
      </c>
      <c r="B945" s="55" t="str">
        <f t="shared" si="10"/>
        <v>Primer dia</v>
      </c>
      <c r="C945" s="202">
        <f t="shared" si="1"/>
        <v>1</v>
      </c>
      <c r="D945" s="202" t="str">
        <f t="shared" si="2"/>
        <v> </v>
      </c>
      <c r="E945" s="202" t="str">
        <f t="shared" si="9"/>
        <v> </v>
      </c>
      <c r="F945" s="55" t="str">
        <f t="shared" si="4"/>
        <v/>
      </c>
      <c r="G945" s="202" t="str">
        <f t="shared" si="5"/>
        <v/>
      </c>
      <c r="H945" s="202" t="str">
        <f t="shared" si="11"/>
        <v> </v>
      </c>
      <c r="I945" s="205" t="str">
        <f t="shared" si="7"/>
        <v/>
      </c>
      <c r="J945" s="205"/>
      <c r="K945" s="205"/>
    </row>
    <row r="946" ht="14.25" customHeight="1">
      <c r="A946" s="55">
        <v>46601.0</v>
      </c>
      <c r="B946" s="55" t="str">
        <f t="shared" si="10"/>
        <v>Primer dia</v>
      </c>
      <c r="C946" s="202">
        <f t="shared" si="1"/>
        <v>2</v>
      </c>
      <c r="D946" s="202" t="str">
        <f t="shared" si="2"/>
        <v> </v>
      </c>
      <c r="E946" s="202">
        <f t="shared" si="9"/>
        <v>2</v>
      </c>
      <c r="F946" s="55">
        <f t="shared" si="4"/>
        <v>46601</v>
      </c>
      <c r="G946" s="202">
        <f t="shared" si="5"/>
        <v>37</v>
      </c>
      <c r="H946" s="202" t="str">
        <f t="shared" si="11"/>
        <v> </v>
      </c>
      <c r="I946" s="205" t="str">
        <f t="shared" si="7"/>
        <v/>
      </c>
      <c r="J946" s="205"/>
      <c r="K946" s="205"/>
    </row>
    <row r="947" ht="14.25" customHeight="1">
      <c r="A947" s="55">
        <v>46602.0</v>
      </c>
      <c r="B947" s="55" t="str">
        <f t="shared" si="10"/>
        <v>Primer dia</v>
      </c>
      <c r="C947" s="202">
        <f t="shared" si="1"/>
        <v>3</v>
      </c>
      <c r="D947" s="202" t="str">
        <f t="shared" si="2"/>
        <v> </v>
      </c>
      <c r="E947" s="202" t="str">
        <f t="shared" si="9"/>
        <v> </v>
      </c>
      <c r="F947" s="55" t="str">
        <f t="shared" si="4"/>
        <v/>
      </c>
      <c r="G947" s="202" t="str">
        <f t="shared" si="5"/>
        <v/>
      </c>
      <c r="H947" s="202" t="str">
        <f t="shared" si="11"/>
        <v> </v>
      </c>
      <c r="I947" s="205" t="str">
        <f t="shared" si="7"/>
        <v/>
      </c>
      <c r="J947" s="205"/>
      <c r="K947" s="205"/>
    </row>
    <row r="948" ht="14.25" customHeight="1">
      <c r="A948" s="55">
        <v>46603.0</v>
      </c>
      <c r="B948" s="55" t="str">
        <f t="shared" si="10"/>
        <v>Primer dia</v>
      </c>
      <c r="C948" s="202">
        <f t="shared" si="1"/>
        <v>4</v>
      </c>
      <c r="D948" s="202" t="str">
        <f t="shared" si="2"/>
        <v> </v>
      </c>
      <c r="E948" s="202" t="str">
        <f t="shared" si="9"/>
        <v> </v>
      </c>
      <c r="F948" s="55" t="str">
        <f t="shared" si="4"/>
        <v/>
      </c>
      <c r="G948" s="202" t="str">
        <f t="shared" si="5"/>
        <v/>
      </c>
      <c r="H948" s="202" t="str">
        <f t="shared" si="11"/>
        <v> </v>
      </c>
      <c r="I948" s="205" t="str">
        <f t="shared" si="7"/>
        <v/>
      </c>
      <c r="J948" s="205"/>
      <c r="K948" s="205"/>
    </row>
    <row r="949" ht="14.25" customHeight="1">
      <c r="A949" s="55">
        <v>46604.0</v>
      </c>
      <c r="B949" s="55" t="str">
        <f t="shared" si="10"/>
        <v>Primer dia</v>
      </c>
      <c r="C949" s="202">
        <f t="shared" si="1"/>
        <v>5</v>
      </c>
      <c r="D949" s="202" t="str">
        <f t="shared" si="2"/>
        <v> </v>
      </c>
      <c r="E949" s="202" t="str">
        <f t="shared" si="9"/>
        <v> </v>
      </c>
      <c r="F949" s="55" t="str">
        <f t="shared" si="4"/>
        <v/>
      </c>
      <c r="G949" s="202" t="str">
        <f t="shared" si="5"/>
        <v/>
      </c>
      <c r="H949" s="202" t="str">
        <f t="shared" si="11"/>
        <v> </v>
      </c>
      <c r="I949" s="205" t="str">
        <f t="shared" si="7"/>
        <v/>
      </c>
      <c r="J949" s="205"/>
      <c r="K949" s="205"/>
    </row>
    <row r="950" ht="14.25" customHeight="1">
      <c r="A950" s="55">
        <v>46605.0</v>
      </c>
      <c r="B950" s="55" t="str">
        <f t="shared" si="10"/>
        <v>Primer dia</v>
      </c>
      <c r="C950" s="202">
        <f t="shared" si="1"/>
        <v>6</v>
      </c>
      <c r="D950" s="202" t="str">
        <f t="shared" si="2"/>
        <v> </v>
      </c>
      <c r="E950" s="202" t="str">
        <f t="shared" si="9"/>
        <v> </v>
      </c>
      <c r="F950" s="55" t="str">
        <f t="shared" si="4"/>
        <v/>
      </c>
      <c r="G950" s="202" t="str">
        <f t="shared" si="5"/>
        <v/>
      </c>
      <c r="H950" s="202" t="str">
        <f t="shared" si="11"/>
        <v> </v>
      </c>
      <c r="I950" s="205" t="str">
        <f t="shared" si="7"/>
        <v/>
      </c>
      <c r="J950" s="205"/>
      <c r="K950" s="205"/>
    </row>
    <row r="951" ht="14.25" customHeight="1">
      <c r="A951" s="55">
        <v>46606.0</v>
      </c>
      <c r="B951" s="55" t="str">
        <f t="shared" si="10"/>
        <v>Primer dia</v>
      </c>
      <c r="C951" s="202">
        <f t="shared" si="1"/>
        <v>7</v>
      </c>
      <c r="D951" s="202" t="str">
        <f t="shared" si="2"/>
        <v> </v>
      </c>
      <c r="E951" s="202" t="str">
        <f t="shared" si="9"/>
        <v> </v>
      </c>
      <c r="F951" s="55" t="str">
        <f t="shared" si="4"/>
        <v/>
      </c>
      <c r="G951" s="202" t="str">
        <f t="shared" si="5"/>
        <v/>
      </c>
      <c r="H951" s="202" t="str">
        <f t="shared" si="11"/>
        <v> </v>
      </c>
      <c r="I951" s="205" t="str">
        <f t="shared" si="7"/>
        <v/>
      </c>
      <c r="J951" s="205"/>
      <c r="K951" s="205"/>
    </row>
    <row r="952" ht="14.25" customHeight="1">
      <c r="A952" s="55">
        <v>46607.0</v>
      </c>
      <c r="B952" s="55" t="str">
        <f t="shared" si="10"/>
        <v>Primer dia</v>
      </c>
      <c r="C952" s="202">
        <f t="shared" si="1"/>
        <v>8</v>
      </c>
      <c r="D952" s="202" t="str">
        <f t="shared" si="2"/>
        <v> </v>
      </c>
      <c r="E952" s="202" t="str">
        <f t="shared" si="9"/>
        <v> </v>
      </c>
      <c r="F952" s="55" t="str">
        <f t="shared" si="4"/>
        <v/>
      </c>
      <c r="G952" s="202" t="str">
        <f t="shared" si="5"/>
        <v/>
      </c>
      <c r="H952" s="202" t="str">
        <f t="shared" si="11"/>
        <v> </v>
      </c>
      <c r="I952" s="205" t="str">
        <f t="shared" si="7"/>
        <v/>
      </c>
      <c r="J952" s="205"/>
      <c r="K952" s="205"/>
    </row>
    <row r="953" ht="14.25" customHeight="1">
      <c r="A953" s="55">
        <v>46608.0</v>
      </c>
      <c r="B953" s="55" t="str">
        <f t="shared" si="10"/>
        <v>Primer dia</v>
      </c>
      <c r="C953" s="202">
        <f t="shared" si="1"/>
        <v>9</v>
      </c>
      <c r="D953" s="202" t="str">
        <f t="shared" si="2"/>
        <v> </v>
      </c>
      <c r="E953" s="202" t="str">
        <f t="shared" si="9"/>
        <v> </v>
      </c>
      <c r="F953" s="55" t="str">
        <f t="shared" si="4"/>
        <v/>
      </c>
      <c r="G953" s="202" t="str">
        <f t="shared" si="5"/>
        <v/>
      </c>
      <c r="H953" s="202" t="str">
        <f t="shared" si="11"/>
        <v> </v>
      </c>
      <c r="I953" s="205" t="str">
        <f t="shared" si="7"/>
        <v/>
      </c>
      <c r="J953" s="205"/>
      <c r="K953" s="205"/>
    </row>
    <row r="954" ht="14.25" customHeight="1">
      <c r="A954" s="55">
        <v>46609.0</v>
      </c>
      <c r="B954" s="55" t="str">
        <f t="shared" si="10"/>
        <v>Primer dia</v>
      </c>
      <c r="C954" s="202">
        <f t="shared" si="1"/>
        <v>10</v>
      </c>
      <c r="D954" s="202" t="str">
        <f t="shared" si="2"/>
        <v> </v>
      </c>
      <c r="E954" s="202" t="str">
        <f t="shared" si="9"/>
        <v> </v>
      </c>
      <c r="F954" s="55" t="str">
        <f t="shared" si="4"/>
        <v/>
      </c>
      <c r="G954" s="202" t="str">
        <f t="shared" si="5"/>
        <v/>
      </c>
      <c r="H954" s="202" t="str">
        <f t="shared" si="11"/>
        <v> </v>
      </c>
      <c r="I954" s="205" t="str">
        <f t="shared" si="7"/>
        <v/>
      </c>
      <c r="J954" s="205"/>
      <c r="K954" s="205"/>
    </row>
    <row r="955" ht="14.25" customHeight="1">
      <c r="A955" s="55">
        <v>46610.0</v>
      </c>
      <c r="B955" s="55" t="str">
        <f t="shared" si="10"/>
        <v>Primer dia</v>
      </c>
      <c r="C955" s="202">
        <f t="shared" si="1"/>
        <v>11</v>
      </c>
      <c r="D955" s="202" t="str">
        <f t="shared" si="2"/>
        <v> </v>
      </c>
      <c r="E955" s="202" t="str">
        <f t="shared" si="9"/>
        <v> </v>
      </c>
      <c r="F955" s="55" t="str">
        <f t="shared" si="4"/>
        <v/>
      </c>
      <c r="G955" s="202" t="str">
        <f t="shared" si="5"/>
        <v/>
      </c>
      <c r="H955" s="202" t="str">
        <f t="shared" si="11"/>
        <v> </v>
      </c>
      <c r="I955" s="205" t="str">
        <f t="shared" si="7"/>
        <v/>
      </c>
      <c r="J955" s="205"/>
      <c r="K955" s="205"/>
    </row>
    <row r="956" ht="14.25" customHeight="1">
      <c r="A956" s="55">
        <v>46611.0</v>
      </c>
      <c r="B956" s="55" t="str">
        <f t="shared" si="10"/>
        <v>Primer dia</v>
      </c>
      <c r="C956" s="202">
        <f t="shared" si="1"/>
        <v>12</v>
      </c>
      <c r="D956" s="202" t="str">
        <f t="shared" si="2"/>
        <v> </v>
      </c>
      <c r="E956" s="202" t="str">
        <f t="shared" si="9"/>
        <v> </v>
      </c>
      <c r="F956" s="55" t="str">
        <f t="shared" si="4"/>
        <v/>
      </c>
      <c r="G956" s="202" t="str">
        <f t="shared" si="5"/>
        <v/>
      </c>
      <c r="H956" s="202" t="str">
        <f t="shared" si="11"/>
        <v> </v>
      </c>
      <c r="I956" s="205" t="str">
        <f t="shared" si="7"/>
        <v/>
      </c>
      <c r="J956" s="205"/>
      <c r="K956" s="205"/>
    </row>
    <row r="957" ht="14.25" customHeight="1">
      <c r="A957" s="55">
        <v>46612.0</v>
      </c>
      <c r="B957" s="55" t="str">
        <f t="shared" si="10"/>
        <v>Primer dia</v>
      </c>
      <c r="C957" s="202">
        <f t="shared" si="1"/>
        <v>13</v>
      </c>
      <c r="D957" s="202" t="str">
        <f t="shared" si="2"/>
        <v> </v>
      </c>
      <c r="E957" s="202" t="str">
        <f t="shared" si="9"/>
        <v> </v>
      </c>
      <c r="F957" s="55" t="str">
        <f t="shared" si="4"/>
        <v/>
      </c>
      <c r="G957" s="202" t="str">
        <f t="shared" si="5"/>
        <v/>
      </c>
      <c r="H957" s="202" t="str">
        <f t="shared" si="11"/>
        <v> </v>
      </c>
      <c r="I957" s="205" t="str">
        <f t="shared" si="7"/>
        <v/>
      </c>
      <c r="J957" s="205"/>
      <c r="K957" s="205"/>
    </row>
    <row r="958" ht="14.25" customHeight="1">
      <c r="A958" s="55">
        <v>46613.0</v>
      </c>
      <c r="B958" s="55" t="str">
        <f t="shared" si="10"/>
        <v>Primer dia</v>
      </c>
      <c r="C958" s="202">
        <f t="shared" si="1"/>
        <v>14</v>
      </c>
      <c r="D958" s="202" t="str">
        <f t="shared" si="2"/>
        <v> </v>
      </c>
      <c r="E958" s="202" t="str">
        <f t="shared" si="9"/>
        <v> </v>
      </c>
      <c r="F958" s="55" t="str">
        <f t="shared" si="4"/>
        <v/>
      </c>
      <c r="G958" s="202" t="str">
        <f t="shared" si="5"/>
        <v/>
      </c>
      <c r="H958" s="202" t="str">
        <f t="shared" si="11"/>
        <v> </v>
      </c>
      <c r="I958" s="205" t="str">
        <f t="shared" si="7"/>
        <v/>
      </c>
      <c r="J958" s="205"/>
      <c r="K958" s="205"/>
    </row>
    <row r="959" ht="14.25" customHeight="1">
      <c r="A959" s="55">
        <v>46614.0</v>
      </c>
      <c r="B959" s="55" t="str">
        <f t="shared" si="10"/>
        <v>Primer dia</v>
      </c>
      <c r="C959" s="202">
        <f t="shared" si="1"/>
        <v>15</v>
      </c>
      <c r="D959" s="202" t="str">
        <f t="shared" si="2"/>
        <v> </v>
      </c>
      <c r="E959" s="202" t="str">
        <f t="shared" si="9"/>
        <v> </v>
      </c>
      <c r="F959" s="55" t="str">
        <f t="shared" si="4"/>
        <v/>
      </c>
      <c r="G959" s="202" t="str">
        <f t="shared" si="5"/>
        <v/>
      </c>
      <c r="H959" s="202" t="str">
        <f t="shared" si="11"/>
        <v> </v>
      </c>
      <c r="I959" s="205" t="str">
        <f t="shared" si="7"/>
        <v/>
      </c>
      <c r="J959" s="205"/>
      <c r="K959" s="205"/>
    </row>
    <row r="960" ht="14.25" customHeight="1">
      <c r="A960" s="55">
        <v>46615.0</v>
      </c>
      <c r="B960" s="55" t="str">
        <f t="shared" si="10"/>
        <v>Primer dia</v>
      </c>
      <c r="C960" s="202">
        <f t="shared" si="1"/>
        <v>16</v>
      </c>
      <c r="D960" s="202" t="str">
        <f t="shared" si="2"/>
        <v> </v>
      </c>
      <c r="E960" s="202" t="str">
        <f t="shared" si="9"/>
        <v> </v>
      </c>
      <c r="F960" s="55" t="str">
        <f t="shared" si="4"/>
        <v/>
      </c>
      <c r="G960" s="202" t="str">
        <f t="shared" si="5"/>
        <v/>
      </c>
      <c r="H960" s="202" t="str">
        <f t="shared" si="11"/>
        <v> </v>
      </c>
      <c r="I960" s="205" t="str">
        <f t="shared" si="7"/>
        <v/>
      </c>
      <c r="J960" s="205"/>
      <c r="K960" s="205"/>
    </row>
    <row r="961" ht="14.25" customHeight="1">
      <c r="A961" s="55">
        <v>46616.0</v>
      </c>
      <c r="B961" s="55" t="str">
        <f t="shared" si="10"/>
        <v>Primer dia</v>
      </c>
      <c r="C961" s="202">
        <f t="shared" si="1"/>
        <v>17</v>
      </c>
      <c r="D961" s="202" t="str">
        <f t="shared" si="2"/>
        <v> </v>
      </c>
      <c r="E961" s="202">
        <f t="shared" si="9"/>
        <v>17</v>
      </c>
      <c r="F961" s="55">
        <f t="shared" si="4"/>
        <v>46616</v>
      </c>
      <c r="G961" s="202">
        <f t="shared" si="5"/>
        <v>38</v>
      </c>
      <c r="H961" s="202" t="str">
        <f t="shared" si="11"/>
        <v> </v>
      </c>
      <c r="I961" s="205" t="str">
        <f t="shared" si="7"/>
        <v/>
      </c>
      <c r="J961" s="205"/>
      <c r="K961" s="205"/>
    </row>
    <row r="962" ht="14.25" customHeight="1">
      <c r="A962" s="55">
        <v>46617.0</v>
      </c>
      <c r="B962" s="55" t="str">
        <f t="shared" si="10"/>
        <v>Primer dia</v>
      </c>
      <c r="C962" s="202">
        <f t="shared" si="1"/>
        <v>18</v>
      </c>
      <c r="D962" s="202" t="str">
        <f t="shared" si="2"/>
        <v> </v>
      </c>
      <c r="E962" s="202" t="str">
        <f t="shared" si="9"/>
        <v> </v>
      </c>
      <c r="F962" s="55" t="str">
        <f t="shared" si="4"/>
        <v/>
      </c>
      <c r="G962" s="202" t="str">
        <f t="shared" si="5"/>
        <v/>
      </c>
      <c r="H962" s="202" t="str">
        <f t="shared" si="11"/>
        <v> </v>
      </c>
      <c r="I962" s="205" t="str">
        <f t="shared" si="7"/>
        <v/>
      </c>
      <c r="J962" s="205"/>
      <c r="K962" s="205"/>
    </row>
    <row r="963" ht="14.25" customHeight="1">
      <c r="A963" s="55">
        <v>46618.0</v>
      </c>
      <c r="B963" s="55" t="str">
        <f t="shared" si="10"/>
        <v>Primer dia</v>
      </c>
      <c r="C963" s="202">
        <f t="shared" si="1"/>
        <v>19</v>
      </c>
      <c r="D963" s="202" t="str">
        <f t="shared" si="2"/>
        <v> </v>
      </c>
      <c r="E963" s="202" t="str">
        <f t="shared" si="9"/>
        <v> </v>
      </c>
      <c r="F963" s="55" t="str">
        <f t="shared" si="4"/>
        <v/>
      </c>
      <c r="G963" s="202" t="str">
        <f t="shared" si="5"/>
        <v/>
      </c>
      <c r="H963" s="202" t="str">
        <f t="shared" si="11"/>
        <v> </v>
      </c>
      <c r="I963" s="205" t="str">
        <f t="shared" si="7"/>
        <v/>
      </c>
      <c r="J963" s="205"/>
      <c r="K963" s="205"/>
    </row>
    <row r="964" ht="14.25" customHeight="1">
      <c r="A964" s="55">
        <v>46619.0</v>
      </c>
      <c r="B964" s="55" t="str">
        <f t="shared" si="10"/>
        <v>Primer dia</v>
      </c>
      <c r="C964" s="202">
        <f t="shared" si="1"/>
        <v>20</v>
      </c>
      <c r="D964" s="202" t="str">
        <f t="shared" si="2"/>
        <v> </v>
      </c>
      <c r="E964" s="202" t="str">
        <f t="shared" si="9"/>
        <v> </v>
      </c>
      <c r="F964" s="55" t="str">
        <f t="shared" si="4"/>
        <v/>
      </c>
      <c r="G964" s="202" t="str">
        <f t="shared" si="5"/>
        <v/>
      </c>
      <c r="H964" s="202" t="str">
        <f t="shared" si="11"/>
        <v> </v>
      </c>
      <c r="I964" s="205" t="str">
        <f t="shared" si="7"/>
        <v/>
      </c>
      <c r="J964" s="205"/>
      <c r="K964" s="205"/>
    </row>
    <row r="965" ht="14.25" customHeight="1">
      <c r="A965" s="55">
        <v>46620.0</v>
      </c>
      <c r="B965" s="55" t="str">
        <f t="shared" si="10"/>
        <v>Primer dia</v>
      </c>
      <c r="C965" s="202">
        <f t="shared" si="1"/>
        <v>21</v>
      </c>
      <c r="D965" s="202" t="str">
        <f t="shared" si="2"/>
        <v> </v>
      </c>
      <c r="E965" s="202" t="str">
        <f t="shared" si="9"/>
        <v> </v>
      </c>
      <c r="F965" s="55" t="str">
        <f t="shared" si="4"/>
        <v/>
      </c>
      <c r="G965" s="202" t="str">
        <f t="shared" si="5"/>
        <v/>
      </c>
      <c r="H965" s="202" t="str">
        <f t="shared" si="11"/>
        <v> </v>
      </c>
      <c r="I965" s="205" t="str">
        <f t="shared" si="7"/>
        <v/>
      </c>
      <c r="J965" s="205"/>
      <c r="K965" s="205"/>
    </row>
    <row r="966" ht="14.25" customHeight="1">
      <c r="A966" s="55">
        <v>46621.0</v>
      </c>
      <c r="B966" s="55" t="str">
        <f t="shared" si="10"/>
        <v>Primer dia</v>
      </c>
      <c r="C966" s="202">
        <f t="shared" si="1"/>
        <v>22</v>
      </c>
      <c r="D966" s="202" t="str">
        <f t="shared" si="2"/>
        <v> </v>
      </c>
      <c r="E966" s="202" t="str">
        <f t="shared" si="9"/>
        <v> </v>
      </c>
      <c r="F966" s="55" t="str">
        <f t="shared" si="4"/>
        <v/>
      </c>
      <c r="G966" s="202" t="str">
        <f t="shared" si="5"/>
        <v/>
      </c>
      <c r="H966" s="202" t="str">
        <f t="shared" si="11"/>
        <v> </v>
      </c>
      <c r="I966" s="205" t="str">
        <f t="shared" si="7"/>
        <v/>
      </c>
      <c r="J966" s="205"/>
      <c r="K966" s="205"/>
    </row>
    <row r="967" ht="14.25" customHeight="1">
      <c r="A967" s="55">
        <v>46622.0</v>
      </c>
      <c r="B967" s="55" t="str">
        <f t="shared" si="10"/>
        <v>Primer dia</v>
      </c>
      <c r="C967" s="202">
        <f t="shared" si="1"/>
        <v>23</v>
      </c>
      <c r="D967" s="202" t="str">
        <f t="shared" si="2"/>
        <v> </v>
      </c>
      <c r="E967" s="202" t="str">
        <f t="shared" si="9"/>
        <v> </v>
      </c>
      <c r="F967" s="55" t="str">
        <f t="shared" si="4"/>
        <v/>
      </c>
      <c r="G967" s="202" t="str">
        <f t="shared" si="5"/>
        <v/>
      </c>
      <c r="H967" s="202" t="str">
        <f t="shared" si="11"/>
        <v> </v>
      </c>
      <c r="I967" s="205" t="str">
        <f t="shared" si="7"/>
        <v/>
      </c>
      <c r="J967" s="205"/>
      <c r="K967" s="205"/>
    </row>
    <row r="968" ht="14.25" customHeight="1">
      <c r="A968" s="55">
        <v>46623.0</v>
      </c>
      <c r="B968" s="55" t="str">
        <f t="shared" si="10"/>
        <v>Primer dia</v>
      </c>
      <c r="C968" s="202">
        <f t="shared" si="1"/>
        <v>24</v>
      </c>
      <c r="D968" s="202" t="str">
        <f t="shared" si="2"/>
        <v> </v>
      </c>
      <c r="E968" s="202" t="str">
        <f t="shared" si="9"/>
        <v> </v>
      </c>
      <c r="F968" s="55" t="str">
        <f t="shared" si="4"/>
        <v/>
      </c>
      <c r="G968" s="202" t="str">
        <f t="shared" si="5"/>
        <v/>
      </c>
      <c r="H968" s="202" t="str">
        <f t="shared" si="11"/>
        <v> </v>
      </c>
      <c r="I968" s="205" t="str">
        <f t="shared" si="7"/>
        <v/>
      </c>
      <c r="J968" s="205"/>
      <c r="K968" s="205"/>
    </row>
    <row r="969" ht="14.25" customHeight="1">
      <c r="A969" s="55">
        <v>46624.0</v>
      </c>
      <c r="B969" s="55" t="str">
        <f t="shared" si="10"/>
        <v>Primer dia</v>
      </c>
      <c r="C969" s="202">
        <f t="shared" si="1"/>
        <v>25</v>
      </c>
      <c r="D969" s="202" t="str">
        <f t="shared" si="2"/>
        <v> </v>
      </c>
      <c r="E969" s="202" t="str">
        <f t="shared" si="9"/>
        <v> </v>
      </c>
      <c r="F969" s="55" t="str">
        <f t="shared" si="4"/>
        <v/>
      </c>
      <c r="G969" s="202" t="str">
        <f t="shared" si="5"/>
        <v/>
      </c>
      <c r="H969" s="202" t="str">
        <f t="shared" si="11"/>
        <v> </v>
      </c>
      <c r="I969" s="205" t="str">
        <f t="shared" si="7"/>
        <v/>
      </c>
      <c r="J969" s="205"/>
      <c r="K969" s="205"/>
    </row>
    <row r="970" ht="14.25" customHeight="1">
      <c r="A970" s="55">
        <v>46625.0</v>
      </c>
      <c r="B970" s="55" t="str">
        <f t="shared" si="10"/>
        <v>Primer dia</v>
      </c>
      <c r="C970" s="202">
        <f t="shared" si="1"/>
        <v>26</v>
      </c>
      <c r="D970" s="202" t="str">
        <f t="shared" si="2"/>
        <v> </v>
      </c>
      <c r="E970" s="202" t="str">
        <f t="shared" si="9"/>
        <v> </v>
      </c>
      <c r="F970" s="55" t="str">
        <f t="shared" si="4"/>
        <v/>
      </c>
      <c r="G970" s="202" t="str">
        <f t="shared" si="5"/>
        <v/>
      </c>
      <c r="H970" s="202" t="str">
        <f t="shared" si="11"/>
        <v> </v>
      </c>
      <c r="I970" s="205" t="str">
        <f t="shared" si="7"/>
        <v/>
      </c>
      <c r="J970" s="205"/>
      <c r="K970" s="205"/>
    </row>
    <row r="971" ht="14.25" customHeight="1">
      <c r="A971" s="55">
        <v>46626.0</v>
      </c>
      <c r="B971" s="55" t="str">
        <f t="shared" si="10"/>
        <v>Primer dia</v>
      </c>
      <c r="C971" s="202">
        <f t="shared" si="1"/>
        <v>27</v>
      </c>
      <c r="D971" s="202" t="str">
        <f t="shared" si="2"/>
        <v> </v>
      </c>
      <c r="E971" s="202" t="str">
        <f t="shared" si="9"/>
        <v> </v>
      </c>
      <c r="F971" s="55" t="str">
        <f t="shared" si="4"/>
        <v/>
      </c>
      <c r="G971" s="202" t="str">
        <f t="shared" si="5"/>
        <v/>
      </c>
      <c r="H971" s="202" t="str">
        <f t="shared" si="11"/>
        <v> </v>
      </c>
      <c r="I971" s="205" t="str">
        <f t="shared" si="7"/>
        <v/>
      </c>
      <c r="J971" s="205"/>
      <c r="K971" s="205"/>
    </row>
    <row r="972" ht="14.25" customHeight="1">
      <c r="A972" s="55">
        <v>46627.0</v>
      </c>
      <c r="B972" s="55" t="str">
        <f t="shared" si="10"/>
        <v>Primer dia</v>
      </c>
      <c r="C972" s="202">
        <f t="shared" si="1"/>
        <v>28</v>
      </c>
      <c r="D972" s="202" t="str">
        <f t="shared" si="2"/>
        <v> </v>
      </c>
      <c r="E972" s="202" t="str">
        <f t="shared" si="9"/>
        <v> </v>
      </c>
      <c r="F972" s="55" t="str">
        <f t="shared" si="4"/>
        <v/>
      </c>
      <c r="G972" s="202" t="str">
        <f t="shared" si="5"/>
        <v/>
      </c>
      <c r="H972" s="202" t="str">
        <f t="shared" si="11"/>
        <v> </v>
      </c>
      <c r="I972" s="205" t="str">
        <f t="shared" si="7"/>
        <v/>
      </c>
      <c r="J972" s="205"/>
      <c r="K972" s="205"/>
    </row>
    <row r="973" ht="14.25" customHeight="1">
      <c r="A973" s="55">
        <v>46628.0</v>
      </c>
      <c r="B973" s="55" t="str">
        <f t="shared" si="10"/>
        <v>Primer dia</v>
      </c>
      <c r="C973" s="202">
        <f t="shared" si="1"/>
        <v>29</v>
      </c>
      <c r="D973" s="202" t="str">
        <f t="shared" si="2"/>
        <v> </v>
      </c>
      <c r="E973" s="202" t="str">
        <f t="shared" si="9"/>
        <v> </v>
      </c>
      <c r="F973" s="55" t="str">
        <f t="shared" si="4"/>
        <v/>
      </c>
      <c r="G973" s="202" t="str">
        <f t="shared" si="5"/>
        <v/>
      </c>
      <c r="H973" s="202" t="str">
        <f t="shared" si="11"/>
        <v> </v>
      </c>
      <c r="I973" s="205" t="str">
        <f t="shared" si="7"/>
        <v/>
      </c>
      <c r="J973" s="205"/>
      <c r="K973" s="205"/>
    </row>
    <row r="974" ht="14.25" customHeight="1">
      <c r="A974" s="55">
        <v>46629.0</v>
      </c>
      <c r="B974" s="55" t="str">
        <f t="shared" si="10"/>
        <v>Primer dia</v>
      </c>
      <c r="C974" s="202">
        <f t="shared" si="1"/>
        <v>30</v>
      </c>
      <c r="D974" s="202" t="str">
        <f t="shared" si="2"/>
        <v> </v>
      </c>
      <c r="E974" s="202" t="str">
        <f t="shared" si="9"/>
        <v> </v>
      </c>
      <c r="F974" s="55" t="str">
        <f t="shared" si="4"/>
        <v/>
      </c>
      <c r="G974" s="202" t="str">
        <f t="shared" si="5"/>
        <v/>
      </c>
      <c r="H974" s="202" t="str">
        <f t="shared" si="11"/>
        <v> </v>
      </c>
      <c r="I974" s="205" t="str">
        <f t="shared" si="7"/>
        <v/>
      </c>
      <c r="J974" s="205"/>
      <c r="K974" s="205"/>
    </row>
    <row r="975" ht="14.25" customHeight="1">
      <c r="A975" s="55">
        <v>46630.0</v>
      </c>
      <c r="B975" s="55" t="str">
        <f t="shared" si="10"/>
        <v>Primer dia</v>
      </c>
      <c r="C975" s="202">
        <f t="shared" si="1"/>
        <v>31</v>
      </c>
      <c r="D975" s="202" t="str">
        <f t="shared" si="2"/>
        <v> </v>
      </c>
      <c r="E975" s="202" t="str">
        <f t="shared" si="9"/>
        <v> </v>
      </c>
      <c r="F975" s="55" t="str">
        <f t="shared" si="4"/>
        <v/>
      </c>
      <c r="G975" s="202" t="str">
        <f t="shared" si="5"/>
        <v/>
      </c>
      <c r="H975" s="202" t="str">
        <f t="shared" si="11"/>
        <v> </v>
      </c>
      <c r="I975" s="205" t="str">
        <f t="shared" si="7"/>
        <v/>
      </c>
      <c r="J975" s="205"/>
      <c r="K975" s="205"/>
    </row>
    <row r="976" ht="14.25" customHeight="1">
      <c r="A976" s="55">
        <v>46631.0</v>
      </c>
      <c r="B976" s="55" t="str">
        <f t="shared" si="10"/>
        <v>Primer dia</v>
      </c>
      <c r="C976" s="202">
        <f t="shared" si="1"/>
        <v>1</v>
      </c>
      <c r="D976" s="202" t="str">
        <f t="shared" si="2"/>
        <v> </v>
      </c>
      <c r="E976" s="202" t="str">
        <f t="shared" si="9"/>
        <v> </v>
      </c>
      <c r="F976" s="55" t="str">
        <f t="shared" si="4"/>
        <v/>
      </c>
      <c r="G976" s="202" t="str">
        <f t="shared" si="5"/>
        <v/>
      </c>
      <c r="H976" s="202" t="str">
        <f t="shared" si="11"/>
        <v> </v>
      </c>
      <c r="I976" s="205" t="str">
        <f t="shared" si="7"/>
        <v/>
      </c>
      <c r="J976" s="205"/>
      <c r="K976" s="205"/>
    </row>
    <row r="977" ht="14.25" customHeight="1">
      <c r="A977" s="55">
        <v>46632.0</v>
      </c>
      <c r="B977" s="55" t="str">
        <f t="shared" si="10"/>
        <v>Primer dia</v>
      </c>
      <c r="C977" s="202">
        <f t="shared" si="1"/>
        <v>2</v>
      </c>
      <c r="D977" s="202" t="str">
        <f t="shared" si="2"/>
        <v> </v>
      </c>
      <c r="E977" s="202">
        <f t="shared" si="9"/>
        <v>2</v>
      </c>
      <c r="F977" s="55">
        <f t="shared" si="4"/>
        <v>46632</v>
      </c>
      <c r="G977" s="202">
        <f t="shared" si="5"/>
        <v>39</v>
      </c>
      <c r="H977" s="202" t="str">
        <f t="shared" si="11"/>
        <v> </v>
      </c>
      <c r="I977" s="205" t="str">
        <f t="shared" si="7"/>
        <v/>
      </c>
      <c r="J977" s="205"/>
      <c r="K977" s="205"/>
    </row>
    <row r="978" ht="14.25" customHeight="1">
      <c r="A978" s="55">
        <v>46633.0</v>
      </c>
      <c r="B978" s="55" t="str">
        <f t="shared" si="10"/>
        <v>Primer dia</v>
      </c>
      <c r="C978" s="202">
        <f t="shared" si="1"/>
        <v>3</v>
      </c>
      <c r="D978" s="202" t="str">
        <f t="shared" si="2"/>
        <v> </v>
      </c>
      <c r="E978" s="202" t="str">
        <f t="shared" si="9"/>
        <v> </v>
      </c>
      <c r="F978" s="55" t="str">
        <f t="shared" si="4"/>
        <v/>
      </c>
      <c r="G978" s="202" t="str">
        <f t="shared" si="5"/>
        <v/>
      </c>
      <c r="H978" s="202" t="str">
        <f t="shared" si="11"/>
        <v> </v>
      </c>
      <c r="I978" s="205" t="str">
        <f t="shared" si="7"/>
        <v/>
      </c>
      <c r="J978" s="205"/>
      <c r="K978" s="205"/>
    </row>
    <row r="979" ht="14.25" customHeight="1">
      <c r="A979" s="55">
        <v>46634.0</v>
      </c>
      <c r="B979" s="55" t="str">
        <f t="shared" si="10"/>
        <v>Primer dia</v>
      </c>
      <c r="C979" s="202">
        <f t="shared" si="1"/>
        <v>4</v>
      </c>
      <c r="D979" s="202" t="str">
        <f t="shared" si="2"/>
        <v> </v>
      </c>
      <c r="E979" s="202" t="str">
        <f t="shared" si="9"/>
        <v> </v>
      </c>
      <c r="F979" s="55" t="str">
        <f t="shared" si="4"/>
        <v/>
      </c>
      <c r="G979" s="202" t="str">
        <f t="shared" si="5"/>
        <v/>
      </c>
      <c r="H979" s="202" t="str">
        <f t="shared" si="11"/>
        <v> </v>
      </c>
      <c r="I979" s="205" t="str">
        <f t="shared" si="7"/>
        <v/>
      </c>
      <c r="J979" s="205"/>
      <c r="K979" s="205"/>
    </row>
    <row r="980" ht="14.25" customHeight="1">
      <c r="A980" s="55">
        <v>46635.0</v>
      </c>
      <c r="B980" s="55" t="str">
        <f t="shared" si="10"/>
        <v>Primer dia</v>
      </c>
      <c r="C980" s="202">
        <f t="shared" si="1"/>
        <v>5</v>
      </c>
      <c r="D980" s="202" t="str">
        <f t="shared" si="2"/>
        <v> </v>
      </c>
      <c r="E980" s="202" t="str">
        <f t="shared" si="9"/>
        <v> </v>
      </c>
      <c r="F980" s="55" t="str">
        <f t="shared" si="4"/>
        <v/>
      </c>
      <c r="G980" s="202" t="str">
        <f t="shared" si="5"/>
        <v/>
      </c>
      <c r="H980" s="202" t="str">
        <f t="shared" si="11"/>
        <v> </v>
      </c>
      <c r="I980" s="205" t="str">
        <f t="shared" si="7"/>
        <v/>
      </c>
      <c r="J980" s="205"/>
      <c r="K980" s="205"/>
    </row>
    <row r="981" ht="14.25" customHeight="1">
      <c r="A981" s="55">
        <v>46636.0</v>
      </c>
      <c r="B981" s="55" t="str">
        <f t="shared" si="10"/>
        <v>Primer dia</v>
      </c>
      <c r="C981" s="202">
        <f t="shared" si="1"/>
        <v>6</v>
      </c>
      <c r="D981" s="202" t="str">
        <f t="shared" si="2"/>
        <v> </v>
      </c>
      <c r="E981" s="202" t="str">
        <f t="shared" si="9"/>
        <v> </v>
      </c>
      <c r="F981" s="55" t="str">
        <f t="shared" si="4"/>
        <v/>
      </c>
      <c r="G981" s="202" t="str">
        <f t="shared" si="5"/>
        <v/>
      </c>
      <c r="H981" s="202" t="str">
        <f t="shared" si="11"/>
        <v> </v>
      </c>
      <c r="I981" s="205" t="str">
        <f t="shared" si="7"/>
        <v/>
      </c>
      <c r="J981" s="205"/>
      <c r="K981" s="205"/>
    </row>
    <row r="982" ht="14.25" customHeight="1">
      <c r="A982" s="55">
        <v>46637.0</v>
      </c>
      <c r="B982" s="55" t="str">
        <f t="shared" si="10"/>
        <v>Primer dia</v>
      </c>
      <c r="C982" s="202">
        <f t="shared" si="1"/>
        <v>7</v>
      </c>
      <c r="D982" s="202" t="str">
        <f t="shared" si="2"/>
        <v> </v>
      </c>
      <c r="E982" s="202" t="str">
        <f t="shared" si="9"/>
        <v> </v>
      </c>
      <c r="F982" s="55" t="str">
        <f t="shared" si="4"/>
        <v/>
      </c>
      <c r="G982" s="202" t="str">
        <f t="shared" si="5"/>
        <v/>
      </c>
      <c r="H982" s="202" t="str">
        <f t="shared" si="11"/>
        <v> </v>
      </c>
      <c r="I982" s="205" t="str">
        <f t="shared" si="7"/>
        <v/>
      </c>
      <c r="J982" s="205"/>
      <c r="K982" s="205"/>
    </row>
    <row r="983" ht="14.25" customHeight="1">
      <c r="A983" s="55">
        <v>46638.0</v>
      </c>
      <c r="B983" s="55" t="str">
        <f t="shared" si="10"/>
        <v>Primer dia</v>
      </c>
      <c r="C983" s="202">
        <f t="shared" si="1"/>
        <v>8</v>
      </c>
      <c r="D983" s="202" t="str">
        <f t="shared" si="2"/>
        <v> </v>
      </c>
      <c r="E983" s="202" t="str">
        <f t="shared" si="9"/>
        <v> </v>
      </c>
      <c r="F983" s="55" t="str">
        <f t="shared" si="4"/>
        <v/>
      </c>
      <c r="G983" s="202" t="str">
        <f t="shared" si="5"/>
        <v/>
      </c>
      <c r="H983" s="202" t="str">
        <f t="shared" si="11"/>
        <v> </v>
      </c>
      <c r="I983" s="205" t="str">
        <f t="shared" si="7"/>
        <v/>
      </c>
      <c r="J983" s="205"/>
      <c r="K983" s="205"/>
    </row>
    <row r="984" ht="14.25" customHeight="1">
      <c r="A984" s="55">
        <v>46639.0</v>
      </c>
      <c r="B984" s="55" t="str">
        <f t="shared" si="10"/>
        <v>Primer dia</v>
      </c>
      <c r="C984" s="202">
        <f t="shared" si="1"/>
        <v>9</v>
      </c>
      <c r="D984" s="202" t="str">
        <f t="shared" si="2"/>
        <v> </v>
      </c>
      <c r="E984" s="202" t="str">
        <f t="shared" si="9"/>
        <v> </v>
      </c>
      <c r="F984" s="55" t="str">
        <f t="shared" si="4"/>
        <v/>
      </c>
      <c r="G984" s="202" t="str">
        <f t="shared" si="5"/>
        <v/>
      </c>
      <c r="H984" s="202" t="str">
        <f t="shared" si="11"/>
        <v> </v>
      </c>
      <c r="I984" s="205" t="str">
        <f t="shared" si="7"/>
        <v/>
      </c>
      <c r="J984" s="205"/>
      <c r="K984" s="205"/>
    </row>
    <row r="985" ht="14.25" customHeight="1">
      <c r="A985" s="55">
        <v>46640.0</v>
      </c>
      <c r="B985" s="55" t="str">
        <f t="shared" si="10"/>
        <v>Primer dia</v>
      </c>
      <c r="C985" s="202">
        <f t="shared" si="1"/>
        <v>10</v>
      </c>
      <c r="D985" s="202" t="str">
        <f t="shared" si="2"/>
        <v> </v>
      </c>
      <c r="E985" s="202" t="str">
        <f t="shared" si="9"/>
        <v> </v>
      </c>
      <c r="F985" s="55" t="str">
        <f t="shared" si="4"/>
        <v/>
      </c>
      <c r="G985" s="202" t="str">
        <f t="shared" si="5"/>
        <v/>
      </c>
      <c r="H985" s="202" t="str">
        <f t="shared" si="11"/>
        <v> </v>
      </c>
      <c r="I985" s="205" t="str">
        <f t="shared" si="7"/>
        <v/>
      </c>
      <c r="J985" s="205"/>
      <c r="K985" s="205"/>
    </row>
    <row r="986" ht="14.25" customHeight="1">
      <c r="A986" s="55">
        <v>46641.0</v>
      </c>
      <c r="B986" s="55" t="str">
        <f t="shared" si="10"/>
        <v>Primer dia</v>
      </c>
      <c r="C986" s="202">
        <f t="shared" si="1"/>
        <v>11</v>
      </c>
      <c r="D986" s="202" t="str">
        <f t="shared" si="2"/>
        <v> </v>
      </c>
      <c r="E986" s="202" t="str">
        <f t="shared" si="9"/>
        <v> </v>
      </c>
      <c r="F986" s="55" t="str">
        <f t="shared" si="4"/>
        <v/>
      </c>
      <c r="G986" s="202" t="str">
        <f t="shared" si="5"/>
        <v/>
      </c>
      <c r="H986" s="202" t="str">
        <f t="shared" si="11"/>
        <v> </v>
      </c>
      <c r="I986" s="205" t="str">
        <f t="shared" si="7"/>
        <v/>
      </c>
      <c r="J986" s="205"/>
      <c r="K986" s="205"/>
    </row>
    <row r="987" ht="14.25" customHeight="1">
      <c r="A987" s="55">
        <v>46642.0</v>
      </c>
      <c r="B987" s="55" t="str">
        <f t="shared" si="10"/>
        <v>Primer dia</v>
      </c>
      <c r="C987" s="202">
        <f t="shared" si="1"/>
        <v>12</v>
      </c>
      <c r="D987" s="202" t="str">
        <f t="shared" si="2"/>
        <v> </v>
      </c>
      <c r="E987" s="202" t="str">
        <f t="shared" si="9"/>
        <v> </v>
      </c>
      <c r="F987" s="55" t="str">
        <f t="shared" si="4"/>
        <v/>
      </c>
      <c r="G987" s="202" t="str">
        <f t="shared" si="5"/>
        <v/>
      </c>
      <c r="H987" s="202" t="str">
        <f t="shared" si="11"/>
        <v> </v>
      </c>
      <c r="I987" s="205" t="str">
        <f t="shared" si="7"/>
        <v/>
      </c>
      <c r="J987" s="205"/>
      <c r="K987" s="205"/>
    </row>
    <row r="988" ht="14.25" customHeight="1">
      <c r="A988" s="55">
        <v>46643.0</v>
      </c>
      <c r="B988" s="55" t="str">
        <f t="shared" si="10"/>
        <v>Primer dia</v>
      </c>
      <c r="C988" s="202">
        <f t="shared" si="1"/>
        <v>13</v>
      </c>
      <c r="D988" s="202" t="str">
        <f t="shared" si="2"/>
        <v> </v>
      </c>
      <c r="E988" s="202" t="str">
        <f t="shared" si="9"/>
        <v> </v>
      </c>
      <c r="F988" s="55" t="str">
        <f t="shared" si="4"/>
        <v/>
      </c>
      <c r="G988" s="202" t="str">
        <f t="shared" si="5"/>
        <v/>
      </c>
      <c r="H988" s="202" t="str">
        <f t="shared" si="11"/>
        <v> </v>
      </c>
      <c r="I988" s="205" t="str">
        <f t="shared" si="7"/>
        <v/>
      </c>
      <c r="J988" s="205"/>
      <c r="K988" s="205"/>
    </row>
    <row r="989" ht="14.25" customHeight="1">
      <c r="A989" s="55">
        <v>46644.0</v>
      </c>
      <c r="B989" s="55" t="str">
        <f t="shared" si="10"/>
        <v>Primer dia</v>
      </c>
      <c r="C989" s="202">
        <f t="shared" si="1"/>
        <v>14</v>
      </c>
      <c r="D989" s="202" t="str">
        <f t="shared" si="2"/>
        <v> </v>
      </c>
      <c r="E989" s="202" t="str">
        <f t="shared" si="9"/>
        <v> </v>
      </c>
      <c r="F989" s="55" t="str">
        <f t="shared" si="4"/>
        <v/>
      </c>
      <c r="G989" s="202" t="str">
        <f t="shared" si="5"/>
        <v/>
      </c>
      <c r="H989" s="202" t="str">
        <f t="shared" si="11"/>
        <v> </v>
      </c>
      <c r="I989" s="205" t="str">
        <f t="shared" si="7"/>
        <v/>
      </c>
      <c r="J989" s="205"/>
      <c r="K989" s="205"/>
    </row>
    <row r="990" ht="14.25" customHeight="1">
      <c r="A990" s="55">
        <v>46645.0</v>
      </c>
      <c r="B990" s="55" t="str">
        <f t="shared" si="10"/>
        <v>Primer dia</v>
      </c>
      <c r="C990" s="202">
        <f t="shared" si="1"/>
        <v>15</v>
      </c>
      <c r="D990" s="202" t="str">
        <f t="shared" si="2"/>
        <v> </v>
      </c>
      <c r="E990" s="202" t="str">
        <f t="shared" si="9"/>
        <v> </v>
      </c>
      <c r="F990" s="55" t="str">
        <f t="shared" si="4"/>
        <v/>
      </c>
      <c r="G990" s="202" t="str">
        <f t="shared" si="5"/>
        <v/>
      </c>
      <c r="H990" s="202" t="str">
        <f t="shared" si="11"/>
        <v> </v>
      </c>
      <c r="I990" s="205" t="str">
        <f t="shared" si="7"/>
        <v/>
      </c>
      <c r="J990" s="205"/>
      <c r="K990" s="205"/>
    </row>
    <row r="991" ht="14.25" customHeight="1">
      <c r="A991" s="55">
        <v>46646.0</v>
      </c>
      <c r="B991" s="55" t="str">
        <f t="shared" si="10"/>
        <v>Primer dia</v>
      </c>
      <c r="C991" s="202">
        <f t="shared" si="1"/>
        <v>16</v>
      </c>
      <c r="D991" s="202" t="str">
        <f t="shared" si="2"/>
        <v> </v>
      </c>
      <c r="E991" s="202" t="str">
        <f t="shared" si="9"/>
        <v> </v>
      </c>
      <c r="F991" s="55" t="str">
        <f t="shared" si="4"/>
        <v/>
      </c>
      <c r="G991" s="202" t="str">
        <f t="shared" si="5"/>
        <v/>
      </c>
      <c r="H991" s="202" t="str">
        <f t="shared" si="11"/>
        <v> </v>
      </c>
      <c r="I991" s="205" t="str">
        <f t="shared" si="7"/>
        <v/>
      </c>
      <c r="J991" s="205"/>
      <c r="K991" s="205"/>
    </row>
    <row r="992" ht="14.25" customHeight="1">
      <c r="A992" s="55">
        <v>46647.0</v>
      </c>
      <c r="B992" s="55" t="str">
        <f t="shared" si="10"/>
        <v>Primer dia</v>
      </c>
      <c r="C992" s="202">
        <f t="shared" si="1"/>
        <v>17</v>
      </c>
      <c r="D992" s="202" t="str">
        <f t="shared" si="2"/>
        <v> </v>
      </c>
      <c r="E992" s="202">
        <f t="shared" si="9"/>
        <v>17</v>
      </c>
      <c r="F992" s="55">
        <f t="shared" si="4"/>
        <v>46647</v>
      </c>
      <c r="G992" s="202">
        <f t="shared" si="5"/>
        <v>40</v>
      </c>
      <c r="H992" s="202" t="str">
        <f t="shared" si="11"/>
        <v> </v>
      </c>
      <c r="I992" s="205" t="str">
        <f t="shared" si="7"/>
        <v/>
      </c>
      <c r="J992" s="205"/>
      <c r="K992" s="205"/>
    </row>
    <row r="993" ht="14.25" customHeight="1">
      <c r="A993" s="55">
        <v>46648.0</v>
      </c>
      <c r="B993" s="55" t="str">
        <f t="shared" si="10"/>
        <v>Primer dia</v>
      </c>
      <c r="C993" s="202">
        <f t="shared" si="1"/>
        <v>18</v>
      </c>
      <c r="D993" s="202" t="str">
        <f t="shared" si="2"/>
        <v> </v>
      </c>
      <c r="E993" s="202" t="str">
        <f t="shared" si="9"/>
        <v> </v>
      </c>
      <c r="F993" s="55" t="str">
        <f t="shared" si="4"/>
        <v/>
      </c>
      <c r="G993" s="202" t="str">
        <f t="shared" si="5"/>
        <v/>
      </c>
      <c r="H993" s="202" t="str">
        <f t="shared" si="11"/>
        <v> </v>
      </c>
      <c r="I993" s="205" t="str">
        <f t="shared" si="7"/>
        <v/>
      </c>
      <c r="J993" s="205"/>
      <c r="K993" s="205"/>
    </row>
    <row r="994" ht="14.25" customHeight="1">
      <c r="A994" s="55">
        <v>46649.0</v>
      </c>
      <c r="B994" s="55" t="str">
        <f t="shared" si="10"/>
        <v>Primer dia</v>
      </c>
      <c r="C994" s="202">
        <f t="shared" si="1"/>
        <v>19</v>
      </c>
      <c r="D994" s="202" t="str">
        <f t="shared" si="2"/>
        <v> </v>
      </c>
      <c r="E994" s="202" t="str">
        <f t="shared" si="9"/>
        <v> </v>
      </c>
      <c r="F994" s="55" t="str">
        <f t="shared" si="4"/>
        <v/>
      </c>
      <c r="G994" s="202" t="str">
        <f t="shared" si="5"/>
        <v/>
      </c>
      <c r="H994" s="202" t="str">
        <f t="shared" si="11"/>
        <v> </v>
      </c>
      <c r="I994" s="205" t="str">
        <f t="shared" si="7"/>
        <v/>
      </c>
      <c r="J994" s="205"/>
      <c r="K994" s="205"/>
    </row>
    <row r="995" ht="14.25" customHeight="1">
      <c r="A995" s="55">
        <v>46650.0</v>
      </c>
      <c r="B995" s="55" t="str">
        <f t="shared" si="10"/>
        <v>Primer dia</v>
      </c>
      <c r="C995" s="202">
        <f t="shared" si="1"/>
        <v>20</v>
      </c>
      <c r="D995" s="202" t="str">
        <f t="shared" si="2"/>
        <v> </v>
      </c>
      <c r="E995" s="202" t="str">
        <f t="shared" si="9"/>
        <v> </v>
      </c>
      <c r="F995" s="55" t="str">
        <f t="shared" si="4"/>
        <v/>
      </c>
      <c r="G995" s="202" t="str">
        <f t="shared" si="5"/>
        <v/>
      </c>
      <c r="H995" s="202" t="str">
        <f t="shared" si="11"/>
        <v> </v>
      </c>
      <c r="I995" s="205" t="str">
        <f t="shared" si="7"/>
        <v/>
      </c>
      <c r="J995" s="205"/>
      <c r="K995" s="205"/>
    </row>
    <row r="996" ht="14.25" customHeight="1">
      <c r="A996" s="55">
        <v>46651.0</v>
      </c>
      <c r="B996" s="55" t="str">
        <f t="shared" si="10"/>
        <v>Primer dia</v>
      </c>
      <c r="C996" s="202">
        <f t="shared" si="1"/>
        <v>21</v>
      </c>
      <c r="D996" s="202" t="str">
        <f t="shared" si="2"/>
        <v> </v>
      </c>
      <c r="E996" s="202" t="str">
        <f t="shared" si="9"/>
        <v> </v>
      </c>
      <c r="F996" s="55" t="str">
        <f t="shared" si="4"/>
        <v/>
      </c>
      <c r="G996" s="202" t="str">
        <f t="shared" si="5"/>
        <v/>
      </c>
      <c r="H996" s="202" t="str">
        <f t="shared" si="11"/>
        <v> </v>
      </c>
      <c r="I996" s="205" t="str">
        <f t="shared" si="7"/>
        <v/>
      </c>
      <c r="J996" s="205"/>
      <c r="K996" s="205"/>
    </row>
    <row r="997" ht="14.25" customHeight="1">
      <c r="A997" s="55">
        <v>46652.0</v>
      </c>
      <c r="B997" s="55" t="str">
        <f t="shared" si="10"/>
        <v>Primer dia</v>
      </c>
      <c r="C997" s="202">
        <f t="shared" si="1"/>
        <v>22</v>
      </c>
      <c r="D997" s="202" t="str">
        <f t="shared" si="2"/>
        <v> </v>
      </c>
      <c r="E997" s="202" t="str">
        <f t="shared" si="9"/>
        <v> </v>
      </c>
      <c r="F997" s="55" t="str">
        <f t="shared" si="4"/>
        <v/>
      </c>
      <c r="G997" s="202" t="str">
        <f t="shared" si="5"/>
        <v/>
      </c>
      <c r="H997" s="202" t="str">
        <f t="shared" si="11"/>
        <v> </v>
      </c>
      <c r="I997" s="205" t="str">
        <f t="shared" si="7"/>
        <v/>
      </c>
      <c r="J997" s="205"/>
      <c r="K997" s="205"/>
    </row>
    <row r="998" ht="14.25" customHeight="1">
      <c r="A998" s="55">
        <v>46653.0</v>
      </c>
      <c r="B998" s="55" t="str">
        <f t="shared" si="10"/>
        <v>Primer dia</v>
      </c>
      <c r="C998" s="202">
        <f t="shared" si="1"/>
        <v>23</v>
      </c>
      <c r="D998" s="202" t="str">
        <f t="shared" si="2"/>
        <v> </v>
      </c>
      <c r="E998" s="202" t="str">
        <f t="shared" si="9"/>
        <v> </v>
      </c>
      <c r="F998" s="55" t="str">
        <f t="shared" si="4"/>
        <v/>
      </c>
      <c r="G998" s="202" t="str">
        <f t="shared" si="5"/>
        <v/>
      </c>
      <c r="H998" s="202" t="str">
        <f t="shared" si="11"/>
        <v> </v>
      </c>
      <c r="I998" s="205" t="str">
        <f t="shared" si="7"/>
        <v/>
      </c>
      <c r="J998" s="205"/>
      <c r="K998" s="205"/>
    </row>
    <row r="999" ht="14.25" customHeight="1">
      <c r="A999" s="55">
        <v>46654.0</v>
      </c>
      <c r="B999" s="55" t="str">
        <f t="shared" si="10"/>
        <v>Primer dia</v>
      </c>
      <c r="C999" s="202">
        <f t="shared" si="1"/>
        <v>24</v>
      </c>
      <c r="D999" s="202" t="str">
        <f t="shared" si="2"/>
        <v> </v>
      </c>
      <c r="E999" s="202" t="str">
        <f t="shared" si="9"/>
        <v> </v>
      </c>
      <c r="F999" s="55" t="str">
        <f t="shared" si="4"/>
        <v/>
      </c>
      <c r="G999" s="202" t="str">
        <f t="shared" si="5"/>
        <v/>
      </c>
      <c r="H999" s="202" t="str">
        <f t="shared" si="11"/>
        <v> </v>
      </c>
      <c r="I999" s="205" t="str">
        <f t="shared" si="7"/>
        <v/>
      </c>
      <c r="J999" s="205"/>
      <c r="K999" s="205"/>
    </row>
    <row r="1000" ht="14.25" customHeight="1">
      <c r="A1000" s="55">
        <v>46655.0</v>
      </c>
      <c r="B1000" s="55" t="str">
        <f t="shared" si="10"/>
        <v>Primer dia</v>
      </c>
      <c r="C1000" s="202">
        <f t="shared" si="1"/>
        <v>25</v>
      </c>
      <c r="D1000" s="202" t="str">
        <f t="shared" si="2"/>
        <v> </v>
      </c>
      <c r="E1000" s="202" t="str">
        <f t="shared" si="9"/>
        <v> </v>
      </c>
      <c r="F1000" s="55" t="str">
        <f t="shared" si="4"/>
        <v/>
      </c>
      <c r="G1000" s="202" t="str">
        <f t="shared" si="5"/>
        <v/>
      </c>
      <c r="H1000" s="202" t="str">
        <f t="shared" si="11"/>
        <v> </v>
      </c>
      <c r="I1000" s="205" t="str">
        <f t="shared" si="7"/>
        <v/>
      </c>
      <c r="J1000" s="205"/>
      <c r="K1000" s="205"/>
    </row>
    <row r="1001" ht="14.25" customHeight="1">
      <c r="A1001" s="55">
        <v>46656.0</v>
      </c>
      <c r="B1001" s="55" t="str">
        <f t="shared" si="10"/>
        <v>Primer dia</v>
      </c>
      <c r="C1001" s="202">
        <f t="shared" si="1"/>
        <v>26</v>
      </c>
      <c r="D1001" s="202" t="str">
        <f t="shared" si="2"/>
        <v> </v>
      </c>
      <c r="E1001" s="202" t="str">
        <f t="shared" si="9"/>
        <v> </v>
      </c>
      <c r="F1001" s="55" t="str">
        <f t="shared" si="4"/>
        <v/>
      </c>
      <c r="G1001" s="202" t="str">
        <f t="shared" si="5"/>
        <v/>
      </c>
      <c r="H1001" s="202" t="str">
        <f t="shared" si="11"/>
        <v> </v>
      </c>
      <c r="I1001" s="205" t="str">
        <f t="shared" si="7"/>
        <v/>
      </c>
      <c r="J1001" s="205"/>
      <c r="K1001" s="205"/>
    </row>
    <row r="1002" ht="14.25" customHeight="1">
      <c r="A1002" s="55">
        <v>46657.0</v>
      </c>
      <c r="B1002" s="55" t="str">
        <f t="shared" si="10"/>
        <v>Primer dia</v>
      </c>
      <c r="C1002" s="202">
        <f t="shared" si="1"/>
        <v>27</v>
      </c>
      <c r="D1002" s="202" t="str">
        <f t="shared" si="2"/>
        <v> </v>
      </c>
      <c r="E1002" s="202" t="str">
        <f t="shared" si="9"/>
        <v> </v>
      </c>
      <c r="F1002" s="55" t="str">
        <f t="shared" si="4"/>
        <v/>
      </c>
      <c r="G1002" s="202" t="str">
        <f t="shared" si="5"/>
        <v/>
      </c>
      <c r="H1002" s="202" t="str">
        <f t="shared" si="11"/>
        <v> </v>
      </c>
      <c r="I1002" s="205" t="str">
        <f t="shared" si="7"/>
        <v/>
      </c>
      <c r="J1002" s="205"/>
      <c r="K1002" s="205"/>
    </row>
    <row r="1003" ht="14.25" customHeight="1">
      <c r="A1003" s="55">
        <v>46658.0</v>
      </c>
      <c r="B1003" s="55" t="str">
        <f t="shared" si="10"/>
        <v>Primer dia</v>
      </c>
      <c r="C1003" s="202">
        <f t="shared" si="1"/>
        <v>28</v>
      </c>
      <c r="D1003" s="202" t="str">
        <f t="shared" si="2"/>
        <v> </v>
      </c>
      <c r="E1003" s="202" t="str">
        <f t="shared" si="9"/>
        <v> </v>
      </c>
      <c r="F1003" s="55" t="str">
        <f t="shared" si="4"/>
        <v/>
      </c>
      <c r="G1003" s="202" t="str">
        <f t="shared" si="5"/>
        <v/>
      </c>
      <c r="H1003" s="202" t="str">
        <f t="shared" si="11"/>
        <v> </v>
      </c>
      <c r="I1003" s="205" t="str">
        <f t="shared" si="7"/>
        <v/>
      </c>
      <c r="J1003" s="205"/>
      <c r="K1003" s="205"/>
    </row>
    <row r="1004" ht="14.25" customHeight="1">
      <c r="A1004" s="55">
        <v>46659.0</v>
      </c>
      <c r="B1004" s="55" t="str">
        <f t="shared" si="10"/>
        <v>Primer dia</v>
      </c>
      <c r="C1004" s="202">
        <f t="shared" si="1"/>
        <v>29</v>
      </c>
      <c r="D1004" s="202" t="str">
        <f t="shared" si="2"/>
        <v> </v>
      </c>
      <c r="E1004" s="202" t="str">
        <f t="shared" si="9"/>
        <v> </v>
      </c>
      <c r="F1004" s="55" t="str">
        <f t="shared" si="4"/>
        <v/>
      </c>
      <c r="G1004" s="202" t="str">
        <f t="shared" si="5"/>
        <v/>
      </c>
      <c r="H1004" s="202" t="str">
        <f t="shared" si="11"/>
        <v> </v>
      </c>
      <c r="I1004" s="205" t="str">
        <f t="shared" si="7"/>
        <v/>
      </c>
      <c r="J1004" s="205"/>
      <c r="K1004" s="205"/>
    </row>
    <row r="1005" ht="14.25" customHeight="1">
      <c r="A1005" s="55">
        <v>46660.0</v>
      </c>
      <c r="B1005" s="55" t="str">
        <f t="shared" si="10"/>
        <v>Primer dia</v>
      </c>
      <c r="C1005" s="202">
        <f t="shared" si="1"/>
        <v>30</v>
      </c>
      <c r="D1005" s="202" t="str">
        <f t="shared" si="2"/>
        <v> </v>
      </c>
      <c r="E1005" s="202" t="str">
        <f t="shared" si="9"/>
        <v> </v>
      </c>
      <c r="F1005" s="55" t="str">
        <f t="shared" si="4"/>
        <v/>
      </c>
      <c r="G1005" s="202" t="str">
        <f t="shared" si="5"/>
        <v/>
      </c>
      <c r="H1005" s="202" t="str">
        <f t="shared" si="11"/>
        <v> </v>
      </c>
      <c r="I1005" s="205" t="str">
        <f t="shared" si="7"/>
        <v/>
      </c>
      <c r="J1005" s="205"/>
      <c r="K1005" s="205"/>
    </row>
    <row r="1006" ht="14.25" customHeight="1">
      <c r="A1006" s="55">
        <v>46661.0</v>
      </c>
      <c r="B1006" s="55" t="str">
        <f t="shared" si="10"/>
        <v>Primer dia</v>
      </c>
      <c r="C1006" s="202">
        <f t="shared" si="1"/>
        <v>1</v>
      </c>
      <c r="D1006" s="202" t="str">
        <f t="shared" si="2"/>
        <v> </v>
      </c>
      <c r="E1006" s="202" t="str">
        <f t="shared" si="9"/>
        <v> </v>
      </c>
      <c r="F1006" s="55" t="str">
        <f t="shared" si="4"/>
        <v/>
      </c>
      <c r="G1006" s="202" t="str">
        <f t="shared" si="5"/>
        <v/>
      </c>
      <c r="H1006" s="202" t="str">
        <f t="shared" si="11"/>
        <v> </v>
      </c>
      <c r="I1006" s="205" t="str">
        <f t="shared" si="7"/>
        <v/>
      </c>
      <c r="J1006" s="205"/>
      <c r="K1006" s="205"/>
    </row>
    <row r="1007" ht="14.25" customHeight="1">
      <c r="A1007" s="55">
        <v>46662.0</v>
      </c>
      <c r="B1007" s="55" t="str">
        <f t="shared" si="10"/>
        <v>Primer dia</v>
      </c>
      <c r="C1007" s="202">
        <f t="shared" si="1"/>
        <v>2</v>
      </c>
      <c r="D1007" s="202" t="str">
        <f t="shared" si="2"/>
        <v> </v>
      </c>
      <c r="E1007" s="202">
        <f t="shared" si="9"/>
        <v>2</v>
      </c>
      <c r="F1007" s="55">
        <f t="shared" si="4"/>
        <v>46662</v>
      </c>
      <c r="G1007" s="202">
        <f t="shared" si="5"/>
        <v>41</v>
      </c>
      <c r="H1007" s="202" t="str">
        <f t="shared" si="11"/>
        <v> </v>
      </c>
      <c r="I1007" s="205" t="str">
        <f t="shared" si="7"/>
        <v/>
      </c>
      <c r="J1007" s="205"/>
      <c r="K1007" s="205"/>
    </row>
    <row r="1008" ht="14.25" customHeight="1">
      <c r="A1008" s="55">
        <v>46663.0</v>
      </c>
      <c r="B1008" s="55" t="str">
        <f t="shared" si="10"/>
        <v>Primer dia</v>
      </c>
      <c r="C1008" s="202">
        <f t="shared" si="1"/>
        <v>3</v>
      </c>
      <c r="D1008" s="202" t="str">
        <f t="shared" si="2"/>
        <v> </v>
      </c>
      <c r="E1008" s="202" t="str">
        <f t="shared" si="9"/>
        <v> </v>
      </c>
      <c r="F1008" s="55" t="str">
        <f t="shared" si="4"/>
        <v/>
      </c>
      <c r="G1008" s="202" t="str">
        <f t="shared" si="5"/>
        <v/>
      </c>
      <c r="H1008" s="202" t="str">
        <f t="shared" si="11"/>
        <v> </v>
      </c>
      <c r="I1008" s="205" t="str">
        <f t="shared" si="7"/>
        <v/>
      </c>
      <c r="J1008" s="205"/>
      <c r="K1008" s="205"/>
    </row>
    <row r="1009" ht="14.25" customHeight="1">
      <c r="A1009" s="55">
        <v>46664.0</v>
      </c>
      <c r="B1009" s="55" t="str">
        <f t="shared" si="10"/>
        <v>Primer dia</v>
      </c>
      <c r="C1009" s="202">
        <f t="shared" si="1"/>
        <v>4</v>
      </c>
      <c r="D1009" s="202" t="str">
        <f t="shared" si="2"/>
        <v> </v>
      </c>
      <c r="E1009" s="202" t="str">
        <f t="shared" si="9"/>
        <v> </v>
      </c>
      <c r="F1009" s="55" t="str">
        <f t="shared" si="4"/>
        <v/>
      </c>
      <c r="G1009" s="202" t="str">
        <f t="shared" si="5"/>
        <v/>
      </c>
      <c r="H1009" s="202" t="str">
        <f t="shared" si="11"/>
        <v> </v>
      </c>
      <c r="I1009" s="205" t="str">
        <f t="shared" si="7"/>
        <v/>
      </c>
      <c r="J1009" s="205"/>
      <c r="K1009" s="205"/>
    </row>
    <row r="1010" ht="14.25" customHeight="1">
      <c r="A1010" s="55">
        <v>46665.0</v>
      </c>
      <c r="B1010" s="55" t="str">
        <f t="shared" si="10"/>
        <v>Primer dia</v>
      </c>
      <c r="C1010" s="202">
        <f t="shared" si="1"/>
        <v>5</v>
      </c>
      <c r="D1010" s="202" t="str">
        <f t="shared" si="2"/>
        <v> </v>
      </c>
      <c r="E1010" s="202" t="str">
        <f t="shared" si="9"/>
        <v> </v>
      </c>
      <c r="F1010" s="55" t="str">
        <f t="shared" si="4"/>
        <v/>
      </c>
      <c r="G1010" s="202" t="str">
        <f t="shared" si="5"/>
        <v/>
      </c>
      <c r="H1010" s="202" t="str">
        <f t="shared" si="11"/>
        <v> </v>
      </c>
      <c r="I1010" s="205" t="str">
        <f t="shared" si="7"/>
        <v/>
      </c>
      <c r="J1010" s="205"/>
      <c r="K1010" s="205"/>
    </row>
    <row r="1011" ht="14.25" customHeight="1">
      <c r="A1011" s="55">
        <v>46666.0</v>
      </c>
      <c r="B1011" s="55" t="str">
        <f t="shared" si="10"/>
        <v>Primer dia</v>
      </c>
      <c r="C1011" s="202">
        <f t="shared" si="1"/>
        <v>6</v>
      </c>
      <c r="D1011" s="202" t="str">
        <f t="shared" si="2"/>
        <v> </v>
      </c>
      <c r="E1011" s="202" t="str">
        <f t="shared" si="9"/>
        <v> </v>
      </c>
      <c r="F1011" s="55" t="str">
        <f t="shared" si="4"/>
        <v/>
      </c>
      <c r="G1011" s="202" t="str">
        <f t="shared" si="5"/>
        <v/>
      </c>
      <c r="H1011" s="202" t="str">
        <f t="shared" si="11"/>
        <v> </v>
      </c>
      <c r="I1011" s="205" t="str">
        <f t="shared" si="7"/>
        <v/>
      </c>
      <c r="J1011" s="205"/>
      <c r="K1011" s="205"/>
    </row>
    <row r="1012" ht="14.25" customHeight="1">
      <c r="A1012" s="55">
        <v>46667.0</v>
      </c>
      <c r="B1012" s="55" t="str">
        <f t="shared" si="10"/>
        <v>Primer dia</v>
      </c>
      <c r="C1012" s="202">
        <f t="shared" si="1"/>
        <v>7</v>
      </c>
      <c r="D1012" s="202" t="str">
        <f t="shared" si="2"/>
        <v> </v>
      </c>
      <c r="E1012" s="202" t="str">
        <f t="shared" si="9"/>
        <v> </v>
      </c>
      <c r="F1012" s="55" t="str">
        <f t="shared" si="4"/>
        <v/>
      </c>
      <c r="G1012" s="202" t="str">
        <f t="shared" si="5"/>
        <v/>
      </c>
      <c r="H1012" s="202" t="str">
        <f t="shared" si="11"/>
        <v> </v>
      </c>
      <c r="I1012" s="205" t="str">
        <f t="shared" si="7"/>
        <v/>
      </c>
      <c r="J1012" s="205"/>
      <c r="K1012" s="205"/>
    </row>
    <row r="1013" ht="14.25" customHeight="1">
      <c r="A1013" s="55">
        <v>46668.0</v>
      </c>
      <c r="B1013" s="55" t="str">
        <f t="shared" si="10"/>
        <v>Primer dia</v>
      </c>
      <c r="C1013" s="202">
        <f t="shared" si="1"/>
        <v>8</v>
      </c>
      <c r="D1013" s="202" t="str">
        <f t="shared" si="2"/>
        <v> </v>
      </c>
      <c r="E1013" s="202" t="str">
        <f t="shared" si="9"/>
        <v> </v>
      </c>
      <c r="F1013" s="55" t="str">
        <f t="shared" si="4"/>
        <v/>
      </c>
      <c r="G1013" s="202" t="str">
        <f t="shared" si="5"/>
        <v/>
      </c>
      <c r="H1013" s="202" t="str">
        <f t="shared" si="11"/>
        <v> </v>
      </c>
      <c r="I1013" s="205" t="str">
        <f t="shared" si="7"/>
        <v/>
      </c>
      <c r="J1013" s="205"/>
      <c r="K1013" s="205"/>
    </row>
    <row r="1014" ht="14.25" customHeight="1">
      <c r="A1014" s="55">
        <v>46669.0</v>
      </c>
      <c r="B1014" s="55" t="str">
        <f t="shared" si="10"/>
        <v>Primer dia</v>
      </c>
      <c r="C1014" s="202">
        <f t="shared" si="1"/>
        <v>9</v>
      </c>
      <c r="D1014" s="202" t="str">
        <f t="shared" si="2"/>
        <v> </v>
      </c>
      <c r="E1014" s="202" t="str">
        <f t="shared" si="9"/>
        <v> </v>
      </c>
      <c r="F1014" s="55" t="str">
        <f t="shared" si="4"/>
        <v/>
      </c>
      <c r="G1014" s="202" t="str">
        <f t="shared" si="5"/>
        <v/>
      </c>
      <c r="H1014" s="202" t="str">
        <f t="shared" si="11"/>
        <v> </v>
      </c>
      <c r="I1014" s="205" t="str">
        <f t="shared" si="7"/>
        <v/>
      </c>
      <c r="J1014" s="205"/>
      <c r="K1014" s="205"/>
    </row>
    <row r="1015" ht="14.25" customHeight="1">
      <c r="A1015" s="55">
        <v>46670.0</v>
      </c>
      <c r="B1015" s="55" t="str">
        <f t="shared" si="10"/>
        <v>Primer dia</v>
      </c>
      <c r="C1015" s="202">
        <f t="shared" si="1"/>
        <v>10</v>
      </c>
      <c r="D1015" s="202" t="str">
        <f t="shared" si="2"/>
        <v> </v>
      </c>
      <c r="E1015" s="202" t="str">
        <f t="shared" si="9"/>
        <v> </v>
      </c>
      <c r="F1015" s="55" t="str">
        <f t="shared" si="4"/>
        <v/>
      </c>
      <c r="G1015" s="202" t="str">
        <f t="shared" si="5"/>
        <v/>
      </c>
      <c r="H1015" s="202" t="str">
        <f t="shared" si="11"/>
        <v> </v>
      </c>
      <c r="I1015" s="205" t="str">
        <f t="shared" si="7"/>
        <v/>
      </c>
      <c r="J1015" s="205"/>
      <c r="K1015" s="205"/>
    </row>
    <row r="1016" ht="14.25" customHeight="1">
      <c r="A1016" s="55">
        <v>46671.0</v>
      </c>
      <c r="B1016" s="55" t="str">
        <f t="shared" si="10"/>
        <v>Primer dia</v>
      </c>
      <c r="C1016" s="202">
        <f t="shared" si="1"/>
        <v>11</v>
      </c>
      <c r="D1016" s="202" t="str">
        <f t="shared" si="2"/>
        <v> </v>
      </c>
      <c r="E1016" s="202" t="str">
        <f t="shared" si="9"/>
        <v> </v>
      </c>
      <c r="F1016" s="55" t="str">
        <f t="shared" si="4"/>
        <v/>
      </c>
      <c r="G1016" s="202" t="str">
        <f t="shared" si="5"/>
        <v/>
      </c>
      <c r="H1016" s="202" t="str">
        <f t="shared" si="11"/>
        <v> </v>
      </c>
      <c r="I1016" s="205" t="str">
        <f t="shared" si="7"/>
        <v/>
      </c>
      <c r="J1016" s="205"/>
      <c r="K1016" s="205"/>
    </row>
    <row r="1017" ht="14.25" customHeight="1">
      <c r="A1017" s="55">
        <v>46672.0</v>
      </c>
      <c r="B1017" s="55" t="str">
        <f t="shared" si="10"/>
        <v>Primer dia</v>
      </c>
      <c r="C1017" s="202">
        <f t="shared" si="1"/>
        <v>12</v>
      </c>
      <c r="D1017" s="202" t="str">
        <f t="shared" si="2"/>
        <v> </v>
      </c>
      <c r="E1017" s="202" t="str">
        <f t="shared" si="9"/>
        <v> </v>
      </c>
      <c r="F1017" s="55" t="str">
        <f t="shared" si="4"/>
        <v/>
      </c>
      <c r="G1017" s="202" t="str">
        <f t="shared" si="5"/>
        <v/>
      </c>
      <c r="H1017" s="202" t="str">
        <f t="shared" si="11"/>
        <v> </v>
      </c>
      <c r="I1017" s="205" t="str">
        <f t="shared" si="7"/>
        <v/>
      </c>
      <c r="J1017" s="205"/>
      <c r="K1017" s="205"/>
    </row>
    <row r="1018" ht="14.25" customHeight="1">
      <c r="A1018" s="55">
        <v>46673.0</v>
      </c>
      <c r="B1018" s="55" t="str">
        <f t="shared" si="10"/>
        <v>Primer dia</v>
      </c>
      <c r="C1018" s="202">
        <f t="shared" si="1"/>
        <v>13</v>
      </c>
      <c r="D1018" s="202" t="str">
        <f t="shared" si="2"/>
        <v> </v>
      </c>
      <c r="E1018" s="202" t="str">
        <f t="shared" si="9"/>
        <v> </v>
      </c>
      <c r="F1018" s="55" t="str">
        <f t="shared" si="4"/>
        <v/>
      </c>
      <c r="G1018" s="202" t="str">
        <f t="shared" si="5"/>
        <v/>
      </c>
      <c r="H1018" s="202" t="str">
        <f t="shared" si="11"/>
        <v> </v>
      </c>
      <c r="I1018" s="205" t="str">
        <f t="shared" si="7"/>
        <v/>
      </c>
      <c r="J1018" s="205"/>
      <c r="K1018" s="205"/>
    </row>
    <row r="1019" ht="14.25" customHeight="1">
      <c r="A1019" s="55">
        <v>46674.0</v>
      </c>
      <c r="B1019" s="55" t="str">
        <f t="shared" si="10"/>
        <v>Primer dia</v>
      </c>
      <c r="C1019" s="202">
        <f t="shared" si="1"/>
        <v>14</v>
      </c>
      <c r="D1019" s="202" t="str">
        <f t="shared" si="2"/>
        <v> </v>
      </c>
      <c r="E1019" s="202" t="str">
        <f t="shared" si="9"/>
        <v> </v>
      </c>
      <c r="F1019" s="55" t="str">
        <f t="shared" si="4"/>
        <v/>
      </c>
      <c r="G1019" s="202" t="str">
        <f t="shared" si="5"/>
        <v/>
      </c>
      <c r="H1019" s="202" t="str">
        <f t="shared" si="11"/>
        <v> </v>
      </c>
      <c r="I1019" s="205" t="str">
        <f t="shared" si="7"/>
        <v/>
      </c>
      <c r="J1019" s="205"/>
      <c r="K1019" s="205"/>
    </row>
    <row r="1020" ht="14.25" customHeight="1">
      <c r="A1020" s="55">
        <v>46675.0</v>
      </c>
      <c r="B1020" s="55" t="str">
        <f t="shared" si="10"/>
        <v>Primer dia</v>
      </c>
      <c r="C1020" s="202">
        <f t="shared" si="1"/>
        <v>15</v>
      </c>
      <c r="D1020" s="202" t="str">
        <f t="shared" si="2"/>
        <v> </v>
      </c>
      <c r="E1020" s="202" t="str">
        <f t="shared" si="9"/>
        <v> </v>
      </c>
      <c r="F1020" s="55" t="str">
        <f t="shared" si="4"/>
        <v/>
      </c>
      <c r="G1020" s="202" t="str">
        <f t="shared" si="5"/>
        <v/>
      </c>
      <c r="H1020" s="202" t="str">
        <f t="shared" si="11"/>
        <v> </v>
      </c>
      <c r="I1020" s="205" t="str">
        <f t="shared" si="7"/>
        <v/>
      </c>
      <c r="J1020" s="205"/>
      <c r="K1020" s="205"/>
    </row>
    <row r="1021" ht="14.25" customHeight="1">
      <c r="A1021" s="55">
        <v>46676.0</v>
      </c>
      <c r="B1021" s="55" t="str">
        <f t="shared" si="10"/>
        <v>Primer dia</v>
      </c>
      <c r="C1021" s="202">
        <f t="shared" si="1"/>
        <v>16</v>
      </c>
      <c r="D1021" s="202" t="str">
        <f t="shared" si="2"/>
        <v> </v>
      </c>
      <c r="E1021" s="202" t="str">
        <f t="shared" si="9"/>
        <v> </v>
      </c>
      <c r="F1021" s="55" t="str">
        <f t="shared" si="4"/>
        <v/>
      </c>
      <c r="G1021" s="202" t="str">
        <f t="shared" si="5"/>
        <v/>
      </c>
      <c r="H1021" s="202" t="str">
        <f t="shared" si="11"/>
        <v> </v>
      </c>
      <c r="I1021" s="205" t="str">
        <f t="shared" si="7"/>
        <v/>
      </c>
      <c r="J1021" s="205"/>
      <c r="K1021" s="205"/>
    </row>
    <row r="1022" ht="14.25" customHeight="1">
      <c r="A1022" s="55">
        <v>46677.0</v>
      </c>
      <c r="B1022" s="55" t="str">
        <f t="shared" si="10"/>
        <v>Primer dia</v>
      </c>
      <c r="C1022" s="202">
        <f t="shared" si="1"/>
        <v>17</v>
      </c>
      <c r="D1022" s="202" t="str">
        <f t="shared" si="2"/>
        <v> </v>
      </c>
      <c r="E1022" s="202">
        <f t="shared" si="9"/>
        <v>17</v>
      </c>
      <c r="F1022" s="55">
        <f t="shared" si="4"/>
        <v>46677</v>
      </c>
      <c r="G1022" s="202">
        <f t="shared" si="5"/>
        <v>42</v>
      </c>
      <c r="H1022" s="202" t="str">
        <f t="shared" si="11"/>
        <v> </v>
      </c>
      <c r="I1022" s="205" t="str">
        <f t="shared" si="7"/>
        <v/>
      </c>
      <c r="J1022" s="205"/>
      <c r="K1022" s="205"/>
    </row>
    <row r="1023" ht="14.25" customHeight="1">
      <c r="A1023" s="55">
        <v>46678.0</v>
      </c>
      <c r="B1023" s="55" t="str">
        <f t="shared" si="10"/>
        <v>Primer dia</v>
      </c>
      <c r="C1023" s="202">
        <f t="shared" si="1"/>
        <v>18</v>
      </c>
      <c r="D1023" s="202" t="str">
        <f t="shared" si="2"/>
        <v> </v>
      </c>
      <c r="E1023" s="202" t="str">
        <f t="shared" si="9"/>
        <v> </v>
      </c>
      <c r="F1023" s="55" t="str">
        <f t="shared" si="4"/>
        <v/>
      </c>
      <c r="G1023" s="202" t="str">
        <f t="shared" si="5"/>
        <v/>
      </c>
      <c r="H1023" s="202" t="str">
        <f t="shared" si="11"/>
        <v> </v>
      </c>
      <c r="I1023" s="205" t="str">
        <f t="shared" si="7"/>
        <v/>
      </c>
      <c r="J1023" s="205"/>
      <c r="K1023" s="205"/>
    </row>
    <row r="1024" ht="14.25" customHeight="1">
      <c r="A1024" s="55">
        <v>46679.0</v>
      </c>
      <c r="B1024" s="55" t="str">
        <f t="shared" si="10"/>
        <v>Primer dia</v>
      </c>
      <c r="C1024" s="202">
        <f t="shared" si="1"/>
        <v>19</v>
      </c>
      <c r="D1024" s="202" t="str">
        <f t="shared" si="2"/>
        <v> </v>
      </c>
      <c r="E1024" s="202" t="str">
        <f t="shared" si="9"/>
        <v> </v>
      </c>
      <c r="F1024" s="55" t="str">
        <f t="shared" si="4"/>
        <v/>
      </c>
      <c r="G1024" s="202" t="str">
        <f t="shared" si="5"/>
        <v/>
      </c>
      <c r="H1024" s="202" t="str">
        <f t="shared" si="11"/>
        <v> </v>
      </c>
      <c r="I1024" s="205" t="str">
        <f t="shared" si="7"/>
        <v/>
      </c>
      <c r="J1024" s="205"/>
      <c r="K1024" s="205"/>
    </row>
    <row r="1025" ht="14.25" customHeight="1">
      <c r="A1025" s="55">
        <v>46680.0</v>
      </c>
      <c r="B1025" s="55" t="str">
        <f t="shared" si="10"/>
        <v>Primer dia</v>
      </c>
      <c r="C1025" s="202">
        <f t="shared" si="1"/>
        <v>20</v>
      </c>
      <c r="D1025" s="202" t="str">
        <f t="shared" si="2"/>
        <v> </v>
      </c>
      <c r="E1025" s="202" t="str">
        <f t="shared" si="9"/>
        <v> </v>
      </c>
      <c r="F1025" s="55" t="str">
        <f t="shared" si="4"/>
        <v/>
      </c>
      <c r="G1025" s="202" t="str">
        <f t="shared" si="5"/>
        <v/>
      </c>
      <c r="H1025" s="202" t="str">
        <f t="shared" si="11"/>
        <v> </v>
      </c>
      <c r="I1025" s="205" t="str">
        <f t="shared" si="7"/>
        <v/>
      </c>
      <c r="J1025" s="205"/>
      <c r="K1025" s="205"/>
    </row>
    <row r="1026" ht="14.25" customHeight="1">
      <c r="A1026" s="55">
        <v>46681.0</v>
      </c>
      <c r="B1026" s="55" t="str">
        <f t="shared" si="10"/>
        <v>Primer dia</v>
      </c>
      <c r="C1026" s="202">
        <f t="shared" si="1"/>
        <v>21</v>
      </c>
      <c r="D1026" s="202" t="str">
        <f t="shared" si="2"/>
        <v> </v>
      </c>
      <c r="E1026" s="202" t="str">
        <f t="shared" si="9"/>
        <v> </v>
      </c>
      <c r="F1026" s="55" t="str">
        <f t="shared" si="4"/>
        <v/>
      </c>
      <c r="G1026" s="202" t="str">
        <f t="shared" si="5"/>
        <v/>
      </c>
      <c r="H1026" s="202" t="str">
        <f t="shared" si="11"/>
        <v> </v>
      </c>
      <c r="I1026" s="205" t="str">
        <f t="shared" si="7"/>
        <v/>
      </c>
      <c r="J1026" s="205"/>
      <c r="K1026" s="205"/>
    </row>
    <row r="1027" ht="14.25" customHeight="1">
      <c r="A1027" s="55">
        <v>46682.0</v>
      </c>
      <c r="B1027" s="55" t="str">
        <f t="shared" si="10"/>
        <v>Primer dia</v>
      </c>
      <c r="C1027" s="202">
        <f t="shared" si="1"/>
        <v>22</v>
      </c>
      <c r="D1027" s="202" t="str">
        <f t="shared" si="2"/>
        <v> </v>
      </c>
      <c r="E1027" s="202" t="str">
        <f t="shared" si="9"/>
        <v> </v>
      </c>
      <c r="F1027" s="55" t="str">
        <f t="shared" si="4"/>
        <v/>
      </c>
      <c r="G1027" s="202" t="str">
        <f t="shared" si="5"/>
        <v/>
      </c>
      <c r="H1027" s="202" t="str">
        <f t="shared" si="11"/>
        <v> </v>
      </c>
      <c r="I1027" s="205" t="str">
        <f t="shared" si="7"/>
        <v/>
      </c>
      <c r="J1027" s="205"/>
      <c r="K1027" s="205"/>
    </row>
    <row r="1028" ht="14.25" customHeight="1">
      <c r="A1028" s="55">
        <v>46683.0</v>
      </c>
      <c r="B1028" s="55" t="str">
        <f t="shared" si="10"/>
        <v>Primer dia</v>
      </c>
      <c r="C1028" s="202">
        <f t="shared" si="1"/>
        <v>23</v>
      </c>
      <c r="D1028" s="202" t="str">
        <f t="shared" si="2"/>
        <v> </v>
      </c>
      <c r="E1028" s="202" t="str">
        <f t="shared" si="9"/>
        <v> </v>
      </c>
      <c r="F1028" s="55" t="str">
        <f t="shared" si="4"/>
        <v/>
      </c>
      <c r="G1028" s="202" t="str">
        <f t="shared" si="5"/>
        <v/>
      </c>
      <c r="H1028" s="202" t="str">
        <f t="shared" si="11"/>
        <v> </v>
      </c>
      <c r="I1028" s="205" t="str">
        <f t="shared" si="7"/>
        <v/>
      </c>
      <c r="J1028" s="205"/>
      <c r="K1028" s="205"/>
    </row>
    <row r="1029" ht="14.25" customHeight="1">
      <c r="A1029" s="55">
        <v>46684.0</v>
      </c>
      <c r="B1029" s="55" t="str">
        <f t="shared" si="10"/>
        <v>Primer dia</v>
      </c>
      <c r="C1029" s="202">
        <f t="shared" si="1"/>
        <v>24</v>
      </c>
      <c r="D1029" s="202" t="str">
        <f t="shared" si="2"/>
        <v> </v>
      </c>
      <c r="E1029" s="202" t="str">
        <f t="shared" si="9"/>
        <v> </v>
      </c>
      <c r="F1029" s="55" t="str">
        <f t="shared" si="4"/>
        <v/>
      </c>
      <c r="G1029" s="202" t="str">
        <f t="shared" si="5"/>
        <v/>
      </c>
      <c r="H1029" s="202" t="str">
        <f t="shared" si="11"/>
        <v> </v>
      </c>
      <c r="I1029" s="205" t="str">
        <f t="shared" si="7"/>
        <v/>
      </c>
      <c r="J1029" s="205"/>
      <c r="K1029" s="205"/>
    </row>
    <row r="1030" ht="14.25" customHeight="1">
      <c r="A1030" s="55">
        <v>46685.0</v>
      </c>
      <c r="B1030" s="55" t="str">
        <f t="shared" si="10"/>
        <v>Primer dia</v>
      </c>
      <c r="C1030" s="202">
        <f t="shared" si="1"/>
        <v>25</v>
      </c>
      <c r="D1030" s="202" t="str">
        <f t="shared" si="2"/>
        <v> </v>
      </c>
      <c r="E1030" s="202" t="str">
        <f t="shared" si="9"/>
        <v> </v>
      </c>
      <c r="F1030" s="55" t="str">
        <f t="shared" si="4"/>
        <v/>
      </c>
      <c r="G1030" s="202" t="str">
        <f t="shared" si="5"/>
        <v/>
      </c>
      <c r="H1030" s="202" t="str">
        <f t="shared" si="11"/>
        <v> </v>
      </c>
      <c r="I1030" s="205" t="str">
        <f t="shared" si="7"/>
        <v/>
      </c>
      <c r="J1030" s="205"/>
      <c r="K1030" s="205"/>
    </row>
    <row r="1031" ht="14.25" customHeight="1">
      <c r="A1031" s="55">
        <v>46686.0</v>
      </c>
      <c r="B1031" s="55" t="str">
        <f t="shared" si="10"/>
        <v>Primer dia</v>
      </c>
      <c r="C1031" s="202">
        <f t="shared" si="1"/>
        <v>26</v>
      </c>
      <c r="D1031" s="202" t="str">
        <f t="shared" si="2"/>
        <v> </v>
      </c>
      <c r="E1031" s="202" t="str">
        <f t="shared" si="9"/>
        <v> </v>
      </c>
      <c r="F1031" s="55" t="str">
        <f t="shared" si="4"/>
        <v/>
      </c>
      <c r="G1031" s="202" t="str">
        <f t="shared" si="5"/>
        <v/>
      </c>
      <c r="H1031" s="202" t="str">
        <f t="shared" si="11"/>
        <v> </v>
      </c>
      <c r="I1031" s="205" t="str">
        <f t="shared" si="7"/>
        <v/>
      </c>
      <c r="J1031" s="205"/>
      <c r="K1031" s="205"/>
    </row>
    <row r="1032" ht="14.25" customHeight="1">
      <c r="A1032" s="55">
        <v>46687.0</v>
      </c>
      <c r="B1032" s="55" t="str">
        <f t="shared" si="10"/>
        <v>Primer dia</v>
      </c>
      <c r="C1032" s="202">
        <f t="shared" si="1"/>
        <v>27</v>
      </c>
      <c r="D1032" s="202" t="str">
        <f t="shared" si="2"/>
        <v> </v>
      </c>
      <c r="E1032" s="202" t="str">
        <f t="shared" si="9"/>
        <v> </v>
      </c>
      <c r="F1032" s="55" t="str">
        <f t="shared" si="4"/>
        <v/>
      </c>
      <c r="G1032" s="202" t="str">
        <f t="shared" si="5"/>
        <v/>
      </c>
      <c r="H1032" s="202" t="str">
        <f t="shared" si="11"/>
        <v> </v>
      </c>
      <c r="I1032" s="205" t="str">
        <f t="shared" si="7"/>
        <v/>
      </c>
      <c r="J1032" s="205"/>
      <c r="K1032" s="205"/>
    </row>
    <row r="1033" ht="14.25" customHeight="1">
      <c r="A1033" s="55">
        <v>46688.0</v>
      </c>
      <c r="B1033" s="55" t="str">
        <f t="shared" si="10"/>
        <v>Primer dia</v>
      </c>
      <c r="C1033" s="202">
        <f t="shared" si="1"/>
        <v>28</v>
      </c>
      <c r="D1033" s="202" t="str">
        <f t="shared" si="2"/>
        <v> </v>
      </c>
      <c r="E1033" s="202" t="str">
        <f t="shared" si="9"/>
        <v> </v>
      </c>
      <c r="F1033" s="55" t="str">
        <f t="shared" si="4"/>
        <v/>
      </c>
      <c r="G1033" s="202" t="str">
        <f t="shared" si="5"/>
        <v/>
      </c>
      <c r="H1033" s="202" t="str">
        <f t="shared" si="11"/>
        <v> </v>
      </c>
      <c r="I1033" s="205" t="str">
        <f t="shared" si="7"/>
        <v/>
      </c>
      <c r="J1033" s="205"/>
      <c r="K1033" s="205"/>
    </row>
    <row r="1034" ht="14.25" customHeight="1">
      <c r="A1034" s="55">
        <v>46689.0</v>
      </c>
      <c r="B1034" s="55" t="str">
        <f t="shared" si="10"/>
        <v>Primer dia</v>
      </c>
      <c r="C1034" s="202">
        <f t="shared" si="1"/>
        <v>29</v>
      </c>
      <c r="D1034" s="202" t="str">
        <f t="shared" si="2"/>
        <v> </v>
      </c>
      <c r="E1034" s="202" t="str">
        <f t="shared" si="9"/>
        <v> </v>
      </c>
      <c r="F1034" s="55" t="str">
        <f t="shared" si="4"/>
        <v/>
      </c>
      <c r="G1034" s="202" t="str">
        <f t="shared" si="5"/>
        <v/>
      </c>
      <c r="H1034" s="202" t="str">
        <f t="shared" si="11"/>
        <v> </v>
      </c>
      <c r="I1034" s="205" t="str">
        <f t="shared" si="7"/>
        <v/>
      </c>
      <c r="J1034" s="205"/>
      <c r="K1034" s="205"/>
    </row>
    <row r="1035" ht="14.25" customHeight="1">
      <c r="A1035" s="55">
        <v>46690.0</v>
      </c>
      <c r="B1035" s="55" t="str">
        <f t="shared" si="10"/>
        <v>Primer dia</v>
      </c>
      <c r="C1035" s="202">
        <f t="shared" si="1"/>
        <v>30</v>
      </c>
      <c r="D1035" s="202" t="str">
        <f t="shared" si="2"/>
        <v> </v>
      </c>
      <c r="E1035" s="202" t="str">
        <f t="shared" si="9"/>
        <v> </v>
      </c>
      <c r="F1035" s="55" t="str">
        <f t="shared" si="4"/>
        <v/>
      </c>
      <c r="G1035" s="202" t="str">
        <f t="shared" si="5"/>
        <v/>
      </c>
      <c r="H1035" s="202" t="str">
        <f t="shared" si="11"/>
        <v> </v>
      </c>
      <c r="I1035" s="205" t="str">
        <f t="shared" si="7"/>
        <v/>
      </c>
      <c r="J1035" s="205"/>
      <c r="K1035" s="205"/>
    </row>
    <row r="1036" ht="14.25" customHeight="1">
      <c r="A1036" s="55">
        <v>46691.0</v>
      </c>
      <c r="B1036" s="55" t="str">
        <f t="shared" si="10"/>
        <v>Primer dia</v>
      </c>
      <c r="C1036" s="202">
        <f t="shared" si="1"/>
        <v>31</v>
      </c>
      <c r="D1036" s="202" t="str">
        <f t="shared" si="2"/>
        <v> </v>
      </c>
      <c r="E1036" s="202" t="str">
        <f t="shared" si="9"/>
        <v> </v>
      </c>
      <c r="F1036" s="55" t="str">
        <f t="shared" si="4"/>
        <v/>
      </c>
      <c r="G1036" s="202" t="str">
        <f t="shared" si="5"/>
        <v/>
      </c>
      <c r="H1036" s="202" t="str">
        <f t="shared" si="11"/>
        <v> </v>
      </c>
      <c r="I1036" s="205" t="str">
        <f t="shared" si="7"/>
        <v/>
      </c>
      <c r="J1036" s="205"/>
      <c r="K1036" s="205"/>
    </row>
    <row r="1037" ht="14.25" customHeight="1">
      <c r="A1037" s="55">
        <v>46692.0</v>
      </c>
      <c r="B1037" s="55" t="str">
        <f t="shared" si="10"/>
        <v>Primer dia</v>
      </c>
      <c r="C1037" s="202">
        <f t="shared" si="1"/>
        <v>1</v>
      </c>
      <c r="D1037" s="202" t="str">
        <f t="shared" si="2"/>
        <v> </v>
      </c>
      <c r="E1037" s="202" t="str">
        <f t="shared" si="9"/>
        <v> </v>
      </c>
      <c r="F1037" s="55" t="str">
        <f t="shared" si="4"/>
        <v/>
      </c>
      <c r="G1037" s="202" t="str">
        <f t="shared" si="5"/>
        <v/>
      </c>
      <c r="H1037" s="202" t="str">
        <f t="shared" si="11"/>
        <v> </v>
      </c>
      <c r="I1037" s="205" t="str">
        <f t="shared" si="7"/>
        <v/>
      </c>
      <c r="J1037" s="205"/>
      <c r="K1037" s="205"/>
    </row>
    <row r="1038" ht="14.25" customHeight="1">
      <c r="A1038" s="55">
        <v>46693.0</v>
      </c>
      <c r="B1038" s="55" t="str">
        <f t="shared" si="10"/>
        <v>Primer dia</v>
      </c>
      <c r="C1038" s="202">
        <f t="shared" si="1"/>
        <v>2</v>
      </c>
      <c r="D1038" s="202" t="str">
        <f t="shared" si="2"/>
        <v> </v>
      </c>
      <c r="E1038" s="202">
        <f t="shared" si="9"/>
        <v>2</v>
      </c>
      <c r="F1038" s="55">
        <f t="shared" si="4"/>
        <v>46693</v>
      </c>
      <c r="G1038" s="202">
        <f t="shared" si="5"/>
        <v>43</v>
      </c>
      <c r="H1038" s="202" t="str">
        <f t="shared" si="11"/>
        <v> </v>
      </c>
      <c r="I1038" s="205" t="str">
        <f t="shared" si="7"/>
        <v/>
      </c>
      <c r="J1038" s="205"/>
      <c r="K1038" s="205"/>
    </row>
    <row r="1039" ht="14.25" customHeight="1">
      <c r="A1039" s="55">
        <v>46694.0</v>
      </c>
      <c r="B1039" s="55" t="str">
        <f t="shared" si="10"/>
        <v>Primer dia</v>
      </c>
      <c r="C1039" s="202">
        <f t="shared" si="1"/>
        <v>3</v>
      </c>
      <c r="D1039" s="202" t="str">
        <f t="shared" si="2"/>
        <v> </v>
      </c>
      <c r="E1039" s="202" t="str">
        <f t="shared" si="9"/>
        <v> </v>
      </c>
      <c r="F1039" s="55" t="str">
        <f t="shared" si="4"/>
        <v/>
      </c>
      <c r="G1039" s="202" t="str">
        <f t="shared" si="5"/>
        <v/>
      </c>
      <c r="H1039" s="202" t="str">
        <f t="shared" si="11"/>
        <v> </v>
      </c>
      <c r="I1039" s="205" t="str">
        <f t="shared" si="7"/>
        <v/>
      </c>
      <c r="J1039" s="205"/>
      <c r="K1039" s="205"/>
    </row>
    <row r="1040" ht="14.25" customHeight="1">
      <c r="A1040" s="55">
        <v>46695.0</v>
      </c>
      <c r="B1040" s="55" t="str">
        <f t="shared" si="10"/>
        <v>Primer dia</v>
      </c>
      <c r="C1040" s="202">
        <f t="shared" si="1"/>
        <v>4</v>
      </c>
      <c r="D1040" s="202" t="str">
        <f t="shared" si="2"/>
        <v> </v>
      </c>
      <c r="E1040" s="202" t="str">
        <f t="shared" si="9"/>
        <v> </v>
      </c>
      <c r="F1040" s="55" t="str">
        <f t="shared" si="4"/>
        <v/>
      </c>
      <c r="G1040" s="202" t="str">
        <f t="shared" si="5"/>
        <v/>
      </c>
      <c r="H1040" s="202" t="str">
        <f t="shared" si="11"/>
        <v> </v>
      </c>
      <c r="I1040" s="205" t="str">
        <f t="shared" si="7"/>
        <v/>
      </c>
      <c r="J1040" s="205"/>
      <c r="K1040" s="205"/>
    </row>
    <row r="1041" ht="14.25" customHeight="1">
      <c r="A1041" s="55">
        <v>46696.0</v>
      </c>
      <c r="B1041" s="55" t="str">
        <f t="shared" si="10"/>
        <v>Primer dia</v>
      </c>
      <c r="C1041" s="202">
        <f t="shared" si="1"/>
        <v>5</v>
      </c>
      <c r="D1041" s="202" t="str">
        <f t="shared" si="2"/>
        <v> </v>
      </c>
      <c r="E1041" s="202" t="str">
        <f t="shared" si="9"/>
        <v> </v>
      </c>
      <c r="F1041" s="55" t="str">
        <f t="shared" si="4"/>
        <v/>
      </c>
      <c r="G1041" s="202" t="str">
        <f t="shared" si="5"/>
        <v/>
      </c>
      <c r="H1041" s="202" t="str">
        <f t="shared" si="11"/>
        <v> </v>
      </c>
      <c r="I1041" s="205" t="str">
        <f t="shared" si="7"/>
        <v/>
      </c>
      <c r="J1041" s="205"/>
      <c r="K1041" s="205"/>
    </row>
    <row r="1042" ht="14.25" customHeight="1">
      <c r="A1042" s="55">
        <v>46697.0</v>
      </c>
      <c r="B1042" s="55" t="str">
        <f t="shared" si="10"/>
        <v>Primer dia</v>
      </c>
      <c r="C1042" s="202">
        <f t="shared" si="1"/>
        <v>6</v>
      </c>
      <c r="D1042" s="202" t="str">
        <f t="shared" si="2"/>
        <v> </v>
      </c>
      <c r="E1042" s="202" t="str">
        <f t="shared" si="9"/>
        <v> </v>
      </c>
      <c r="F1042" s="55" t="str">
        <f t="shared" si="4"/>
        <v/>
      </c>
      <c r="G1042" s="202" t="str">
        <f t="shared" si="5"/>
        <v/>
      </c>
      <c r="H1042" s="202" t="str">
        <f t="shared" si="11"/>
        <v> </v>
      </c>
      <c r="I1042" s="205" t="str">
        <f t="shared" si="7"/>
        <v/>
      </c>
      <c r="J1042" s="205"/>
      <c r="K1042" s="205"/>
    </row>
    <row r="1043" ht="14.25" customHeight="1">
      <c r="A1043" s="55">
        <v>46698.0</v>
      </c>
      <c r="B1043" s="55" t="str">
        <f t="shared" si="10"/>
        <v>Primer dia</v>
      </c>
      <c r="C1043" s="202">
        <f t="shared" si="1"/>
        <v>7</v>
      </c>
      <c r="D1043" s="202" t="str">
        <f t="shared" si="2"/>
        <v> </v>
      </c>
      <c r="E1043" s="202" t="str">
        <f t="shared" si="9"/>
        <v> </v>
      </c>
      <c r="F1043" s="55" t="str">
        <f t="shared" si="4"/>
        <v/>
      </c>
      <c r="G1043" s="202" t="str">
        <f t="shared" si="5"/>
        <v/>
      </c>
      <c r="H1043" s="202" t="str">
        <f t="shared" si="11"/>
        <v> </v>
      </c>
      <c r="I1043" s="205" t="str">
        <f t="shared" si="7"/>
        <v/>
      </c>
      <c r="J1043" s="205"/>
      <c r="K1043" s="205"/>
    </row>
    <row r="1044" ht="14.25" customHeight="1">
      <c r="A1044" s="55">
        <v>46699.0</v>
      </c>
      <c r="B1044" s="55" t="str">
        <f t="shared" si="10"/>
        <v>Primer dia</v>
      </c>
      <c r="C1044" s="202">
        <f t="shared" si="1"/>
        <v>8</v>
      </c>
      <c r="D1044" s="202" t="str">
        <f t="shared" si="2"/>
        <v> </v>
      </c>
      <c r="E1044" s="202" t="str">
        <f t="shared" si="9"/>
        <v> </v>
      </c>
      <c r="F1044" s="55" t="str">
        <f t="shared" si="4"/>
        <v/>
      </c>
      <c r="G1044" s="202" t="str">
        <f t="shared" si="5"/>
        <v/>
      </c>
      <c r="H1044" s="202" t="str">
        <f t="shared" si="11"/>
        <v> </v>
      </c>
      <c r="I1044" s="205" t="str">
        <f t="shared" si="7"/>
        <v/>
      </c>
      <c r="J1044" s="205"/>
      <c r="K1044" s="205"/>
    </row>
    <row r="1045" ht="14.25" customHeight="1">
      <c r="A1045" s="55">
        <v>46700.0</v>
      </c>
      <c r="B1045" s="55" t="str">
        <f t="shared" si="10"/>
        <v>Primer dia</v>
      </c>
      <c r="C1045" s="202">
        <f t="shared" si="1"/>
        <v>9</v>
      </c>
      <c r="D1045" s="202" t="str">
        <f t="shared" si="2"/>
        <v> </v>
      </c>
      <c r="E1045" s="202" t="str">
        <f t="shared" si="9"/>
        <v> </v>
      </c>
      <c r="F1045" s="55" t="str">
        <f t="shared" si="4"/>
        <v/>
      </c>
      <c r="G1045" s="202" t="str">
        <f t="shared" si="5"/>
        <v/>
      </c>
      <c r="H1045" s="202" t="str">
        <f t="shared" si="11"/>
        <v> </v>
      </c>
      <c r="I1045" s="205" t="str">
        <f t="shared" si="7"/>
        <v/>
      </c>
      <c r="J1045" s="205"/>
      <c r="K1045" s="205"/>
    </row>
    <row r="1046" ht="14.25" customHeight="1">
      <c r="A1046" s="55">
        <v>46701.0</v>
      </c>
      <c r="B1046" s="55" t="str">
        <f t="shared" si="10"/>
        <v>Primer dia</v>
      </c>
      <c r="C1046" s="202">
        <f t="shared" si="1"/>
        <v>10</v>
      </c>
      <c r="D1046" s="202" t="str">
        <f t="shared" si="2"/>
        <v> </v>
      </c>
      <c r="E1046" s="202" t="str">
        <f t="shared" si="9"/>
        <v> </v>
      </c>
      <c r="F1046" s="55" t="str">
        <f t="shared" si="4"/>
        <v/>
      </c>
      <c r="G1046" s="202" t="str">
        <f t="shared" si="5"/>
        <v/>
      </c>
      <c r="H1046" s="202" t="str">
        <f t="shared" si="11"/>
        <v> </v>
      </c>
      <c r="I1046" s="205" t="str">
        <f t="shared" si="7"/>
        <v/>
      </c>
      <c r="J1046" s="205"/>
      <c r="K1046" s="205"/>
    </row>
    <row r="1047" ht="14.25" customHeight="1">
      <c r="A1047" s="55">
        <v>46702.0</v>
      </c>
      <c r="B1047" s="55" t="str">
        <f t="shared" si="10"/>
        <v>Primer dia</v>
      </c>
      <c r="C1047" s="202">
        <f t="shared" si="1"/>
        <v>11</v>
      </c>
      <c r="D1047" s="202" t="str">
        <f t="shared" si="2"/>
        <v> </v>
      </c>
      <c r="E1047" s="202" t="str">
        <f t="shared" si="9"/>
        <v> </v>
      </c>
      <c r="F1047" s="55" t="str">
        <f t="shared" si="4"/>
        <v/>
      </c>
      <c r="G1047" s="202" t="str">
        <f t="shared" si="5"/>
        <v/>
      </c>
      <c r="H1047" s="202" t="str">
        <f t="shared" si="11"/>
        <v> </v>
      </c>
      <c r="I1047" s="205" t="str">
        <f t="shared" si="7"/>
        <v/>
      </c>
      <c r="J1047" s="205"/>
      <c r="K1047" s="205"/>
    </row>
    <row r="1048" ht="14.25" customHeight="1">
      <c r="A1048" s="55">
        <v>46703.0</v>
      </c>
      <c r="B1048" s="55" t="str">
        <f t="shared" si="10"/>
        <v>Primer dia</v>
      </c>
      <c r="C1048" s="202">
        <f t="shared" si="1"/>
        <v>12</v>
      </c>
      <c r="D1048" s="202" t="str">
        <f t="shared" si="2"/>
        <v> </v>
      </c>
      <c r="E1048" s="202" t="str">
        <f t="shared" si="9"/>
        <v> </v>
      </c>
      <c r="F1048" s="55" t="str">
        <f t="shared" si="4"/>
        <v/>
      </c>
      <c r="G1048" s="202" t="str">
        <f t="shared" si="5"/>
        <v/>
      </c>
      <c r="H1048" s="202" t="str">
        <f t="shared" si="11"/>
        <v> </v>
      </c>
      <c r="I1048" s="205" t="str">
        <f t="shared" si="7"/>
        <v/>
      </c>
      <c r="J1048" s="205"/>
      <c r="K1048" s="205"/>
    </row>
    <row r="1049" ht="14.25" customHeight="1">
      <c r="A1049" s="55">
        <v>46704.0</v>
      </c>
      <c r="B1049" s="55" t="str">
        <f t="shared" si="10"/>
        <v>Primer dia</v>
      </c>
      <c r="C1049" s="202">
        <f t="shared" si="1"/>
        <v>13</v>
      </c>
      <c r="D1049" s="202" t="str">
        <f t="shared" si="2"/>
        <v> </v>
      </c>
      <c r="E1049" s="202" t="str">
        <f t="shared" si="9"/>
        <v> </v>
      </c>
      <c r="F1049" s="55" t="str">
        <f t="shared" si="4"/>
        <v/>
      </c>
      <c r="G1049" s="202" t="str">
        <f t="shared" si="5"/>
        <v/>
      </c>
      <c r="H1049" s="202" t="str">
        <f t="shared" si="11"/>
        <v> </v>
      </c>
      <c r="I1049" s="205" t="str">
        <f t="shared" si="7"/>
        <v/>
      </c>
      <c r="J1049" s="205"/>
      <c r="K1049" s="205"/>
    </row>
    <row r="1050" ht="14.25" customHeight="1">
      <c r="A1050" s="55">
        <v>46705.0</v>
      </c>
      <c r="B1050" s="55" t="str">
        <f t="shared" si="10"/>
        <v>Primer dia</v>
      </c>
      <c r="C1050" s="202">
        <f t="shared" si="1"/>
        <v>14</v>
      </c>
      <c r="D1050" s="202" t="str">
        <f t="shared" si="2"/>
        <v> </v>
      </c>
      <c r="E1050" s="202" t="str">
        <f t="shared" si="9"/>
        <v> </v>
      </c>
      <c r="F1050" s="55" t="str">
        <f t="shared" si="4"/>
        <v/>
      </c>
      <c r="G1050" s="202" t="str">
        <f t="shared" si="5"/>
        <v/>
      </c>
      <c r="H1050" s="202" t="str">
        <f t="shared" si="11"/>
        <v> </v>
      </c>
      <c r="I1050" s="205" t="str">
        <f t="shared" si="7"/>
        <v/>
      </c>
      <c r="J1050" s="205"/>
      <c r="K1050" s="205"/>
    </row>
    <row r="1051" ht="14.25" customHeight="1">
      <c r="A1051" s="55">
        <v>46706.0</v>
      </c>
      <c r="B1051" s="55" t="str">
        <f t="shared" si="10"/>
        <v>Primer dia</v>
      </c>
      <c r="C1051" s="202">
        <f t="shared" si="1"/>
        <v>15</v>
      </c>
      <c r="D1051" s="202" t="str">
        <f t="shared" si="2"/>
        <v> </v>
      </c>
      <c r="E1051" s="202" t="str">
        <f t="shared" si="9"/>
        <v> </v>
      </c>
      <c r="F1051" s="55" t="str">
        <f t="shared" si="4"/>
        <v/>
      </c>
      <c r="G1051" s="202" t="str">
        <f t="shared" si="5"/>
        <v/>
      </c>
      <c r="H1051" s="202" t="str">
        <f t="shared" si="11"/>
        <v> </v>
      </c>
      <c r="I1051" s="205" t="str">
        <f t="shared" si="7"/>
        <v/>
      </c>
      <c r="J1051" s="205"/>
      <c r="K1051" s="205"/>
    </row>
    <row r="1052" ht="14.25" customHeight="1">
      <c r="A1052" s="55">
        <v>46707.0</v>
      </c>
      <c r="B1052" s="55" t="str">
        <f t="shared" si="10"/>
        <v>Primer dia</v>
      </c>
      <c r="C1052" s="202">
        <f t="shared" si="1"/>
        <v>16</v>
      </c>
      <c r="D1052" s="202" t="str">
        <f t="shared" si="2"/>
        <v> </v>
      </c>
      <c r="E1052" s="202" t="str">
        <f t="shared" si="9"/>
        <v> </v>
      </c>
      <c r="F1052" s="55" t="str">
        <f t="shared" si="4"/>
        <v/>
      </c>
      <c r="G1052" s="202" t="str">
        <f t="shared" si="5"/>
        <v/>
      </c>
      <c r="H1052" s="202" t="str">
        <f t="shared" si="11"/>
        <v> </v>
      </c>
      <c r="I1052" s="205" t="str">
        <f t="shared" si="7"/>
        <v/>
      </c>
      <c r="J1052" s="205"/>
      <c r="K1052" s="205"/>
    </row>
    <row r="1053" ht="14.25" customHeight="1">
      <c r="A1053" s="55">
        <v>46708.0</v>
      </c>
      <c r="B1053" s="55" t="str">
        <f t="shared" si="10"/>
        <v>Primer dia</v>
      </c>
      <c r="C1053" s="202">
        <f t="shared" si="1"/>
        <v>17</v>
      </c>
      <c r="D1053" s="202" t="str">
        <f t="shared" si="2"/>
        <v> </v>
      </c>
      <c r="E1053" s="202">
        <f t="shared" si="9"/>
        <v>17</v>
      </c>
      <c r="F1053" s="55">
        <f t="shared" si="4"/>
        <v>46708</v>
      </c>
      <c r="G1053" s="202">
        <f t="shared" si="5"/>
        <v>44</v>
      </c>
      <c r="H1053" s="202" t="str">
        <f t="shared" si="11"/>
        <v> </v>
      </c>
      <c r="I1053" s="205" t="str">
        <f t="shared" si="7"/>
        <v/>
      </c>
      <c r="J1053" s="205"/>
      <c r="K1053" s="205"/>
    </row>
    <row r="1054" ht="14.25" customHeight="1">
      <c r="A1054" s="55">
        <v>46709.0</v>
      </c>
      <c r="B1054" s="55" t="str">
        <f t="shared" si="10"/>
        <v>Primer dia</v>
      </c>
      <c r="C1054" s="202">
        <f t="shared" si="1"/>
        <v>18</v>
      </c>
      <c r="D1054" s="202" t="str">
        <f t="shared" si="2"/>
        <v> </v>
      </c>
      <c r="E1054" s="202" t="str">
        <f t="shared" si="9"/>
        <v> </v>
      </c>
      <c r="F1054" s="55" t="str">
        <f t="shared" si="4"/>
        <v/>
      </c>
      <c r="G1054" s="202" t="str">
        <f t="shared" si="5"/>
        <v/>
      </c>
      <c r="H1054" s="202" t="str">
        <f t="shared" si="11"/>
        <v> </v>
      </c>
      <c r="I1054" s="205" t="str">
        <f t="shared" si="7"/>
        <v/>
      </c>
      <c r="J1054" s="205"/>
      <c r="K1054" s="205"/>
    </row>
    <row r="1055" ht="14.25" customHeight="1">
      <c r="A1055" s="55">
        <v>46710.0</v>
      </c>
      <c r="B1055" s="55" t="str">
        <f t="shared" si="10"/>
        <v>Primer dia</v>
      </c>
      <c r="C1055" s="202">
        <f t="shared" si="1"/>
        <v>19</v>
      </c>
      <c r="D1055" s="202" t="str">
        <f t="shared" si="2"/>
        <v> </v>
      </c>
      <c r="E1055" s="202" t="str">
        <f t="shared" si="9"/>
        <v> </v>
      </c>
      <c r="F1055" s="55" t="str">
        <f t="shared" si="4"/>
        <v/>
      </c>
      <c r="G1055" s="202" t="str">
        <f t="shared" si="5"/>
        <v/>
      </c>
      <c r="H1055" s="202" t="str">
        <f t="shared" si="11"/>
        <v> </v>
      </c>
      <c r="I1055" s="205" t="str">
        <f t="shared" si="7"/>
        <v/>
      </c>
      <c r="J1055" s="205"/>
      <c r="K1055" s="205"/>
    </row>
    <row r="1056" ht="14.25" customHeight="1">
      <c r="A1056" s="55">
        <v>46711.0</v>
      </c>
      <c r="B1056" s="55" t="str">
        <f t="shared" si="10"/>
        <v>Primer dia</v>
      </c>
      <c r="C1056" s="202">
        <f t="shared" si="1"/>
        <v>20</v>
      </c>
      <c r="D1056" s="202" t="str">
        <f t="shared" si="2"/>
        <v> </v>
      </c>
      <c r="E1056" s="202" t="str">
        <f t="shared" si="9"/>
        <v> </v>
      </c>
      <c r="F1056" s="55" t="str">
        <f t="shared" si="4"/>
        <v/>
      </c>
      <c r="G1056" s="202" t="str">
        <f t="shared" si="5"/>
        <v/>
      </c>
      <c r="H1056" s="202" t="str">
        <f t="shared" si="11"/>
        <v> </v>
      </c>
      <c r="I1056" s="205" t="str">
        <f t="shared" si="7"/>
        <v/>
      </c>
      <c r="J1056" s="205"/>
      <c r="K1056" s="205"/>
    </row>
    <row r="1057" ht="14.25" customHeight="1">
      <c r="A1057" s="55">
        <v>46712.0</v>
      </c>
      <c r="B1057" s="55" t="str">
        <f t="shared" si="10"/>
        <v>Primer dia</v>
      </c>
      <c r="C1057" s="202">
        <f t="shared" si="1"/>
        <v>21</v>
      </c>
      <c r="D1057" s="202" t="str">
        <f t="shared" si="2"/>
        <v> </v>
      </c>
      <c r="E1057" s="202" t="str">
        <f t="shared" si="9"/>
        <v> </v>
      </c>
      <c r="F1057" s="55" t="str">
        <f t="shared" si="4"/>
        <v/>
      </c>
      <c r="G1057" s="202" t="str">
        <f t="shared" si="5"/>
        <v/>
      </c>
      <c r="H1057" s="202" t="str">
        <f t="shared" si="11"/>
        <v> </v>
      </c>
      <c r="I1057" s="205" t="str">
        <f t="shared" si="7"/>
        <v/>
      </c>
      <c r="J1057" s="205"/>
      <c r="K1057" s="205"/>
    </row>
    <row r="1058" ht="14.25" customHeight="1">
      <c r="A1058" s="55">
        <v>46713.0</v>
      </c>
      <c r="B1058" s="55" t="str">
        <f t="shared" si="10"/>
        <v>Primer dia</v>
      </c>
      <c r="C1058" s="202">
        <f t="shared" si="1"/>
        <v>22</v>
      </c>
      <c r="D1058" s="202" t="str">
        <f t="shared" si="2"/>
        <v> </v>
      </c>
      <c r="E1058" s="202" t="str">
        <f t="shared" si="9"/>
        <v> </v>
      </c>
      <c r="F1058" s="55" t="str">
        <f t="shared" si="4"/>
        <v/>
      </c>
      <c r="G1058" s="202" t="str">
        <f t="shared" si="5"/>
        <v/>
      </c>
      <c r="H1058" s="202" t="str">
        <f t="shared" si="11"/>
        <v> </v>
      </c>
      <c r="I1058" s="205" t="str">
        <f t="shared" si="7"/>
        <v/>
      </c>
      <c r="J1058" s="205"/>
      <c r="K1058" s="205"/>
    </row>
    <row r="1059" ht="14.25" customHeight="1">
      <c r="A1059" s="55">
        <v>46714.0</v>
      </c>
      <c r="B1059" s="55" t="str">
        <f t="shared" si="10"/>
        <v>Primer dia</v>
      </c>
      <c r="C1059" s="202">
        <f t="shared" si="1"/>
        <v>23</v>
      </c>
      <c r="D1059" s="202" t="str">
        <f t="shared" si="2"/>
        <v> </v>
      </c>
      <c r="E1059" s="202" t="str">
        <f t="shared" si="9"/>
        <v> </v>
      </c>
      <c r="F1059" s="55" t="str">
        <f t="shared" si="4"/>
        <v/>
      </c>
      <c r="G1059" s="202" t="str">
        <f t="shared" si="5"/>
        <v/>
      </c>
      <c r="H1059" s="202" t="str">
        <f t="shared" si="11"/>
        <v> </v>
      </c>
      <c r="I1059" s="205" t="str">
        <f t="shared" si="7"/>
        <v/>
      </c>
      <c r="J1059" s="205"/>
      <c r="K1059" s="205"/>
    </row>
    <row r="1060" ht="14.25" customHeight="1">
      <c r="A1060" s="55">
        <v>46715.0</v>
      </c>
      <c r="B1060" s="55" t="str">
        <f t="shared" si="10"/>
        <v>Primer dia</v>
      </c>
      <c r="C1060" s="202">
        <f t="shared" si="1"/>
        <v>24</v>
      </c>
      <c r="D1060" s="202" t="str">
        <f t="shared" si="2"/>
        <v> </v>
      </c>
      <c r="E1060" s="202" t="str">
        <f t="shared" si="9"/>
        <v> </v>
      </c>
      <c r="F1060" s="55" t="str">
        <f t="shared" si="4"/>
        <v/>
      </c>
      <c r="G1060" s="202" t="str">
        <f t="shared" si="5"/>
        <v/>
      </c>
      <c r="H1060" s="202" t="str">
        <f t="shared" si="11"/>
        <v> </v>
      </c>
      <c r="I1060" s="205" t="str">
        <f t="shared" si="7"/>
        <v/>
      </c>
      <c r="J1060" s="205"/>
      <c r="K1060" s="205"/>
    </row>
    <row r="1061" ht="14.25" customHeight="1">
      <c r="A1061" s="55">
        <v>46716.0</v>
      </c>
      <c r="B1061" s="55" t="str">
        <f t="shared" si="10"/>
        <v>Primer dia</v>
      </c>
      <c r="C1061" s="202">
        <f t="shared" si="1"/>
        <v>25</v>
      </c>
      <c r="D1061" s="202" t="str">
        <f t="shared" si="2"/>
        <v> </v>
      </c>
      <c r="E1061" s="202" t="str">
        <f t="shared" si="9"/>
        <v> </v>
      </c>
      <c r="F1061" s="55" t="str">
        <f t="shared" si="4"/>
        <v/>
      </c>
      <c r="G1061" s="202" t="str">
        <f t="shared" si="5"/>
        <v/>
      </c>
      <c r="H1061" s="202" t="str">
        <f t="shared" si="11"/>
        <v> </v>
      </c>
      <c r="I1061" s="205" t="str">
        <f t="shared" si="7"/>
        <v/>
      </c>
      <c r="J1061" s="205"/>
      <c r="K1061" s="205"/>
    </row>
    <row r="1062" ht="14.25" customHeight="1">
      <c r="A1062" s="55">
        <v>46717.0</v>
      </c>
      <c r="B1062" s="55" t="str">
        <f t="shared" si="10"/>
        <v>Primer dia</v>
      </c>
      <c r="C1062" s="202">
        <f t="shared" si="1"/>
        <v>26</v>
      </c>
      <c r="D1062" s="202" t="str">
        <f t="shared" si="2"/>
        <v> </v>
      </c>
      <c r="E1062" s="202" t="str">
        <f t="shared" si="9"/>
        <v> </v>
      </c>
      <c r="F1062" s="55" t="str">
        <f t="shared" si="4"/>
        <v/>
      </c>
      <c r="G1062" s="202" t="str">
        <f t="shared" si="5"/>
        <v/>
      </c>
      <c r="H1062" s="202" t="str">
        <f t="shared" si="11"/>
        <v> </v>
      </c>
      <c r="I1062" s="205" t="str">
        <f t="shared" si="7"/>
        <v/>
      </c>
      <c r="J1062" s="205"/>
      <c r="K1062" s="205"/>
    </row>
    <row r="1063" ht="14.25" customHeight="1">
      <c r="A1063" s="55">
        <v>46718.0</v>
      </c>
      <c r="B1063" s="55" t="str">
        <f t="shared" si="10"/>
        <v>Primer dia</v>
      </c>
      <c r="C1063" s="202">
        <f t="shared" si="1"/>
        <v>27</v>
      </c>
      <c r="D1063" s="202" t="str">
        <f t="shared" si="2"/>
        <v> </v>
      </c>
      <c r="E1063" s="202" t="str">
        <f t="shared" si="9"/>
        <v> </v>
      </c>
      <c r="F1063" s="55" t="str">
        <f t="shared" si="4"/>
        <v/>
      </c>
      <c r="G1063" s="202" t="str">
        <f t="shared" si="5"/>
        <v/>
      </c>
      <c r="H1063" s="202" t="str">
        <f t="shared" si="11"/>
        <v> </v>
      </c>
      <c r="I1063" s="205" t="str">
        <f t="shared" si="7"/>
        <v/>
      </c>
      <c r="J1063" s="205"/>
      <c r="K1063" s="205"/>
    </row>
    <row r="1064" ht="14.25" customHeight="1">
      <c r="A1064" s="55">
        <v>46719.0</v>
      </c>
      <c r="B1064" s="55" t="str">
        <f t="shared" si="10"/>
        <v>Primer dia</v>
      </c>
      <c r="C1064" s="202">
        <f t="shared" si="1"/>
        <v>28</v>
      </c>
      <c r="D1064" s="202" t="str">
        <f t="shared" si="2"/>
        <v> </v>
      </c>
      <c r="E1064" s="202" t="str">
        <f t="shared" si="9"/>
        <v> </v>
      </c>
      <c r="F1064" s="55" t="str">
        <f t="shared" si="4"/>
        <v/>
      </c>
      <c r="G1064" s="202" t="str">
        <f t="shared" si="5"/>
        <v/>
      </c>
      <c r="H1064" s="202" t="str">
        <f t="shared" si="11"/>
        <v> </v>
      </c>
      <c r="I1064" s="205" t="str">
        <f t="shared" si="7"/>
        <v/>
      </c>
      <c r="J1064" s="205"/>
      <c r="K1064" s="205"/>
    </row>
    <row r="1065" ht="14.25" customHeight="1">
      <c r="A1065" s="55">
        <v>46720.0</v>
      </c>
      <c r="B1065" s="55" t="str">
        <f t="shared" si="10"/>
        <v>Primer dia</v>
      </c>
      <c r="C1065" s="202">
        <f t="shared" si="1"/>
        <v>29</v>
      </c>
      <c r="D1065" s="202" t="str">
        <f t="shared" si="2"/>
        <v> </v>
      </c>
      <c r="E1065" s="202" t="str">
        <f t="shared" si="9"/>
        <v> </v>
      </c>
      <c r="F1065" s="55" t="str">
        <f t="shared" si="4"/>
        <v/>
      </c>
      <c r="G1065" s="202" t="str">
        <f t="shared" si="5"/>
        <v/>
      </c>
      <c r="H1065" s="202" t="str">
        <f t="shared" si="11"/>
        <v> </v>
      </c>
      <c r="I1065" s="205" t="str">
        <f t="shared" si="7"/>
        <v/>
      </c>
      <c r="J1065" s="205"/>
      <c r="K1065" s="205"/>
    </row>
    <row r="1066" ht="14.25" customHeight="1">
      <c r="A1066" s="55">
        <v>46721.0</v>
      </c>
      <c r="B1066" s="55" t="str">
        <f t="shared" si="10"/>
        <v>Primer dia</v>
      </c>
      <c r="C1066" s="202">
        <f t="shared" si="1"/>
        <v>30</v>
      </c>
      <c r="D1066" s="202" t="str">
        <f t="shared" si="2"/>
        <v> </v>
      </c>
      <c r="E1066" s="202" t="str">
        <f t="shared" si="9"/>
        <v> </v>
      </c>
      <c r="F1066" s="55" t="str">
        <f t="shared" si="4"/>
        <v/>
      </c>
      <c r="G1066" s="202" t="str">
        <f t="shared" si="5"/>
        <v/>
      </c>
      <c r="H1066" s="202" t="str">
        <f t="shared" si="11"/>
        <v> </v>
      </c>
      <c r="I1066" s="205" t="str">
        <f t="shared" si="7"/>
        <v/>
      </c>
      <c r="J1066" s="205"/>
      <c r="K1066" s="205"/>
    </row>
    <row r="1067" ht="14.25" customHeight="1">
      <c r="A1067" s="55">
        <v>46722.0</v>
      </c>
      <c r="B1067" s="55" t="str">
        <f t="shared" si="10"/>
        <v>Primer dia</v>
      </c>
      <c r="C1067" s="202">
        <f t="shared" si="1"/>
        <v>1</v>
      </c>
      <c r="D1067" s="202" t="str">
        <f t="shared" si="2"/>
        <v> </v>
      </c>
      <c r="E1067" s="202" t="str">
        <f t="shared" si="9"/>
        <v> </v>
      </c>
      <c r="F1067" s="55" t="str">
        <f t="shared" si="4"/>
        <v/>
      </c>
      <c r="G1067" s="202" t="str">
        <f t="shared" si="5"/>
        <v/>
      </c>
      <c r="H1067" s="202" t="str">
        <f t="shared" si="11"/>
        <v> </v>
      </c>
      <c r="I1067" s="205" t="str">
        <f t="shared" si="7"/>
        <v/>
      </c>
      <c r="J1067" s="205"/>
      <c r="K1067" s="205"/>
    </row>
    <row r="1068" ht="14.25" customHeight="1">
      <c r="A1068" s="55">
        <v>46723.0</v>
      </c>
      <c r="B1068" s="55" t="str">
        <f t="shared" si="10"/>
        <v>Primer dia</v>
      </c>
      <c r="C1068" s="202">
        <f t="shared" si="1"/>
        <v>2</v>
      </c>
      <c r="D1068" s="202" t="str">
        <f t="shared" si="2"/>
        <v> </v>
      </c>
      <c r="E1068" s="202">
        <f t="shared" si="9"/>
        <v>2</v>
      </c>
      <c r="F1068" s="55">
        <f t="shared" si="4"/>
        <v>46723</v>
      </c>
      <c r="G1068" s="202">
        <f t="shared" si="5"/>
        <v>45</v>
      </c>
      <c r="H1068" s="202" t="str">
        <f t="shared" si="11"/>
        <v> </v>
      </c>
      <c r="I1068" s="205" t="str">
        <f t="shared" si="7"/>
        <v/>
      </c>
      <c r="J1068" s="205"/>
      <c r="K1068" s="205"/>
    </row>
    <row r="1069" ht="14.25" customHeight="1">
      <c r="A1069" s="55">
        <v>46724.0</v>
      </c>
      <c r="B1069" s="55" t="str">
        <f t="shared" si="10"/>
        <v>Primer dia</v>
      </c>
      <c r="C1069" s="202">
        <f t="shared" si="1"/>
        <v>3</v>
      </c>
      <c r="D1069" s="202" t="str">
        <f t="shared" si="2"/>
        <v> </v>
      </c>
      <c r="E1069" s="202" t="str">
        <f t="shared" si="9"/>
        <v> </v>
      </c>
      <c r="F1069" s="55" t="str">
        <f t="shared" si="4"/>
        <v/>
      </c>
      <c r="G1069" s="202" t="str">
        <f t="shared" si="5"/>
        <v/>
      </c>
      <c r="H1069" s="202" t="str">
        <f t="shared" si="11"/>
        <v> </v>
      </c>
      <c r="I1069" s="205" t="str">
        <f t="shared" si="7"/>
        <v/>
      </c>
      <c r="J1069" s="205"/>
      <c r="K1069" s="205"/>
    </row>
    <row r="1070" ht="14.25" customHeight="1">
      <c r="A1070" s="55">
        <v>46725.0</v>
      </c>
      <c r="B1070" s="55" t="str">
        <f t="shared" si="10"/>
        <v>Primer dia</v>
      </c>
      <c r="C1070" s="202">
        <f t="shared" si="1"/>
        <v>4</v>
      </c>
      <c r="D1070" s="202" t="str">
        <f t="shared" si="2"/>
        <v> </v>
      </c>
      <c r="E1070" s="202" t="str">
        <f t="shared" si="9"/>
        <v> </v>
      </c>
      <c r="F1070" s="55" t="str">
        <f t="shared" si="4"/>
        <v/>
      </c>
      <c r="G1070" s="202" t="str">
        <f t="shared" si="5"/>
        <v/>
      </c>
      <c r="H1070" s="202" t="str">
        <f t="shared" si="11"/>
        <v> </v>
      </c>
      <c r="I1070" s="205" t="str">
        <f t="shared" si="7"/>
        <v/>
      </c>
      <c r="J1070" s="205"/>
      <c r="K1070" s="205"/>
    </row>
    <row r="1071" ht="14.25" customHeight="1">
      <c r="A1071" s="55">
        <v>46726.0</v>
      </c>
      <c r="B1071" s="55" t="str">
        <f t="shared" si="10"/>
        <v>Primer dia</v>
      </c>
      <c r="C1071" s="202">
        <f t="shared" si="1"/>
        <v>5</v>
      </c>
      <c r="D1071" s="202" t="str">
        <f t="shared" si="2"/>
        <v> </v>
      </c>
      <c r="E1071" s="202" t="str">
        <f t="shared" si="9"/>
        <v> </v>
      </c>
      <c r="F1071" s="55" t="str">
        <f t="shared" si="4"/>
        <v/>
      </c>
      <c r="G1071" s="202" t="str">
        <f t="shared" si="5"/>
        <v/>
      </c>
      <c r="H1071" s="202" t="str">
        <f t="shared" si="11"/>
        <v> </v>
      </c>
      <c r="I1071" s="205" t="str">
        <f t="shared" si="7"/>
        <v/>
      </c>
      <c r="J1071" s="205"/>
      <c r="K1071" s="205"/>
    </row>
    <row r="1072" ht="14.25" customHeight="1">
      <c r="A1072" s="55">
        <v>46727.0</v>
      </c>
      <c r="B1072" s="55" t="str">
        <f t="shared" si="10"/>
        <v>Primer dia</v>
      </c>
      <c r="C1072" s="202">
        <f t="shared" si="1"/>
        <v>6</v>
      </c>
      <c r="D1072" s="202" t="str">
        <f t="shared" si="2"/>
        <v> </v>
      </c>
      <c r="E1072" s="202" t="str">
        <f t="shared" si="9"/>
        <v> </v>
      </c>
      <c r="F1072" s="55" t="str">
        <f t="shared" si="4"/>
        <v/>
      </c>
      <c r="G1072" s="202" t="str">
        <f t="shared" si="5"/>
        <v/>
      </c>
      <c r="H1072" s="202" t="str">
        <f t="shared" si="11"/>
        <v> </v>
      </c>
      <c r="I1072" s="205" t="str">
        <f t="shared" si="7"/>
        <v/>
      </c>
      <c r="J1072" s="205"/>
      <c r="K1072" s="205"/>
    </row>
    <row r="1073" ht="14.25" customHeight="1">
      <c r="A1073" s="55">
        <v>46728.0</v>
      </c>
      <c r="B1073" s="55" t="str">
        <f t="shared" si="10"/>
        <v>Primer dia</v>
      </c>
      <c r="C1073" s="202">
        <f t="shared" si="1"/>
        <v>7</v>
      </c>
      <c r="D1073" s="202" t="str">
        <f t="shared" si="2"/>
        <v> </v>
      </c>
      <c r="E1073" s="202" t="str">
        <f t="shared" si="9"/>
        <v> </v>
      </c>
      <c r="F1073" s="55" t="str">
        <f t="shared" si="4"/>
        <v/>
      </c>
      <c r="G1073" s="202" t="str">
        <f t="shared" si="5"/>
        <v/>
      </c>
      <c r="H1073" s="202" t="str">
        <f t="shared" si="11"/>
        <v> </v>
      </c>
      <c r="I1073" s="205" t="str">
        <f t="shared" si="7"/>
        <v/>
      </c>
      <c r="J1073" s="205"/>
      <c r="K1073" s="205"/>
    </row>
    <row r="1074" ht="14.25" customHeight="1">
      <c r="A1074" s="55">
        <v>46729.0</v>
      </c>
      <c r="B1074" s="55" t="str">
        <f t="shared" si="10"/>
        <v>Primer dia</v>
      </c>
      <c r="C1074" s="202">
        <f t="shared" si="1"/>
        <v>8</v>
      </c>
      <c r="D1074" s="202" t="str">
        <f t="shared" si="2"/>
        <v> </v>
      </c>
      <c r="E1074" s="202" t="str">
        <f t="shared" si="9"/>
        <v> </v>
      </c>
      <c r="F1074" s="55" t="str">
        <f t="shared" si="4"/>
        <v/>
      </c>
      <c r="G1074" s="202" t="str">
        <f t="shared" si="5"/>
        <v/>
      </c>
      <c r="H1074" s="202" t="str">
        <f t="shared" si="11"/>
        <v> </v>
      </c>
      <c r="I1074" s="205" t="str">
        <f t="shared" si="7"/>
        <v/>
      </c>
      <c r="J1074" s="205"/>
      <c r="K1074" s="205"/>
    </row>
    <row r="1075" ht="14.25" customHeight="1">
      <c r="A1075" s="55">
        <v>46730.0</v>
      </c>
      <c r="B1075" s="55" t="str">
        <f t="shared" si="10"/>
        <v>Primer dia</v>
      </c>
      <c r="C1075" s="202">
        <f t="shared" si="1"/>
        <v>9</v>
      </c>
      <c r="D1075" s="202" t="str">
        <f t="shared" si="2"/>
        <v> </v>
      </c>
      <c r="E1075" s="202" t="str">
        <f t="shared" si="9"/>
        <v> </v>
      </c>
      <c r="F1075" s="55" t="str">
        <f t="shared" si="4"/>
        <v/>
      </c>
      <c r="G1075" s="202" t="str">
        <f t="shared" si="5"/>
        <v/>
      </c>
      <c r="H1075" s="202" t="str">
        <f t="shared" si="11"/>
        <v> </v>
      </c>
      <c r="I1075" s="205" t="str">
        <f t="shared" si="7"/>
        <v/>
      </c>
      <c r="J1075" s="205"/>
      <c r="K1075" s="205"/>
    </row>
    <row r="1076" ht="14.25" customHeight="1">
      <c r="A1076" s="55">
        <v>46731.0</v>
      </c>
      <c r="B1076" s="55" t="str">
        <f t="shared" si="10"/>
        <v>Primer dia</v>
      </c>
      <c r="C1076" s="202">
        <f t="shared" si="1"/>
        <v>10</v>
      </c>
      <c r="D1076" s="202" t="str">
        <f t="shared" si="2"/>
        <v> </v>
      </c>
      <c r="E1076" s="202" t="str">
        <f t="shared" si="9"/>
        <v> </v>
      </c>
      <c r="F1076" s="55" t="str">
        <f t="shared" si="4"/>
        <v/>
      </c>
      <c r="G1076" s="202" t="str">
        <f t="shared" si="5"/>
        <v/>
      </c>
      <c r="H1076" s="202" t="str">
        <f t="shared" si="11"/>
        <v> </v>
      </c>
      <c r="I1076" s="205" t="str">
        <f t="shared" si="7"/>
        <v/>
      </c>
      <c r="J1076" s="205"/>
      <c r="K1076" s="205"/>
    </row>
    <row r="1077" ht="14.25" customHeight="1">
      <c r="A1077" s="55">
        <v>46732.0</v>
      </c>
      <c r="B1077" s="55" t="str">
        <f t="shared" si="10"/>
        <v>Primer dia</v>
      </c>
      <c r="C1077" s="202">
        <f t="shared" si="1"/>
        <v>11</v>
      </c>
      <c r="D1077" s="202" t="str">
        <f t="shared" si="2"/>
        <v> </v>
      </c>
      <c r="E1077" s="202" t="str">
        <f t="shared" si="9"/>
        <v> </v>
      </c>
      <c r="F1077" s="55" t="str">
        <f t="shared" si="4"/>
        <v/>
      </c>
      <c r="G1077" s="202" t="str">
        <f t="shared" si="5"/>
        <v/>
      </c>
      <c r="H1077" s="202" t="str">
        <f t="shared" si="11"/>
        <v> </v>
      </c>
      <c r="I1077" s="205" t="str">
        <f t="shared" si="7"/>
        <v/>
      </c>
      <c r="J1077" s="205"/>
      <c r="K1077" s="205"/>
    </row>
    <row r="1078" ht="14.25" customHeight="1">
      <c r="A1078" s="55">
        <v>46733.0</v>
      </c>
      <c r="B1078" s="55" t="str">
        <f t="shared" si="10"/>
        <v>Primer dia</v>
      </c>
      <c r="C1078" s="202">
        <f t="shared" si="1"/>
        <v>12</v>
      </c>
      <c r="D1078" s="202" t="str">
        <f t="shared" si="2"/>
        <v> </v>
      </c>
      <c r="E1078" s="202" t="str">
        <f t="shared" si="9"/>
        <v> </v>
      </c>
      <c r="F1078" s="55" t="str">
        <f t="shared" si="4"/>
        <v/>
      </c>
      <c r="G1078" s="202" t="str">
        <f t="shared" si="5"/>
        <v/>
      </c>
      <c r="H1078" s="202" t="str">
        <f t="shared" si="11"/>
        <v> </v>
      </c>
      <c r="I1078" s="205" t="str">
        <f t="shared" si="7"/>
        <v/>
      </c>
      <c r="J1078" s="205"/>
      <c r="K1078" s="205"/>
    </row>
    <row r="1079" ht="14.25" customHeight="1">
      <c r="A1079" s="55">
        <v>46734.0</v>
      </c>
      <c r="B1079" s="55" t="str">
        <f t="shared" si="10"/>
        <v>Primer dia</v>
      </c>
      <c r="C1079" s="202">
        <f t="shared" si="1"/>
        <v>13</v>
      </c>
      <c r="D1079" s="202" t="str">
        <f t="shared" si="2"/>
        <v> </v>
      </c>
      <c r="E1079" s="202" t="str">
        <f t="shared" si="9"/>
        <v> </v>
      </c>
      <c r="F1079" s="55" t="str">
        <f t="shared" si="4"/>
        <v/>
      </c>
      <c r="G1079" s="202" t="str">
        <f t="shared" si="5"/>
        <v/>
      </c>
      <c r="H1079" s="202" t="str">
        <f t="shared" si="11"/>
        <v> </v>
      </c>
      <c r="I1079" s="205" t="str">
        <f t="shared" si="7"/>
        <v/>
      </c>
      <c r="J1079" s="205"/>
      <c r="K1079" s="205"/>
    </row>
    <row r="1080" ht="14.25" customHeight="1">
      <c r="A1080" s="55">
        <v>46735.0</v>
      </c>
      <c r="B1080" s="55" t="str">
        <f t="shared" si="10"/>
        <v>Primer dia</v>
      </c>
      <c r="C1080" s="202">
        <f t="shared" si="1"/>
        <v>14</v>
      </c>
      <c r="D1080" s="202" t="str">
        <f t="shared" si="2"/>
        <v> </v>
      </c>
      <c r="E1080" s="202" t="str">
        <f t="shared" si="9"/>
        <v> </v>
      </c>
      <c r="F1080" s="55" t="str">
        <f t="shared" si="4"/>
        <v/>
      </c>
      <c r="G1080" s="202" t="str">
        <f t="shared" si="5"/>
        <v/>
      </c>
      <c r="H1080" s="202" t="str">
        <f t="shared" si="11"/>
        <v> </v>
      </c>
      <c r="I1080" s="205" t="str">
        <f t="shared" si="7"/>
        <v/>
      </c>
      <c r="J1080" s="205"/>
      <c r="K1080" s="205"/>
    </row>
    <row r="1081" ht="14.25" customHeight="1">
      <c r="A1081" s="55">
        <v>46736.0</v>
      </c>
      <c r="B1081" s="55" t="str">
        <f t="shared" si="10"/>
        <v>Primer dia</v>
      </c>
      <c r="C1081" s="202">
        <f t="shared" si="1"/>
        <v>15</v>
      </c>
      <c r="D1081" s="202" t="str">
        <f t="shared" si="2"/>
        <v> </v>
      </c>
      <c r="E1081" s="202" t="str">
        <f t="shared" si="9"/>
        <v> </v>
      </c>
      <c r="F1081" s="55" t="str">
        <f t="shared" si="4"/>
        <v/>
      </c>
      <c r="G1081" s="202" t="str">
        <f t="shared" si="5"/>
        <v/>
      </c>
      <c r="H1081" s="202" t="str">
        <f t="shared" si="11"/>
        <v> </v>
      </c>
      <c r="I1081" s="205" t="str">
        <f t="shared" si="7"/>
        <v/>
      </c>
      <c r="J1081" s="205"/>
      <c r="K1081" s="205"/>
    </row>
    <row r="1082" ht="14.25" customHeight="1">
      <c r="A1082" s="55">
        <v>46737.0</v>
      </c>
      <c r="B1082" s="55" t="str">
        <f t="shared" si="10"/>
        <v>Primer dia</v>
      </c>
      <c r="C1082" s="202">
        <f t="shared" si="1"/>
        <v>16</v>
      </c>
      <c r="D1082" s="202" t="str">
        <f t="shared" si="2"/>
        <v> </v>
      </c>
      <c r="E1082" s="202" t="str">
        <f t="shared" si="9"/>
        <v> </v>
      </c>
      <c r="F1082" s="55" t="str">
        <f t="shared" si="4"/>
        <v/>
      </c>
      <c r="G1082" s="202" t="str">
        <f t="shared" si="5"/>
        <v/>
      </c>
      <c r="H1082" s="202" t="str">
        <f t="shared" si="11"/>
        <v> </v>
      </c>
      <c r="I1082" s="205" t="str">
        <f t="shared" si="7"/>
        <v/>
      </c>
      <c r="J1082" s="205"/>
      <c r="K1082" s="205"/>
    </row>
    <row r="1083" ht="14.25" customHeight="1">
      <c r="A1083" s="55">
        <v>46738.0</v>
      </c>
      <c r="B1083" s="55" t="str">
        <f t="shared" si="10"/>
        <v>Primer dia</v>
      </c>
      <c r="C1083" s="202">
        <f t="shared" si="1"/>
        <v>17</v>
      </c>
      <c r="D1083" s="202" t="str">
        <f t="shared" si="2"/>
        <v> </v>
      </c>
      <c r="E1083" s="202">
        <f t="shared" si="9"/>
        <v>17</v>
      </c>
      <c r="F1083" s="55">
        <f t="shared" si="4"/>
        <v>46738</v>
      </c>
      <c r="G1083" s="202">
        <f t="shared" si="5"/>
        <v>46</v>
      </c>
      <c r="H1083" s="202" t="str">
        <f t="shared" si="11"/>
        <v> </v>
      </c>
      <c r="I1083" s="205" t="str">
        <f t="shared" si="7"/>
        <v/>
      </c>
      <c r="J1083" s="205"/>
      <c r="K1083" s="205"/>
    </row>
    <row r="1084" ht="14.25" customHeight="1">
      <c r="A1084" s="55">
        <v>46739.0</v>
      </c>
      <c r="B1084" s="55" t="str">
        <f t="shared" si="10"/>
        <v>Primer dia</v>
      </c>
      <c r="C1084" s="202">
        <f t="shared" si="1"/>
        <v>18</v>
      </c>
      <c r="D1084" s="202" t="str">
        <f t="shared" si="2"/>
        <v> </v>
      </c>
      <c r="E1084" s="202" t="str">
        <f t="shared" si="9"/>
        <v> </v>
      </c>
      <c r="F1084" s="55" t="str">
        <f t="shared" si="4"/>
        <v/>
      </c>
      <c r="G1084" s="202" t="str">
        <f t="shared" si="5"/>
        <v/>
      </c>
      <c r="H1084" s="202" t="str">
        <f t="shared" si="11"/>
        <v> </v>
      </c>
      <c r="I1084" s="205" t="str">
        <f t="shared" si="7"/>
        <v/>
      </c>
      <c r="J1084" s="205"/>
      <c r="K1084" s="205"/>
    </row>
    <row r="1085" ht="14.25" customHeight="1">
      <c r="A1085" s="55">
        <v>46740.0</v>
      </c>
      <c r="B1085" s="55" t="str">
        <f t="shared" si="10"/>
        <v>Primer dia</v>
      </c>
      <c r="C1085" s="202">
        <f t="shared" si="1"/>
        <v>19</v>
      </c>
      <c r="D1085" s="202" t="str">
        <f t="shared" si="2"/>
        <v> </v>
      </c>
      <c r="E1085" s="202" t="str">
        <f t="shared" si="9"/>
        <v> </v>
      </c>
      <c r="F1085" s="55" t="str">
        <f t="shared" si="4"/>
        <v/>
      </c>
      <c r="G1085" s="202" t="str">
        <f t="shared" si="5"/>
        <v/>
      </c>
      <c r="H1085" s="202" t="str">
        <f t="shared" si="11"/>
        <v> </v>
      </c>
      <c r="I1085" s="205" t="str">
        <f t="shared" si="7"/>
        <v/>
      </c>
      <c r="J1085" s="205"/>
      <c r="K1085" s="205"/>
    </row>
    <row r="1086" ht="14.25" customHeight="1">
      <c r="A1086" s="55">
        <v>46741.0</v>
      </c>
      <c r="B1086" s="55" t="str">
        <f t="shared" si="10"/>
        <v>Primer dia</v>
      </c>
      <c r="C1086" s="202">
        <f t="shared" si="1"/>
        <v>20</v>
      </c>
      <c r="D1086" s="202" t="str">
        <f t="shared" si="2"/>
        <v> </v>
      </c>
      <c r="E1086" s="202" t="str">
        <f t="shared" si="9"/>
        <v> </v>
      </c>
      <c r="F1086" s="55" t="str">
        <f t="shared" si="4"/>
        <v/>
      </c>
      <c r="G1086" s="202" t="str">
        <f t="shared" si="5"/>
        <v/>
      </c>
      <c r="H1086" s="202" t="str">
        <f t="shared" si="11"/>
        <v> </v>
      </c>
      <c r="I1086" s="205" t="str">
        <f t="shared" si="7"/>
        <v/>
      </c>
      <c r="J1086" s="205"/>
      <c r="K1086" s="205"/>
    </row>
    <row r="1087" ht="14.25" customHeight="1">
      <c r="A1087" s="55">
        <v>46742.0</v>
      </c>
      <c r="B1087" s="55" t="str">
        <f t="shared" si="10"/>
        <v>Primer dia</v>
      </c>
      <c r="C1087" s="202">
        <f t="shared" si="1"/>
        <v>21</v>
      </c>
      <c r="D1087" s="202" t="str">
        <f t="shared" si="2"/>
        <v> </v>
      </c>
      <c r="E1087" s="202" t="str">
        <f t="shared" si="9"/>
        <v> </v>
      </c>
      <c r="F1087" s="55" t="str">
        <f t="shared" si="4"/>
        <v/>
      </c>
      <c r="G1087" s="202" t="str">
        <f t="shared" si="5"/>
        <v/>
      </c>
      <c r="H1087" s="202" t="str">
        <f t="shared" si="11"/>
        <v> </v>
      </c>
      <c r="I1087" s="205" t="str">
        <f t="shared" si="7"/>
        <v/>
      </c>
      <c r="J1087" s="205"/>
      <c r="K1087" s="205"/>
    </row>
    <row r="1088" ht="14.25" customHeight="1">
      <c r="A1088" s="55">
        <v>46743.0</v>
      </c>
      <c r="B1088" s="55" t="str">
        <f t="shared" si="10"/>
        <v>Primer dia</v>
      </c>
      <c r="C1088" s="202">
        <f t="shared" si="1"/>
        <v>22</v>
      </c>
      <c r="D1088" s="202" t="str">
        <f t="shared" si="2"/>
        <v> </v>
      </c>
      <c r="E1088" s="202" t="str">
        <f t="shared" si="9"/>
        <v> </v>
      </c>
      <c r="F1088" s="55" t="str">
        <f t="shared" si="4"/>
        <v/>
      </c>
      <c r="G1088" s="202" t="str">
        <f t="shared" si="5"/>
        <v/>
      </c>
      <c r="H1088" s="202" t="str">
        <f t="shared" si="11"/>
        <v> </v>
      </c>
      <c r="I1088" s="205" t="str">
        <f t="shared" si="7"/>
        <v/>
      </c>
      <c r="J1088" s="205"/>
      <c r="K1088" s="205"/>
    </row>
    <row r="1089" ht="14.25" customHeight="1">
      <c r="A1089" s="55">
        <v>46744.0</v>
      </c>
      <c r="B1089" s="55" t="str">
        <f t="shared" si="10"/>
        <v>Primer dia</v>
      </c>
      <c r="C1089" s="202">
        <f t="shared" si="1"/>
        <v>23</v>
      </c>
      <c r="D1089" s="202" t="str">
        <f t="shared" si="2"/>
        <v> </v>
      </c>
      <c r="E1089" s="202" t="str">
        <f t="shared" si="9"/>
        <v> </v>
      </c>
      <c r="F1089" s="55" t="str">
        <f t="shared" si="4"/>
        <v/>
      </c>
      <c r="G1089" s="202" t="str">
        <f t="shared" si="5"/>
        <v/>
      </c>
      <c r="H1089" s="202" t="str">
        <f t="shared" si="11"/>
        <v> </v>
      </c>
      <c r="I1089" s="205" t="str">
        <f t="shared" si="7"/>
        <v/>
      </c>
      <c r="J1089" s="205"/>
      <c r="K1089" s="205"/>
    </row>
    <row r="1090" ht="14.25" customHeight="1">
      <c r="A1090" s="55">
        <v>46745.0</v>
      </c>
      <c r="B1090" s="55" t="str">
        <f t="shared" si="10"/>
        <v>Primer dia</v>
      </c>
      <c r="C1090" s="202">
        <f t="shared" si="1"/>
        <v>24</v>
      </c>
      <c r="D1090" s="202" t="str">
        <f t="shared" si="2"/>
        <v> </v>
      </c>
      <c r="E1090" s="202" t="str">
        <f t="shared" si="9"/>
        <v> </v>
      </c>
      <c r="F1090" s="55" t="str">
        <f t="shared" si="4"/>
        <v/>
      </c>
      <c r="G1090" s="202" t="str">
        <f t="shared" si="5"/>
        <v/>
      </c>
      <c r="H1090" s="202" t="str">
        <f t="shared" si="11"/>
        <v> </v>
      </c>
      <c r="I1090" s="205" t="str">
        <f t="shared" si="7"/>
        <v/>
      </c>
      <c r="J1090" s="205"/>
      <c r="K1090" s="205"/>
    </row>
    <row r="1091" ht="14.25" customHeight="1">
      <c r="A1091" s="55">
        <v>46746.0</v>
      </c>
      <c r="B1091" s="55" t="str">
        <f t="shared" si="10"/>
        <v>Primer dia</v>
      </c>
      <c r="C1091" s="202">
        <f t="shared" si="1"/>
        <v>25</v>
      </c>
      <c r="D1091" s="202" t="str">
        <f t="shared" si="2"/>
        <v> </v>
      </c>
      <c r="E1091" s="202" t="str">
        <f t="shared" si="9"/>
        <v> </v>
      </c>
      <c r="F1091" s="55" t="str">
        <f t="shared" si="4"/>
        <v/>
      </c>
      <c r="G1091" s="202" t="str">
        <f t="shared" si="5"/>
        <v/>
      </c>
      <c r="H1091" s="202" t="str">
        <f t="shared" si="11"/>
        <v> </v>
      </c>
      <c r="I1091" s="205" t="str">
        <f t="shared" si="7"/>
        <v/>
      </c>
      <c r="J1091" s="205"/>
      <c r="K1091" s="205"/>
    </row>
    <row r="1092" ht="14.25" customHeight="1">
      <c r="A1092" s="55">
        <v>46747.0</v>
      </c>
      <c r="B1092" s="55" t="str">
        <f t="shared" si="10"/>
        <v>Primer dia</v>
      </c>
      <c r="C1092" s="202">
        <f t="shared" si="1"/>
        <v>26</v>
      </c>
      <c r="D1092" s="202" t="str">
        <f t="shared" si="2"/>
        <v> </v>
      </c>
      <c r="E1092" s="202" t="str">
        <f t="shared" si="9"/>
        <v> </v>
      </c>
      <c r="F1092" s="55" t="str">
        <f t="shared" si="4"/>
        <v/>
      </c>
      <c r="G1092" s="202" t="str">
        <f t="shared" si="5"/>
        <v/>
      </c>
      <c r="H1092" s="202" t="str">
        <f t="shared" si="11"/>
        <v> </v>
      </c>
      <c r="I1092" s="205" t="str">
        <f t="shared" si="7"/>
        <v/>
      </c>
      <c r="J1092" s="205"/>
      <c r="K1092" s="205"/>
    </row>
    <row r="1093" ht="14.25" customHeight="1">
      <c r="A1093" s="55">
        <v>46748.0</v>
      </c>
      <c r="B1093" s="55" t="str">
        <f t="shared" si="10"/>
        <v>Primer dia</v>
      </c>
      <c r="C1093" s="202">
        <f t="shared" si="1"/>
        <v>27</v>
      </c>
      <c r="D1093" s="202" t="str">
        <f t="shared" si="2"/>
        <v> </v>
      </c>
      <c r="E1093" s="202" t="str">
        <f t="shared" si="9"/>
        <v> </v>
      </c>
      <c r="F1093" s="55" t="str">
        <f t="shared" si="4"/>
        <v/>
      </c>
      <c r="G1093" s="202" t="str">
        <f t="shared" si="5"/>
        <v/>
      </c>
      <c r="H1093" s="202" t="str">
        <f t="shared" si="11"/>
        <v> </v>
      </c>
      <c r="I1093" s="205" t="str">
        <f t="shared" si="7"/>
        <v/>
      </c>
      <c r="J1093" s="205"/>
      <c r="K1093" s="205"/>
    </row>
    <row r="1094" ht="14.25" customHeight="1">
      <c r="A1094" s="55">
        <v>46749.0</v>
      </c>
      <c r="B1094" s="55" t="str">
        <f t="shared" si="10"/>
        <v>Primer dia</v>
      </c>
      <c r="C1094" s="202">
        <f t="shared" si="1"/>
        <v>28</v>
      </c>
      <c r="D1094" s="202" t="str">
        <f t="shared" si="2"/>
        <v> </v>
      </c>
      <c r="E1094" s="202" t="str">
        <f t="shared" si="9"/>
        <v> </v>
      </c>
      <c r="F1094" s="55" t="str">
        <f t="shared" si="4"/>
        <v/>
      </c>
      <c r="G1094" s="202" t="str">
        <f t="shared" si="5"/>
        <v/>
      </c>
      <c r="H1094" s="202" t="str">
        <f t="shared" si="11"/>
        <v> </v>
      </c>
      <c r="I1094" s="205" t="str">
        <f t="shared" si="7"/>
        <v/>
      </c>
      <c r="J1094" s="205"/>
      <c r="K1094" s="205"/>
    </row>
    <row r="1095" ht="14.25" customHeight="1">
      <c r="A1095" s="55">
        <v>46750.0</v>
      </c>
      <c r="B1095" s="55" t="str">
        <f t="shared" si="10"/>
        <v>Primer dia</v>
      </c>
      <c r="C1095" s="202">
        <f t="shared" si="1"/>
        <v>29</v>
      </c>
      <c r="D1095" s="202" t="str">
        <f t="shared" si="2"/>
        <v> </v>
      </c>
      <c r="E1095" s="202" t="str">
        <f t="shared" si="9"/>
        <v> </v>
      </c>
      <c r="F1095" s="55" t="str">
        <f t="shared" si="4"/>
        <v/>
      </c>
      <c r="G1095" s="202" t="str">
        <f t="shared" si="5"/>
        <v/>
      </c>
      <c r="H1095" s="202" t="str">
        <f t="shared" si="11"/>
        <v> </v>
      </c>
      <c r="I1095" s="205" t="str">
        <f t="shared" si="7"/>
        <v/>
      </c>
      <c r="J1095" s="205"/>
      <c r="K1095" s="205"/>
    </row>
    <row r="1096" ht="14.25" customHeight="1">
      <c r="A1096" s="55">
        <v>46751.0</v>
      </c>
      <c r="B1096" s="55" t="str">
        <f t="shared" si="10"/>
        <v>Primer dia</v>
      </c>
      <c r="C1096" s="202">
        <f t="shared" si="1"/>
        <v>30</v>
      </c>
      <c r="D1096" s="202" t="str">
        <f t="shared" si="2"/>
        <v> </v>
      </c>
      <c r="E1096" s="202" t="str">
        <f t="shared" si="9"/>
        <v> </v>
      </c>
      <c r="F1096" s="55" t="str">
        <f t="shared" si="4"/>
        <v/>
      </c>
      <c r="G1096" s="202" t="str">
        <f t="shared" si="5"/>
        <v/>
      </c>
      <c r="H1096" s="202" t="str">
        <f t="shared" si="11"/>
        <v> </v>
      </c>
      <c r="I1096" s="205" t="str">
        <f t="shared" si="7"/>
        <v/>
      </c>
      <c r="J1096" s="205"/>
      <c r="K1096" s="205"/>
    </row>
    <row r="1097" ht="14.25" customHeight="1">
      <c r="A1097" s="55">
        <v>46752.0</v>
      </c>
      <c r="B1097" s="55" t="str">
        <f t="shared" si="10"/>
        <v>Primer dia</v>
      </c>
      <c r="C1097" s="202">
        <f t="shared" si="1"/>
        <v>31</v>
      </c>
      <c r="D1097" s="202" t="str">
        <f t="shared" si="2"/>
        <v> </v>
      </c>
      <c r="E1097" s="202" t="str">
        <f t="shared" si="9"/>
        <v> </v>
      </c>
      <c r="F1097" s="55" t="str">
        <f t="shared" si="4"/>
        <v/>
      </c>
      <c r="G1097" s="202" t="str">
        <f t="shared" si="5"/>
        <v/>
      </c>
      <c r="H1097" s="202" t="str">
        <f t="shared" si="11"/>
        <v> </v>
      </c>
      <c r="I1097" s="205" t="str">
        <f t="shared" si="7"/>
        <v/>
      </c>
      <c r="J1097" s="205"/>
      <c r="K1097" s="205"/>
    </row>
    <row r="1098" ht="14.25" customHeight="1">
      <c r="A1098" s="55">
        <v>46753.0</v>
      </c>
      <c r="B1098" s="55" t="str">
        <f t="shared" si="10"/>
        <v>Primer dia</v>
      </c>
      <c r="C1098" s="202">
        <f t="shared" si="1"/>
        <v>1</v>
      </c>
      <c r="D1098" s="202" t="str">
        <f t="shared" si="2"/>
        <v> </v>
      </c>
      <c r="E1098" s="202" t="str">
        <f t="shared" si="9"/>
        <v> </v>
      </c>
      <c r="F1098" s="55" t="str">
        <f t="shared" si="4"/>
        <v/>
      </c>
      <c r="G1098" s="202" t="str">
        <f t="shared" si="5"/>
        <v/>
      </c>
      <c r="H1098" s="202" t="str">
        <f t="shared" si="11"/>
        <v> </v>
      </c>
      <c r="I1098" s="205" t="str">
        <f t="shared" si="7"/>
        <v/>
      </c>
      <c r="J1098" s="205"/>
      <c r="K1098" s="205"/>
    </row>
    <row r="1099" ht="14.25" customHeight="1">
      <c r="A1099" s="55">
        <v>46754.0</v>
      </c>
      <c r="B1099" s="55" t="str">
        <f t="shared" si="10"/>
        <v>Primer dia</v>
      </c>
      <c r="C1099" s="202">
        <f t="shared" si="1"/>
        <v>2</v>
      </c>
      <c r="D1099" s="202" t="str">
        <f t="shared" si="2"/>
        <v> </v>
      </c>
      <c r="E1099" s="202">
        <f t="shared" si="9"/>
        <v>2</v>
      </c>
      <c r="F1099" s="55">
        <f t="shared" si="4"/>
        <v>46754</v>
      </c>
      <c r="G1099" s="202">
        <f t="shared" si="5"/>
        <v>47</v>
      </c>
      <c r="H1099" s="202" t="str">
        <f t="shared" si="11"/>
        <v> </v>
      </c>
      <c r="I1099" s="205" t="str">
        <f t="shared" si="7"/>
        <v/>
      </c>
      <c r="J1099" s="205"/>
      <c r="K1099" s="205"/>
    </row>
    <row r="1100" ht="14.25" customHeight="1">
      <c r="A1100" s="55">
        <v>46755.0</v>
      </c>
      <c r="B1100" s="55" t="str">
        <f t="shared" si="10"/>
        <v>Primer dia</v>
      </c>
      <c r="C1100" s="202">
        <f t="shared" si="1"/>
        <v>3</v>
      </c>
      <c r="D1100" s="202" t="str">
        <f t="shared" si="2"/>
        <v> </v>
      </c>
      <c r="E1100" s="202" t="str">
        <f t="shared" si="9"/>
        <v> </v>
      </c>
      <c r="F1100" s="55" t="str">
        <f t="shared" si="4"/>
        <v/>
      </c>
      <c r="G1100" s="202" t="str">
        <f t="shared" si="5"/>
        <v/>
      </c>
      <c r="H1100" s="202" t="str">
        <f t="shared" si="11"/>
        <v> </v>
      </c>
      <c r="I1100" s="205" t="str">
        <f t="shared" si="7"/>
        <v/>
      </c>
      <c r="J1100" s="205"/>
      <c r="K1100" s="205"/>
    </row>
    <row r="1101" ht="14.25" customHeight="1">
      <c r="A1101" s="55">
        <v>46756.0</v>
      </c>
      <c r="B1101" s="55" t="str">
        <f t="shared" si="10"/>
        <v>Primer dia</v>
      </c>
      <c r="C1101" s="202">
        <f t="shared" si="1"/>
        <v>4</v>
      </c>
      <c r="D1101" s="202" t="str">
        <f t="shared" si="2"/>
        <v> </v>
      </c>
      <c r="E1101" s="202" t="str">
        <f t="shared" si="9"/>
        <v> </v>
      </c>
      <c r="F1101" s="55" t="str">
        <f t="shared" si="4"/>
        <v/>
      </c>
      <c r="G1101" s="202" t="str">
        <f t="shared" si="5"/>
        <v/>
      </c>
      <c r="H1101" s="202" t="str">
        <f t="shared" si="11"/>
        <v> </v>
      </c>
      <c r="I1101" s="205" t="str">
        <f t="shared" si="7"/>
        <v/>
      </c>
      <c r="J1101" s="205"/>
      <c r="K1101" s="205"/>
    </row>
    <row r="1102" ht="14.25" customHeight="1">
      <c r="A1102" s="55">
        <v>46757.0</v>
      </c>
      <c r="B1102" s="55" t="str">
        <f t="shared" si="10"/>
        <v>Primer dia</v>
      </c>
      <c r="C1102" s="202">
        <f t="shared" si="1"/>
        <v>5</v>
      </c>
      <c r="D1102" s="202" t="str">
        <f t="shared" si="2"/>
        <v> </v>
      </c>
      <c r="E1102" s="202" t="str">
        <f t="shared" si="9"/>
        <v> </v>
      </c>
      <c r="F1102" s="55" t="str">
        <f t="shared" si="4"/>
        <v/>
      </c>
      <c r="G1102" s="202" t="str">
        <f t="shared" si="5"/>
        <v/>
      </c>
      <c r="H1102" s="202" t="str">
        <f t="shared" si="11"/>
        <v> </v>
      </c>
      <c r="I1102" s="205" t="str">
        <f t="shared" si="7"/>
        <v/>
      </c>
      <c r="J1102" s="205"/>
      <c r="K1102" s="205"/>
    </row>
    <row r="1103" ht="14.25" customHeight="1">
      <c r="A1103" s="55">
        <v>46758.0</v>
      </c>
      <c r="B1103" s="55" t="str">
        <f t="shared" si="10"/>
        <v>Primer dia</v>
      </c>
      <c r="C1103" s="202">
        <f t="shared" si="1"/>
        <v>6</v>
      </c>
      <c r="D1103" s="202" t="str">
        <f t="shared" si="2"/>
        <v> </v>
      </c>
      <c r="E1103" s="202" t="str">
        <f t="shared" si="9"/>
        <v> </v>
      </c>
      <c r="F1103" s="55" t="str">
        <f t="shared" si="4"/>
        <v/>
      </c>
      <c r="G1103" s="202" t="str">
        <f t="shared" si="5"/>
        <v/>
      </c>
      <c r="H1103" s="202" t="str">
        <f t="shared" si="11"/>
        <v> </v>
      </c>
      <c r="I1103" s="205" t="str">
        <f t="shared" si="7"/>
        <v/>
      </c>
      <c r="J1103" s="205"/>
      <c r="K1103" s="205"/>
    </row>
    <row r="1104" ht="14.25" customHeight="1">
      <c r="A1104" s="55">
        <v>46759.0</v>
      </c>
      <c r="B1104" s="55" t="str">
        <f t="shared" si="10"/>
        <v>Primer dia</v>
      </c>
      <c r="C1104" s="202">
        <f t="shared" si="1"/>
        <v>7</v>
      </c>
      <c r="D1104" s="202" t="str">
        <f t="shared" si="2"/>
        <v> </v>
      </c>
      <c r="E1104" s="202" t="str">
        <f t="shared" si="9"/>
        <v> </v>
      </c>
      <c r="F1104" s="55" t="str">
        <f t="shared" si="4"/>
        <v/>
      </c>
      <c r="G1104" s="202" t="str">
        <f t="shared" si="5"/>
        <v/>
      </c>
      <c r="H1104" s="202" t="str">
        <f t="shared" si="11"/>
        <v> </v>
      </c>
      <c r="I1104" s="205" t="str">
        <f t="shared" si="7"/>
        <v/>
      </c>
      <c r="J1104" s="205"/>
      <c r="K1104" s="205"/>
    </row>
    <row r="1105" ht="14.25" customHeight="1">
      <c r="A1105" s="55">
        <v>46760.0</v>
      </c>
      <c r="B1105" s="55" t="str">
        <f t="shared" si="10"/>
        <v>Primer dia</v>
      </c>
      <c r="C1105" s="202">
        <f t="shared" si="1"/>
        <v>8</v>
      </c>
      <c r="D1105" s="202" t="str">
        <f t="shared" si="2"/>
        <v> </v>
      </c>
      <c r="E1105" s="202" t="str">
        <f t="shared" si="9"/>
        <v> </v>
      </c>
      <c r="F1105" s="55" t="str">
        <f t="shared" si="4"/>
        <v/>
      </c>
      <c r="G1105" s="202" t="str">
        <f t="shared" si="5"/>
        <v/>
      </c>
      <c r="H1105" s="202" t="str">
        <f t="shared" si="11"/>
        <v> </v>
      </c>
      <c r="I1105" s="205" t="str">
        <f t="shared" si="7"/>
        <v/>
      </c>
      <c r="J1105" s="205"/>
      <c r="K1105" s="205"/>
    </row>
    <row r="1106" ht="14.25" customHeight="1">
      <c r="A1106" s="55">
        <v>46761.0</v>
      </c>
      <c r="B1106" s="55" t="str">
        <f t="shared" si="10"/>
        <v>Primer dia</v>
      </c>
      <c r="C1106" s="202">
        <f t="shared" si="1"/>
        <v>9</v>
      </c>
      <c r="D1106" s="202" t="str">
        <f t="shared" si="2"/>
        <v> </v>
      </c>
      <c r="E1106" s="202" t="str">
        <f t="shared" si="9"/>
        <v> </v>
      </c>
      <c r="F1106" s="55" t="str">
        <f t="shared" si="4"/>
        <v/>
      </c>
      <c r="G1106" s="202" t="str">
        <f t="shared" si="5"/>
        <v/>
      </c>
      <c r="H1106" s="202" t="str">
        <f t="shared" si="11"/>
        <v> </v>
      </c>
      <c r="I1106" s="205" t="str">
        <f t="shared" si="7"/>
        <v/>
      </c>
      <c r="J1106" s="205"/>
      <c r="K1106" s="205"/>
    </row>
    <row r="1107" ht="14.25" customHeight="1">
      <c r="A1107" s="55">
        <v>46762.0</v>
      </c>
      <c r="B1107" s="55" t="str">
        <f t="shared" si="10"/>
        <v>Primer dia</v>
      </c>
      <c r="C1107" s="202">
        <f t="shared" si="1"/>
        <v>10</v>
      </c>
      <c r="D1107" s="202" t="str">
        <f t="shared" si="2"/>
        <v> </v>
      </c>
      <c r="E1107" s="202" t="str">
        <f t="shared" si="9"/>
        <v> </v>
      </c>
      <c r="F1107" s="55" t="str">
        <f t="shared" si="4"/>
        <v/>
      </c>
      <c r="G1107" s="202" t="str">
        <f t="shared" si="5"/>
        <v/>
      </c>
      <c r="H1107" s="202" t="str">
        <f t="shared" si="11"/>
        <v> </v>
      </c>
      <c r="I1107" s="205" t="str">
        <f t="shared" si="7"/>
        <v/>
      </c>
      <c r="J1107" s="205"/>
      <c r="K1107" s="205"/>
    </row>
    <row r="1108" ht="14.25" customHeight="1">
      <c r="A1108" s="55">
        <v>46763.0</v>
      </c>
      <c r="B1108" s="55" t="str">
        <f t="shared" si="10"/>
        <v>Primer dia</v>
      </c>
      <c r="C1108" s="202">
        <f t="shared" si="1"/>
        <v>11</v>
      </c>
      <c r="D1108" s="202" t="str">
        <f t="shared" si="2"/>
        <v> </v>
      </c>
      <c r="E1108" s="202" t="str">
        <f t="shared" si="9"/>
        <v> </v>
      </c>
      <c r="F1108" s="55" t="str">
        <f t="shared" si="4"/>
        <v/>
      </c>
      <c r="G1108" s="202" t="str">
        <f t="shared" si="5"/>
        <v/>
      </c>
      <c r="H1108" s="202" t="str">
        <f t="shared" si="11"/>
        <v> </v>
      </c>
      <c r="I1108" s="205" t="str">
        <f t="shared" si="7"/>
        <v/>
      </c>
      <c r="J1108" s="205"/>
      <c r="K1108" s="205"/>
    </row>
    <row r="1109" ht="14.25" customHeight="1">
      <c r="A1109" s="55">
        <v>46764.0</v>
      </c>
      <c r="B1109" s="55" t="str">
        <f t="shared" si="10"/>
        <v>Primer dia</v>
      </c>
      <c r="C1109" s="202">
        <f t="shared" si="1"/>
        <v>12</v>
      </c>
      <c r="D1109" s="202" t="str">
        <f t="shared" si="2"/>
        <v> </v>
      </c>
      <c r="E1109" s="202" t="str">
        <f t="shared" si="9"/>
        <v> </v>
      </c>
      <c r="F1109" s="55" t="str">
        <f t="shared" si="4"/>
        <v/>
      </c>
      <c r="G1109" s="202" t="str">
        <f t="shared" si="5"/>
        <v/>
      </c>
      <c r="H1109" s="202" t="str">
        <f t="shared" si="11"/>
        <v> </v>
      </c>
      <c r="I1109" s="205" t="str">
        <f t="shared" si="7"/>
        <v/>
      </c>
      <c r="J1109" s="205"/>
      <c r="K1109" s="205"/>
    </row>
    <row r="1110" ht="14.25" customHeight="1">
      <c r="A1110" s="55">
        <v>46765.0</v>
      </c>
      <c r="B1110" s="55" t="str">
        <f t="shared" si="10"/>
        <v>Primer dia</v>
      </c>
      <c r="C1110" s="202">
        <f t="shared" si="1"/>
        <v>13</v>
      </c>
      <c r="D1110" s="202" t="str">
        <f t="shared" si="2"/>
        <v> </v>
      </c>
      <c r="E1110" s="202" t="str">
        <f t="shared" si="9"/>
        <v> </v>
      </c>
      <c r="F1110" s="55" t="str">
        <f t="shared" si="4"/>
        <v/>
      </c>
      <c r="G1110" s="202" t="str">
        <f t="shared" si="5"/>
        <v/>
      </c>
      <c r="H1110" s="202" t="str">
        <f t="shared" si="11"/>
        <v> </v>
      </c>
      <c r="I1110" s="205" t="str">
        <f t="shared" si="7"/>
        <v/>
      </c>
      <c r="J1110" s="205"/>
      <c r="K1110" s="205"/>
    </row>
    <row r="1111" ht="14.25" customHeight="1">
      <c r="A1111" s="55">
        <v>46766.0</v>
      </c>
      <c r="B1111" s="55" t="str">
        <f t="shared" si="10"/>
        <v>Primer dia</v>
      </c>
      <c r="C1111" s="202">
        <f t="shared" si="1"/>
        <v>14</v>
      </c>
      <c r="D1111" s="202" t="str">
        <f t="shared" si="2"/>
        <v> </v>
      </c>
      <c r="E1111" s="202" t="str">
        <f t="shared" si="9"/>
        <v> </v>
      </c>
      <c r="F1111" s="55" t="str">
        <f t="shared" si="4"/>
        <v/>
      </c>
      <c r="G1111" s="202" t="str">
        <f t="shared" si="5"/>
        <v/>
      </c>
      <c r="H1111" s="202" t="str">
        <f t="shared" si="11"/>
        <v> </v>
      </c>
      <c r="I1111" s="205" t="str">
        <f t="shared" si="7"/>
        <v/>
      </c>
      <c r="J1111" s="205"/>
      <c r="K1111" s="205"/>
    </row>
    <row r="1112" ht="14.25" customHeight="1">
      <c r="A1112" s="55">
        <v>46767.0</v>
      </c>
      <c r="B1112" s="55" t="str">
        <f t="shared" si="10"/>
        <v>Primer dia</v>
      </c>
      <c r="C1112" s="202">
        <f t="shared" si="1"/>
        <v>15</v>
      </c>
      <c r="D1112" s="202" t="str">
        <f t="shared" si="2"/>
        <v> </v>
      </c>
      <c r="E1112" s="202" t="str">
        <f t="shared" si="9"/>
        <v> </v>
      </c>
      <c r="F1112" s="55" t="str">
        <f t="shared" si="4"/>
        <v/>
      </c>
      <c r="G1112" s="202" t="str">
        <f t="shared" si="5"/>
        <v/>
      </c>
      <c r="H1112" s="202" t="str">
        <f t="shared" si="11"/>
        <v> </v>
      </c>
      <c r="I1112" s="205" t="str">
        <f t="shared" si="7"/>
        <v/>
      </c>
      <c r="J1112" s="205"/>
      <c r="K1112" s="205"/>
    </row>
    <row r="1113" ht="14.25" customHeight="1">
      <c r="A1113" s="55">
        <v>46768.0</v>
      </c>
      <c r="B1113" s="55" t="str">
        <f t="shared" si="10"/>
        <v>Primer dia</v>
      </c>
      <c r="C1113" s="202">
        <f t="shared" si="1"/>
        <v>16</v>
      </c>
      <c r="D1113" s="202" t="str">
        <f t="shared" si="2"/>
        <v> </v>
      </c>
      <c r="E1113" s="202" t="str">
        <f t="shared" si="9"/>
        <v> </v>
      </c>
      <c r="F1113" s="55" t="str">
        <f t="shared" si="4"/>
        <v/>
      </c>
      <c r="G1113" s="202" t="str">
        <f t="shared" si="5"/>
        <v/>
      </c>
      <c r="H1113" s="202" t="str">
        <f t="shared" si="11"/>
        <v> </v>
      </c>
      <c r="I1113" s="205" t="str">
        <f t="shared" si="7"/>
        <v/>
      </c>
      <c r="J1113" s="205"/>
      <c r="K1113" s="205"/>
    </row>
    <row r="1114" ht="14.25" customHeight="1">
      <c r="A1114" s="55">
        <v>46769.0</v>
      </c>
      <c r="B1114" s="55" t="str">
        <f t="shared" si="10"/>
        <v>Primer dia</v>
      </c>
      <c r="C1114" s="202">
        <f t="shared" si="1"/>
        <v>17</v>
      </c>
      <c r="D1114" s="202" t="str">
        <f t="shared" si="2"/>
        <v> </v>
      </c>
      <c r="E1114" s="202">
        <f t="shared" si="9"/>
        <v>17</v>
      </c>
      <c r="F1114" s="55">
        <f t="shared" si="4"/>
        <v>46769</v>
      </c>
      <c r="G1114" s="202">
        <f t="shared" si="5"/>
        <v>48</v>
      </c>
      <c r="H1114" s="202" t="str">
        <f t="shared" si="11"/>
        <v> </v>
      </c>
      <c r="I1114" s="205" t="str">
        <f t="shared" si="7"/>
        <v/>
      </c>
      <c r="J1114" s="205"/>
      <c r="K1114" s="205"/>
    </row>
    <row r="1115" ht="14.25" customHeight="1">
      <c r="A1115" s="55">
        <v>46770.0</v>
      </c>
      <c r="B1115" s="55" t="str">
        <f t="shared" si="10"/>
        <v>Primer dia</v>
      </c>
      <c r="C1115" s="202">
        <f t="shared" si="1"/>
        <v>18</v>
      </c>
      <c r="D1115" s="202" t="str">
        <f t="shared" si="2"/>
        <v> </v>
      </c>
      <c r="E1115" s="202" t="str">
        <f t="shared" si="9"/>
        <v> </v>
      </c>
      <c r="F1115" s="55" t="str">
        <f t="shared" si="4"/>
        <v/>
      </c>
      <c r="G1115" s="202" t="str">
        <f t="shared" si="5"/>
        <v/>
      </c>
      <c r="H1115" s="202" t="str">
        <f t="shared" si="11"/>
        <v> </v>
      </c>
      <c r="I1115" s="205" t="str">
        <f t="shared" si="7"/>
        <v/>
      </c>
      <c r="J1115" s="205"/>
      <c r="K1115" s="205"/>
    </row>
    <row r="1116" ht="14.25" customHeight="1">
      <c r="A1116" s="55">
        <v>46771.0</v>
      </c>
      <c r="B1116" s="55" t="str">
        <f t="shared" si="10"/>
        <v>Primer dia</v>
      </c>
      <c r="C1116" s="202">
        <f t="shared" si="1"/>
        <v>19</v>
      </c>
      <c r="D1116" s="202" t="str">
        <f t="shared" si="2"/>
        <v> </v>
      </c>
      <c r="E1116" s="202" t="str">
        <f t="shared" si="9"/>
        <v> </v>
      </c>
      <c r="F1116" s="55" t="str">
        <f t="shared" si="4"/>
        <v/>
      </c>
      <c r="G1116" s="202" t="str">
        <f t="shared" si="5"/>
        <v/>
      </c>
      <c r="H1116" s="202" t="str">
        <f t="shared" si="11"/>
        <v> </v>
      </c>
      <c r="I1116" s="205" t="str">
        <f t="shared" si="7"/>
        <v/>
      </c>
      <c r="J1116" s="205"/>
      <c r="K1116" s="205"/>
    </row>
    <row r="1117" ht="14.25" customHeight="1">
      <c r="A1117" s="55">
        <v>46772.0</v>
      </c>
      <c r="B1117" s="55" t="str">
        <f t="shared" si="10"/>
        <v>Primer dia</v>
      </c>
      <c r="C1117" s="202">
        <f t="shared" si="1"/>
        <v>20</v>
      </c>
      <c r="D1117" s="202" t="str">
        <f t="shared" si="2"/>
        <v> </v>
      </c>
      <c r="E1117" s="202" t="str">
        <f t="shared" si="9"/>
        <v> </v>
      </c>
      <c r="F1117" s="55" t="str">
        <f t="shared" si="4"/>
        <v/>
      </c>
      <c r="G1117" s="202" t="str">
        <f t="shared" si="5"/>
        <v/>
      </c>
      <c r="H1117" s="202" t="str">
        <f t="shared" si="11"/>
        <v> </v>
      </c>
      <c r="I1117" s="205" t="str">
        <f t="shared" si="7"/>
        <v/>
      </c>
      <c r="J1117" s="205"/>
      <c r="K1117" s="205"/>
    </row>
    <row r="1118" ht="14.25" customHeight="1">
      <c r="A1118" s="55">
        <v>46773.0</v>
      </c>
      <c r="B1118" s="55" t="str">
        <f t="shared" si="10"/>
        <v>Primer dia</v>
      </c>
      <c r="C1118" s="202">
        <f t="shared" si="1"/>
        <v>21</v>
      </c>
      <c r="D1118" s="202" t="str">
        <f t="shared" si="2"/>
        <v> </v>
      </c>
      <c r="E1118" s="202" t="str">
        <f t="shared" si="9"/>
        <v> </v>
      </c>
      <c r="F1118" s="55" t="str">
        <f t="shared" si="4"/>
        <v/>
      </c>
      <c r="G1118" s="202" t="str">
        <f t="shared" si="5"/>
        <v/>
      </c>
      <c r="H1118" s="202" t="str">
        <f t="shared" si="11"/>
        <v> </v>
      </c>
      <c r="I1118" s="205" t="str">
        <f t="shared" si="7"/>
        <v/>
      </c>
      <c r="J1118" s="205"/>
      <c r="K1118" s="205"/>
    </row>
    <row r="1119" ht="14.25" customHeight="1">
      <c r="A1119" s="55">
        <v>46774.0</v>
      </c>
      <c r="B1119" s="55" t="str">
        <f t="shared" si="10"/>
        <v>Primer dia</v>
      </c>
      <c r="C1119" s="202">
        <f t="shared" si="1"/>
        <v>22</v>
      </c>
      <c r="D1119" s="202" t="str">
        <f t="shared" si="2"/>
        <v> </v>
      </c>
      <c r="E1119" s="202" t="str">
        <f t="shared" si="9"/>
        <v> </v>
      </c>
      <c r="F1119" s="55" t="str">
        <f t="shared" si="4"/>
        <v/>
      </c>
      <c r="G1119" s="202" t="str">
        <f t="shared" si="5"/>
        <v/>
      </c>
      <c r="H1119" s="202" t="str">
        <f t="shared" si="11"/>
        <v> </v>
      </c>
      <c r="I1119" s="205" t="str">
        <f t="shared" si="7"/>
        <v/>
      </c>
      <c r="J1119" s="205"/>
      <c r="K1119" s="205"/>
    </row>
    <row r="1120" ht="14.25" customHeight="1">
      <c r="A1120" s="55">
        <v>46775.0</v>
      </c>
      <c r="B1120" s="55" t="str">
        <f t="shared" si="10"/>
        <v>Primer dia</v>
      </c>
      <c r="C1120" s="202">
        <f t="shared" si="1"/>
        <v>23</v>
      </c>
      <c r="D1120" s="202" t="str">
        <f t="shared" si="2"/>
        <v> </v>
      </c>
      <c r="E1120" s="202" t="str">
        <f t="shared" si="9"/>
        <v> </v>
      </c>
      <c r="F1120" s="55" t="str">
        <f t="shared" si="4"/>
        <v/>
      </c>
      <c r="G1120" s="202" t="str">
        <f t="shared" si="5"/>
        <v/>
      </c>
      <c r="H1120" s="202" t="str">
        <f t="shared" si="11"/>
        <v> </v>
      </c>
      <c r="I1120" s="205" t="str">
        <f t="shared" si="7"/>
        <v/>
      </c>
      <c r="J1120" s="205"/>
      <c r="K1120" s="205"/>
    </row>
    <row r="1121" ht="14.25" customHeight="1">
      <c r="A1121" s="55">
        <v>46776.0</v>
      </c>
      <c r="B1121" s="55" t="str">
        <f t="shared" si="10"/>
        <v>Primer dia</v>
      </c>
      <c r="C1121" s="202">
        <f t="shared" si="1"/>
        <v>24</v>
      </c>
      <c r="D1121" s="202" t="str">
        <f t="shared" si="2"/>
        <v> </v>
      </c>
      <c r="E1121" s="202" t="str">
        <f t="shared" si="9"/>
        <v> </v>
      </c>
      <c r="F1121" s="55" t="str">
        <f t="shared" si="4"/>
        <v/>
      </c>
      <c r="G1121" s="202" t="str">
        <f t="shared" si="5"/>
        <v/>
      </c>
      <c r="H1121" s="202" t="str">
        <f t="shared" si="11"/>
        <v> </v>
      </c>
      <c r="I1121" s="205" t="str">
        <f t="shared" si="7"/>
        <v/>
      </c>
      <c r="J1121" s="205"/>
      <c r="K1121" s="205"/>
    </row>
    <row r="1122" ht="14.25" customHeight="1">
      <c r="A1122" s="55">
        <v>46777.0</v>
      </c>
      <c r="B1122" s="55" t="str">
        <f t="shared" si="10"/>
        <v>Primer dia</v>
      </c>
      <c r="C1122" s="202">
        <f t="shared" si="1"/>
        <v>25</v>
      </c>
      <c r="D1122" s="202" t="str">
        <f t="shared" si="2"/>
        <v> </v>
      </c>
      <c r="E1122" s="202" t="str">
        <f t="shared" si="9"/>
        <v> </v>
      </c>
      <c r="F1122" s="55" t="str">
        <f t="shared" si="4"/>
        <v/>
      </c>
      <c r="G1122" s="202" t="str">
        <f t="shared" si="5"/>
        <v/>
      </c>
      <c r="H1122" s="202" t="str">
        <f t="shared" si="11"/>
        <v> </v>
      </c>
      <c r="I1122" s="205" t="str">
        <f t="shared" si="7"/>
        <v/>
      </c>
      <c r="J1122" s="205"/>
      <c r="K1122" s="205"/>
    </row>
    <row r="1123" ht="14.25" customHeight="1">
      <c r="A1123" s="55">
        <v>46778.0</v>
      </c>
      <c r="B1123" s="55" t="str">
        <f t="shared" si="10"/>
        <v>Primer dia</v>
      </c>
      <c r="C1123" s="202">
        <f t="shared" si="1"/>
        <v>26</v>
      </c>
      <c r="D1123" s="202" t="str">
        <f t="shared" si="2"/>
        <v> </v>
      </c>
      <c r="E1123" s="202" t="str">
        <f t="shared" si="9"/>
        <v> </v>
      </c>
      <c r="F1123" s="55" t="str">
        <f t="shared" si="4"/>
        <v/>
      </c>
      <c r="G1123" s="202" t="str">
        <f t="shared" si="5"/>
        <v/>
      </c>
      <c r="H1123" s="202" t="str">
        <f t="shared" si="11"/>
        <v> </v>
      </c>
      <c r="I1123" s="205" t="str">
        <f t="shared" si="7"/>
        <v/>
      </c>
      <c r="J1123" s="205"/>
      <c r="K1123" s="205"/>
    </row>
    <row r="1124" ht="14.25" customHeight="1">
      <c r="A1124" s="55">
        <v>46779.0</v>
      </c>
      <c r="B1124" s="55" t="str">
        <f t="shared" si="10"/>
        <v>Primer dia</v>
      </c>
      <c r="C1124" s="202">
        <f t="shared" si="1"/>
        <v>27</v>
      </c>
      <c r="D1124" s="202" t="str">
        <f t="shared" si="2"/>
        <v> </v>
      </c>
      <c r="E1124" s="202" t="str">
        <f t="shared" si="9"/>
        <v> </v>
      </c>
      <c r="F1124" s="55" t="str">
        <f t="shared" si="4"/>
        <v/>
      </c>
      <c r="G1124" s="202" t="str">
        <f t="shared" si="5"/>
        <v/>
      </c>
      <c r="H1124" s="202" t="str">
        <f t="shared" si="11"/>
        <v> </v>
      </c>
      <c r="I1124" s="205" t="str">
        <f t="shared" si="7"/>
        <v/>
      </c>
      <c r="J1124" s="205"/>
      <c r="K1124" s="205"/>
    </row>
    <row r="1125" ht="14.25" customHeight="1">
      <c r="A1125" s="55">
        <v>46780.0</v>
      </c>
      <c r="B1125" s="55" t="str">
        <f t="shared" si="10"/>
        <v>Primer dia</v>
      </c>
      <c r="C1125" s="202">
        <f t="shared" si="1"/>
        <v>28</v>
      </c>
      <c r="D1125" s="202" t="str">
        <f t="shared" si="2"/>
        <v> </v>
      </c>
      <c r="E1125" s="202" t="str">
        <f t="shared" si="9"/>
        <v> </v>
      </c>
      <c r="F1125" s="55" t="str">
        <f t="shared" si="4"/>
        <v/>
      </c>
      <c r="G1125" s="202" t="str">
        <f t="shared" si="5"/>
        <v/>
      </c>
      <c r="H1125" s="202" t="str">
        <f t="shared" si="11"/>
        <v> </v>
      </c>
      <c r="I1125" s="205" t="str">
        <f t="shared" si="7"/>
        <v/>
      </c>
      <c r="J1125" s="205"/>
      <c r="K1125" s="205"/>
    </row>
    <row r="1126" ht="14.25" customHeight="1">
      <c r="A1126" s="55">
        <v>46781.0</v>
      </c>
      <c r="B1126" s="55" t="str">
        <f t="shared" si="10"/>
        <v>Primer dia</v>
      </c>
      <c r="C1126" s="202">
        <f t="shared" si="1"/>
        <v>29</v>
      </c>
      <c r="D1126" s="202" t="str">
        <f t="shared" si="2"/>
        <v> </v>
      </c>
      <c r="E1126" s="202" t="str">
        <f t="shared" si="9"/>
        <v> </v>
      </c>
      <c r="F1126" s="55" t="str">
        <f t="shared" si="4"/>
        <v/>
      </c>
      <c r="G1126" s="202" t="str">
        <f t="shared" si="5"/>
        <v/>
      </c>
      <c r="H1126" s="202" t="str">
        <f t="shared" si="11"/>
        <v> </v>
      </c>
      <c r="I1126" s="205" t="str">
        <f t="shared" si="7"/>
        <v/>
      </c>
      <c r="J1126" s="205"/>
      <c r="K1126" s="205"/>
    </row>
    <row r="1127" ht="14.25" customHeight="1">
      <c r="A1127" s="55">
        <v>46782.0</v>
      </c>
      <c r="B1127" s="55" t="str">
        <f t="shared" si="10"/>
        <v>Primer dia</v>
      </c>
      <c r="C1127" s="202">
        <f t="shared" si="1"/>
        <v>30</v>
      </c>
      <c r="D1127" s="202" t="str">
        <f t="shared" si="2"/>
        <v> </v>
      </c>
      <c r="E1127" s="202" t="str">
        <f t="shared" si="9"/>
        <v> </v>
      </c>
      <c r="F1127" s="55" t="str">
        <f t="shared" si="4"/>
        <v/>
      </c>
      <c r="G1127" s="202" t="str">
        <f t="shared" si="5"/>
        <v/>
      </c>
      <c r="H1127" s="202" t="str">
        <f t="shared" si="11"/>
        <v> </v>
      </c>
      <c r="I1127" s="205" t="str">
        <f t="shared" si="7"/>
        <v/>
      </c>
      <c r="J1127" s="205"/>
      <c r="K1127" s="205"/>
    </row>
    <row r="1128" ht="14.25" customHeight="1">
      <c r="A1128" s="55">
        <v>46783.0</v>
      </c>
      <c r="B1128" s="55" t="str">
        <f t="shared" si="10"/>
        <v>Primer dia</v>
      </c>
      <c r="C1128" s="202">
        <f t="shared" si="1"/>
        <v>31</v>
      </c>
      <c r="D1128" s="202" t="str">
        <f t="shared" si="2"/>
        <v> </v>
      </c>
      <c r="E1128" s="202" t="str">
        <f t="shared" si="9"/>
        <v> </v>
      </c>
      <c r="F1128" s="55" t="str">
        <f t="shared" si="4"/>
        <v/>
      </c>
      <c r="G1128" s="202" t="str">
        <f t="shared" si="5"/>
        <v/>
      </c>
      <c r="H1128" s="202" t="str">
        <f t="shared" si="11"/>
        <v> </v>
      </c>
      <c r="I1128" s="205" t="str">
        <f t="shared" si="7"/>
        <v/>
      </c>
      <c r="J1128" s="205"/>
      <c r="K1128" s="205"/>
    </row>
    <row r="1129" ht="14.25" customHeight="1">
      <c r="A1129" s="55">
        <v>46784.0</v>
      </c>
      <c r="B1129" s="55" t="str">
        <f t="shared" si="10"/>
        <v>Primer dia</v>
      </c>
      <c r="C1129" s="202">
        <f t="shared" si="1"/>
        <v>1</v>
      </c>
      <c r="D1129" s="202" t="str">
        <f t="shared" si="2"/>
        <v> </v>
      </c>
      <c r="E1129" s="202" t="str">
        <f t="shared" si="9"/>
        <v> </v>
      </c>
      <c r="F1129" s="55" t="str">
        <f t="shared" si="4"/>
        <v/>
      </c>
      <c r="G1129" s="202" t="str">
        <f t="shared" si="5"/>
        <v/>
      </c>
      <c r="H1129" s="202" t="str">
        <f t="shared" si="11"/>
        <v> </v>
      </c>
      <c r="I1129" s="205" t="str">
        <f t="shared" si="7"/>
        <v/>
      </c>
      <c r="J1129" s="205"/>
      <c r="K1129" s="205"/>
    </row>
    <row r="1130" ht="14.25" customHeight="1">
      <c r="A1130" s="55">
        <v>46785.0</v>
      </c>
      <c r="B1130" s="55" t="str">
        <f t="shared" si="10"/>
        <v>Primer dia</v>
      </c>
      <c r="C1130" s="202">
        <f t="shared" si="1"/>
        <v>2</v>
      </c>
      <c r="D1130" s="202" t="str">
        <f t="shared" si="2"/>
        <v> </v>
      </c>
      <c r="E1130" s="202">
        <f t="shared" si="9"/>
        <v>2</v>
      </c>
      <c r="F1130" s="55">
        <f t="shared" si="4"/>
        <v>46785</v>
      </c>
      <c r="G1130" s="202">
        <f t="shared" si="5"/>
        <v>49</v>
      </c>
      <c r="H1130" s="202" t="str">
        <f t="shared" si="11"/>
        <v> </v>
      </c>
      <c r="I1130" s="205" t="str">
        <f t="shared" si="7"/>
        <v/>
      </c>
      <c r="J1130" s="205"/>
      <c r="K1130" s="205"/>
    </row>
    <row r="1131" ht="14.25" customHeight="1">
      <c r="A1131" s="55">
        <v>46786.0</v>
      </c>
      <c r="B1131" s="55" t="str">
        <f t="shared" si="10"/>
        <v>Primer dia</v>
      </c>
      <c r="C1131" s="202">
        <f t="shared" si="1"/>
        <v>3</v>
      </c>
      <c r="D1131" s="202" t="str">
        <f t="shared" si="2"/>
        <v> </v>
      </c>
      <c r="E1131" s="202" t="str">
        <f t="shared" si="9"/>
        <v> </v>
      </c>
      <c r="F1131" s="55" t="str">
        <f t="shared" si="4"/>
        <v/>
      </c>
      <c r="G1131" s="202" t="str">
        <f t="shared" si="5"/>
        <v/>
      </c>
      <c r="H1131" s="202" t="str">
        <f t="shared" si="11"/>
        <v> </v>
      </c>
      <c r="I1131" s="205" t="str">
        <f t="shared" si="7"/>
        <v/>
      </c>
      <c r="J1131" s="205"/>
      <c r="K1131" s="205"/>
    </row>
    <row r="1132" ht="14.25" customHeight="1">
      <c r="A1132" s="55">
        <v>46787.0</v>
      </c>
      <c r="B1132" s="55" t="str">
        <f t="shared" si="10"/>
        <v>Primer dia</v>
      </c>
      <c r="C1132" s="202">
        <f t="shared" si="1"/>
        <v>4</v>
      </c>
      <c r="D1132" s="202" t="str">
        <f t="shared" si="2"/>
        <v> </v>
      </c>
      <c r="E1132" s="202" t="str">
        <f t="shared" si="9"/>
        <v> </v>
      </c>
      <c r="F1132" s="55" t="str">
        <f t="shared" si="4"/>
        <v/>
      </c>
      <c r="G1132" s="202" t="str">
        <f t="shared" si="5"/>
        <v/>
      </c>
      <c r="H1132" s="202" t="str">
        <f t="shared" si="11"/>
        <v> </v>
      </c>
      <c r="I1132" s="205" t="str">
        <f t="shared" si="7"/>
        <v/>
      </c>
      <c r="J1132" s="205"/>
      <c r="K1132" s="205"/>
    </row>
    <row r="1133" ht="14.25" customHeight="1">
      <c r="A1133" s="55">
        <v>46788.0</v>
      </c>
      <c r="B1133" s="55" t="str">
        <f t="shared" si="10"/>
        <v>Primer dia</v>
      </c>
      <c r="C1133" s="202">
        <f t="shared" si="1"/>
        <v>5</v>
      </c>
      <c r="D1133" s="202" t="str">
        <f t="shared" si="2"/>
        <v> </v>
      </c>
      <c r="E1133" s="202" t="str">
        <f t="shared" si="9"/>
        <v> </v>
      </c>
      <c r="F1133" s="55" t="str">
        <f t="shared" si="4"/>
        <v/>
      </c>
      <c r="G1133" s="202" t="str">
        <f t="shared" si="5"/>
        <v/>
      </c>
      <c r="H1133" s="202" t="str">
        <f t="shared" si="11"/>
        <v> </v>
      </c>
      <c r="I1133" s="205" t="str">
        <f t="shared" si="7"/>
        <v/>
      </c>
      <c r="J1133" s="205"/>
      <c r="K1133" s="205"/>
    </row>
    <row r="1134" ht="14.25" customHeight="1">
      <c r="A1134" s="55">
        <v>46789.0</v>
      </c>
      <c r="B1134" s="55" t="str">
        <f t="shared" si="10"/>
        <v>Primer dia</v>
      </c>
      <c r="C1134" s="202">
        <f t="shared" si="1"/>
        <v>6</v>
      </c>
      <c r="D1134" s="202" t="str">
        <f t="shared" si="2"/>
        <v> </v>
      </c>
      <c r="E1134" s="202" t="str">
        <f t="shared" si="9"/>
        <v> </v>
      </c>
      <c r="F1134" s="55" t="str">
        <f t="shared" si="4"/>
        <v/>
      </c>
      <c r="G1134" s="202" t="str">
        <f t="shared" si="5"/>
        <v/>
      </c>
      <c r="H1134" s="202" t="str">
        <f t="shared" si="11"/>
        <v> </v>
      </c>
      <c r="I1134" s="205" t="str">
        <f t="shared" si="7"/>
        <v/>
      </c>
      <c r="J1134" s="205"/>
      <c r="K1134" s="205"/>
    </row>
    <row r="1135" ht="14.25" customHeight="1">
      <c r="A1135" s="55">
        <v>46790.0</v>
      </c>
      <c r="B1135" s="55" t="str">
        <f t="shared" si="10"/>
        <v>Primer dia</v>
      </c>
      <c r="C1135" s="202">
        <f t="shared" si="1"/>
        <v>7</v>
      </c>
      <c r="D1135" s="202" t="str">
        <f t="shared" si="2"/>
        <v> </v>
      </c>
      <c r="E1135" s="202" t="str">
        <f t="shared" si="9"/>
        <v> </v>
      </c>
      <c r="F1135" s="55" t="str">
        <f t="shared" si="4"/>
        <v/>
      </c>
      <c r="G1135" s="202" t="str">
        <f t="shared" si="5"/>
        <v/>
      </c>
      <c r="H1135" s="202" t="str">
        <f t="shared" si="11"/>
        <v> </v>
      </c>
      <c r="I1135" s="205" t="str">
        <f t="shared" si="7"/>
        <v/>
      </c>
      <c r="J1135" s="205"/>
      <c r="K1135" s="205"/>
    </row>
    <row r="1136" ht="14.25" customHeight="1">
      <c r="A1136" s="55">
        <v>46791.0</v>
      </c>
      <c r="B1136" s="55" t="str">
        <f t="shared" si="10"/>
        <v>Primer dia</v>
      </c>
      <c r="C1136" s="202">
        <f t="shared" si="1"/>
        <v>8</v>
      </c>
      <c r="D1136" s="202" t="str">
        <f t="shared" si="2"/>
        <v> </v>
      </c>
      <c r="E1136" s="202" t="str">
        <f t="shared" si="9"/>
        <v> </v>
      </c>
      <c r="F1136" s="55" t="str">
        <f t="shared" si="4"/>
        <v/>
      </c>
      <c r="G1136" s="202" t="str">
        <f t="shared" si="5"/>
        <v/>
      </c>
      <c r="H1136" s="202" t="str">
        <f t="shared" si="11"/>
        <v> </v>
      </c>
      <c r="I1136" s="205" t="str">
        <f t="shared" si="7"/>
        <v/>
      </c>
      <c r="J1136" s="205"/>
      <c r="K1136" s="205"/>
    </row>
    <row r="1137" ht="14.25" customHeight="1">
      <c r="A1137" s="55">
        <v>46792.0</v>
      </c>
      <c r="B1137" s="55" t="str">
        <f t="shared" si="10"/>
        <v>Primer dia</v>
      </c>
      <c r="C1137" s="202">
        <f t="shared" si="1"/>
        <v>9</v>
      </c>
      <c r="D1137" s="202" t="str">
        <f t="shared" si="2"/>
        <v> </v>
      </c>
      <c r="E1137" s="202" t="str">
        <f t="shared" si="9"/>
        <v> </v>
      </c>
      <c r="F1137" s="55" t="str">
        <f t="shared" si="4"/>
        <v/>
      </c>
      <c r="G1137" s="202" t="str">
        <f t="shared" si="5"/>
        <v/>
      </c>
      <c r="H1137" s="202" t="str">
        <f t="shared" si="11"/>
        <v> </v>
      </c>
      <c r="I1137" s="205" t="str">
        <f t="shared" si="7"/>
        <v/>
      </c>
      <c r="J1137" s="205"/>
      <c r="K1137" s="205"/>
    </row>
    <row r="1138" ht="14.25" customHeight="1">
      <c r="A1138" s="55">
        <v>46793.0</v>
      </c>
      <c r="B1138" s="55" t="str">
        <f t="shared" si="10"/>
        <v>Primer dia</v>
      </c>
      <c r="C1138" s="202">
        <f t="shared" si="1"/>
        <v>10</v>
      </c>
      <c r="D1138" s="202" t="str">
        <f t="shared" si="2"/>
        <v> </v>
      </c>
      <c r="E1138" s="202" t="str">
        <f t="shared" si="9"/>
        <v> </v>
      </c>
      <c r="F1138" s="55" t="str">
        <f t="shared" si="4"/>
        <v/>
      </c>
      <c r="G1138" s="202" t="str">
        <f t="shared" si="5"/>
        <v/>
      </c>
      <c r="H1138" s="202" t="str">
        <f t="shared" si="11"/>
        <v> </v>
      </c>
      <c r="I1138" s="205" t="str">
        <f t="shared" si="7"/>
        <v/>
      </c>
      <c r="J1138" s="205"/>
      <c r="K1138" s="205"/>
    </row>
    <row r="1139" ht="14.25" customHeight="1">
      <c r="A1139" s="55">
        <v>46794.0</v>
      </c>
      <c r="B1139" s="55" t="str">
        <f t="shared" si="10"/>
        <v>Primer dia</v>
      </c>
      <c r="C1139" s="202">
        <f t="shared" si="1"/>
        <v>11</v>
      </c>
      <c r="D1139" s="202" t="str">
        <f t="shared" si="2"/>
        <v> </v>
      </c>
      <c r="E1139" s="202" t="str">
        <f t="shared" si="9"/>
        <v> </v>
      </c>
      <c r="F1139" s="55" t="str">
        <f t="shared" si="4"/>
        <v/>
      </c>
      <c r="G1139" s="202" t="str">
        <f t="shared" si="5"/>
        <v/>
      </c>
      <c r="H1139" s="202" t="str">
        <f t="shared" si="11"/>
        <v> </v>
      </c>
      <c r="I1139" s="205" t="str">
        <f t="shared" si="7"/>
        <v/>
      </c>
      <c r="J1139" s="205"/>
      <c r="K1139" s="205"/>
    </row>
    <row r="1140" ht="14.25" customHeight="1">
      <c r="A1140" s="55">
        <v>46795.0</v>
      </c>
      <c r="B1140" s="55" t="str">
        <f t="shared" si="10"/>
        <v>Primer dia</v>
      </c>
      <c r="C1140" s="202">
        <f t="shared" si="1"/>
        <v>12</v>
      </c>
      <c r="D1140" s="202" t="str">
        <f t="shared" si="2"/>
        <v> </v>
      </c>
      <c r="E1140" s="202" t="str">
        <f t="shared" si="9"/>
        <v> </v>
      </c>
      <c r="F1140" s="55" t="str">
        <f t="shared" si="4"/>
        <v/>
      </c>
      <c r="G1140" s="202" t="str">
        <f t="shared" si="5"/>
        <v/>
      </c>
      <c r="H1140" s="202" t="str">
        <f t="shared" si="11"/>
        <v> </v>
      </c>
      <c r="I1140" s="205" t="str">
        <f t="shared" si="7"/>
        <v/>
      </c>
      <c r="J1140" s="205"/>
      <c r="K1140" s="205"/>
    </row>
    <row r="1141" ht="14.25" customHeight="1">
      <c r="A1141" s="55">
        <v>46796.0</v>
      </c>
      <c r="B1141" s="55" t="str">
        <f t="shared" si="10"/>
        <v>Primer dia</v>
      </c>
      <c r="C1141" s="202">
        <f t="shared" si="1"/>
        <v>13</v>
      </c>
      <c r="D1141" s="202" t="str">
        <f t="shared" si="2"/>
        <v> </v>
      </c>
      <c r="E1141" s="202" t="str">
        <f t="shared" si="9"/>
        <v> </v>
      </c>
      <c r="F1141" s="55" t="str">
        <f t="shared" si="4"/>
        <v/>
      </c>
      <c r="G1141" s="202" t="str">
        <f t="shared" si="5"/>
        <v/>
      </c>
      <c r="H1141" s="202" t="str">
        <f t="shared" si="11"/>
        <v> </v>
      </c>
      <c r="I1141" s="205" t="str">
        <f t="shared" si="7"/>
        <v/>
      </c>
      <c r="J1141" s="205"/>
      <c r="K1141" s="205"/>
    </row>
    <row r="1142" ht="14.25" customHeight="1">
      <c r="A1142" s="55">
        <v>46797.0</v>
      </c>
      <c r="B1142" s="55" t="str">
        <f t="shared" si="10"/>
        <v>Primer dia</v>
      </c>
      <c r="C1142" s="202">
        <f t="shared" si="1"/>
        <v>14</v>
      </c>
      <c r="D1142" s="202" t="str">
        <f t="shared" si="2"/>
        <v> </v>
      </c>
      <c r="E1142" s="202" t="str">
        <f t="shared" si="9"/>
        <v> </v>
      </c>
      <c r="F1142" s="55" t="str">
        <f t="shared" si="4"/>
        <v/>
      </c>
      <c r="G1142" s="202" t="str">
        <f t="shared" si="5"/>
        <v/>
      </c>
      <c r="H1142" s="202" t="str">
        <f t="shared" si="11"/>
        <v> </v>
      </c>
      <c r="I1142" s="205" t="str">
        <f t="shared" si="7"/>
        <v/>
      </c>
      <c r="J1142" s="205"/>
      <c r="K1142" s="205"/>
    </row>
    <row r="1143" ht="14.25" customHeight="1">
      <c r="A1143" s="55">
        <v>46798.0</v>
      </c>
      <c r="B1143" s="55" t="str">
        <f t="shared" si="10"/>
        <v>Primer dia</v>
      </c>
      <c r="C1143" s="202">
        <f t="shared" si="1"/>
        <v>15</v>
      </c>
      <c r="D1143" s="202" t="str">
        <f t="shared" si="2"/>
        <v> </v>
      </c>
      <c r="E1143" s="202" t="str">
        <f t="shared" si="9"/>
        <v> </v>
      </c>
      <c r="F1143" s="55" t="str">
        <f t="shared" si="4"/>
        <v/>
      </c>
      <c r="G1143" s="202" t="str">
        <f t="shared" si="5"/>
        <v/>
      </c>
      <c r="H1143" s="202" t="str">
        <f t="shared" si="11"/>
        <v> </v>
      </c>
      <c r="I1143" s="205" t="str">
        <f t="shared" si="7"/>
        <v/>
      </c>
      <c r="J1143" s="205"/>
      <c r="K1143" s="205"/>
    </row>
    <row r="1144" ht="14.25" customHeight="1">
      <c r="A1144" s="55">
        <v>46799.0</v>
      </c>
      <c r="B1144" s="55" t="str">
        <f t="shared" si="10"/>
        <v>Primer dia</v>
      </c>
      <c r="C1144" s="202">
        <f t="shared" si="1"/>
        <v>16</v>
      </c>
      <c r="D1144" s="202" t="str">
        <f t="shared" si="2"/>
        <v> </v>
      </c>
      <c r="E1144" s="202" t="str">
        <f t="shared" si="9"/>
        <v> </v>
      </c>
      <c r="F1144" s="55" t="str">
        <f t="shared" si="4"/>
        <v/>
      </c>
      <c r="G1144" s="202" t="str">
        <f t="shared" si="5"/>
        <v/>
      </c>
      <c r="H1144" s="202" t="str">
        <f t="shared" si="11"/>
        <v> </v>
      </c>
      <c r="I1144" s="205" t="str">
        <f t="shared" si="7"/>
        <v/>
      </c>
      <c r="J1144" s="205"/>
      <c r="K1144" s="205"/>
    </row>
    <row r="1145" ht="14.25" customHeight="1">
      <c r="A1145" s="55">
        <v>46800.0</v>
      </c>
      <c r="B1145" s="55" t="str">
        <f t="shared" si="10"/>
        <v>Primer dia</v>
      </c>
      <c r="C1145" s="202">
        <f t="shared" si="1"/>
        <v>17</v>
      </c>
      <c r="D1145" s="202" t="str">
        <f t="shared" si="2"/>
        <v> </v>
      </c>
      <c r="E1145" s="202">
        <f t="shared" si="9"/>
        <v>17</v>
      </c>
      <c r="F1145" s="55">
        <f t="shared" si="4"/>
        <v>46800</v>
      </c>
      <c r="G1145" s="202">
        <f t="shared" si="5"/>
        <v>50</v>
      </c>
      <c r="H1145" s="202" t="str">
        <f t="shared" si="11"/>
        <v> </v>
      </c>
      <c r="I1145" s="205" t="str">
        <f t="shared" si="7"/>
        <v/>
      </c>
      <c r="J1145" s="205"/>
      <c r="K1145" s="205"/>
    </row>
    <row r="1146" ht="14.25" customHeight="1">
      <c r="A1146" s="55">
        <v>46801.0</v>
      </c>
      <c r="B1146" s="55" t="str">
        <f t="shared" si="10"/>
        <v>Primer dia</v>
      </c>
      <c r="C1146" s="202">
        <f t="shared" si="1"/>
        <v>18</v>
      </c>
      <c r="D1146" s="202" t="str">
        <f t="shared" si="2"/>
        <v> </v>
      </c>
      <c r="E1146" s="202" t="str">
        <f t="shared" si="9"/>
        <v> </v>
      </c>
      <c r="F1146" s="55" t="str">
        <f t="shared" si="4"/>
        <v/>
      </c>
      <c r="G1146" s="202" t="str">
        <f t="shared" si="5"/>
        <v/>
      </c>
      <c r="H1146" s="202" t="str">
        <f t="shared" si="11"/>
        <v> </v>
      </c>
      <c r="I1146" s="205" t="str">
        <f t="shared" si="7"/>
        <v/>
      </c>
      <c r="J1146" s="205"/>
      <c r="K1146" s="205"/>
    </row>
    <row r="1147" ht="14.25" customHeight="1">
      <c r="A1147" s="55">
        <v>46802.0</v>
      </c>
      <c r="B1147" s="55" t="str">
        <f t="shared" si="10"/>
        <v>Primer dia</v>
      </c>
      <c r="C1147" s="202">
        <f t="shared" si="1"/>
        <v>19</v>
      </c>
      <c r="D1147" s="202" t="str">
        <f t="shared" si="2"/>
        <v> </v>
      </c>
      <c r="E1147" s="202" t="str">
        <f t="shared" si="9"/>
        <v> </v>
      </c>
      <c r="F1147" s="55" t="str">
        <f t="shared" si="4"/>
        <v/>
      </c>
      <c r="G1147" s="202" t="str">
        <f t="shared" si="5"/>
        <v/>
      </c>
      <c r="H1147" s="202" t="str">
        <f t="shared" si="11"/>
        <v> </v>
      </c>
      <c r="I1147" s="205" t="str">
        <f t="shared" si="7"/>
        <v/>
      </c>
      <c r="J1147" s="205"/>
      <c r="K1147" s="205"/>
    </row>
    <row r="1148" ht="14.25" customHeight="1">
      <c r="A1148" s="55">
        <v>46803.0</v>
      </c>
      <c r="B1148" s="55" t="str">
        <f t="shared" si="10"/>
        <v>Primer dia</v>
      </c>
      <c r="C1148" s="202">
        <f t="shared" si="1"/>
        <v>20</v>
      </c>
      <c r="D1148" s="202" t="str">
        <f t="shared" si="2"/>
        <v> </v>
      </c>
      <c r="E1148" s="202" t="str">
        <f t="shared" si="9"/>
        <v> </v>
      </c>
      <c r="F1148" s="55" t="str">
        <f t="shared" si="4"/>
        <v/>
      </c>
      <c r="G1148" s="202" t="str">
        <f t="shared" si="5"/>
        <v/>
      </c>
      <c r="H1148" s="202" t="str">
        <f t="shared" si="11"/>
        <v> </v>
      </c>
      <c r="I1148" s="205" t="str">
        <f t="shared" si="7"/>
        <v/>
      </c>
      <c r="J1148" s="205"/>
      <c r="K1148" s="205"/>
    </row>
    <row r="1149" ht="14.25" customHeight="1">
      <c r="A1149" s="55">
        <v>46804.0</v>
      </c>
      <c r="B1149" s="55" t="str">
        <f t="shared" si="10"/>
        <v>Primer dia</v>
      </c>
      <c r="C1149" s="202">
        <f t="shared" si="1"/>
        <v>21</v>
      </c>
      <c r="D1149" s="202" t="str">
        <f t="shared" si="2"/>
        <v> </v>
      </c>
      <c r="E1149" s="202" t="str">
        <f t="shared" si="9"/>
        <v> </v>
      </c>
      <c r="F1149" s="55" t="str">
        <f t="shared" si="4"/>
        <v/>
      </c>
      <c r="G1149" s="202" t="str">
        <f t="shared" si="5"/>
        <v/>
      </c>
      <c r="H1149" s="202" t="str">
        <f t="shared" si="11"/>
        <v> </v>
      </c>
      <c r="I1149" s="205" t="str">
        <f t="shared" si="7"/>
        <v/>
      </c>
      <c r="J1149" s="205"/>
      <c r="K1149" s="205"/>
    </row>
    <row r="1150" ht="14.25" customHeight="1">
      <c r="A1150" s="55">
        <v>46805.0</v>
      </c>
      <c r="B1150" s="55" t="str">
        <f t="shared" si="10"/>
        <v>Primer dia</v>
      </c>
      <c r="C1150" s="202">
        <f t="shared" si="1"/>
        <v>22</v>
      </c>
      <c r="D1150" s="202" t="str">
        <f t="shared" si="2"/>
        <v> </v>
      </c>
      <c r="E1150" s="202" t="str">
        <f t="shared" si="9"/>
        <v> </v>
      </c>
      <c r="F1150" s="55" t="str">
        <f t="shared" si="4"/>
        <v/>
      </c>
      <c r="G1150" s="202" t="str">
        <f t="shared" si="5"/>
        <v/>
      </c>
      <c r="H1150" s="202" t="str">
        <f t="shared" si="11"/>
        <v> </v>
      </c>
      <c r="I1150" s="205" t="str">
        <f t="shared" si="7"/>
        <v/>
      </c>
      <c r="J1150" s="205"/>
      <c r="K1150" s="205"/>
    </row>
    <row r="1151" ht="14.25" customHeight="1">
      <c r="A1151" s="55">
        <v>46806.0</v>
      </c>
      <c r="B1151" s="55" t="str">
        <f t="shared" si="10"/>
        <v>Primer dia</v>
      </c>
      <c r="C1151" s="202">
        <f t="shared" si="1"/>
        <v>23</v>
      </c>
      <c r="D1151" s="202" t="str">
        <f t="shared" si="2"/>
        <v> </v>
      </c>
      <c r="E1151" s="202" t="str">
        <f t="shared" si="9"/>
        <v> </v>
      </c>
      <c r="F1151" s="55" t="str">
        <f t="shared" si="4"/>
        <v/>
      </c>
      <c r="G1151" s="202" t="str">
        <f t="shared" si="5"/>
        <v/>
      </c>
      <c r="H1151" s="202" t="str">
        <f t="shared" si="11"/>
        <v> </v>
      </c>
      <c r="I1151" s="205" t="str">
        <f t="shared" si="7"/>
        <v/>
      </c>
      <c r="J1151" s="205"/>
      <c r="K1151" s="205"/>
    </row>
    <row r="1152" ht="14.25" customHeight="1">
      <c r="A1152" s="55">
        <v>46807.0</v>
      </c>
      <c r="B1152" s="55" t="str">
        <f t="shared" si="10"/>
        <v>Primer dia</v>
      </c>
      <c r="C1152" s="202">
        <f t="shared" si="1"/>
        <v>24</v>
      </c>
      <c r="D1152" s="202" t="str">
        <f t="shared" si="2"/>
        <v> </v>
      </c>
      <c r="E1152" s="202" t="str">
        <f t="shared" si="9"/>
        <v> </v>
      </c>
      <c r="F1152" s="55" t="str">
        <f t="shared" si="4"/>
        <v/>
      </c>
      <c r="G1152" s="202" t="str">
        <f t="shared" si="5"/>
        <v/>
      </c>
      <c r="H1152" s="202" t="str">
        <f t="shared" si="11"/>
        <v> </v>
      </c>
      <c r="I1152" s="205" t="str">
        <f t="shared" si="7"/>
        <v/>
      </c>
      <c r="J1152" s="205"/>
      <c r="K1152" s="205"/>
    </row>
    <row r="1153" ht="14.25" customHeight="1">
      <c r="A1153" s="55">
        <v>46808.0</v>
      </c>
      <c r="B1153" s="55" t="str">
        <f t="shared" si="10"/>
        <v>Primer dia</v>
      </c>
      <c r="C1153" s="202">
        <f t="shared" si="1"/>
        <v>25</v>
      </c>
      <c r="D1153" s="202" t="str">
        <f t="shared" si="2"/>
        <v> </v>
      </c>
      <c r="E1153" s="202" t="str">
        <f t="shared" si="9"/>
        <v> </v>
      </c>
      <c r="F1153" s="55" t="str">
        <f t="shared" si="4"/>
        <v/>
      </c>
      <c r="G1153" s="202" t="str">
        <f t="shared" si="5"/>
        <v/>
      </c>
      <c r="H1153" s="202" t="str">
        <f t="shared" si="11"/>
        <v> </v>
      </c>
      <c r="I1153" s="205" t="str">
        <f t="shared" si="7"/>
        <v/>
      </c>
      <c r="J1153" s="205"/>
      <c r="K1153" s="205"/>
    </row>
    <row r="1154" ht="14.25" customHeight="1">
      <c r="A1154" s="55">
        <v>46809.0</v>
      </c>
      <c r="B1154" s="55" t="str">
        <f t="shared" si="10"/>
        <v>Primer dia</v>
      </c>
      <c r="C1154" s="202">
        <f t="shared" si="1"/>
        <v>26</v>
      </c>
      <c r="D1154" s="202" t="str">
        <f t="shared" si="2"/>
        <v> </v>
      </c>
      <c r="E1154" s="202" t="str">
        <f t="shared" si="9"/>
        <v> </v>
      </c>
      <c r="F1154" s="55" t="str">
        <f t="shared" si="4"/>
        <v/>
      </c>
      <c r="G1154" s="202" t="str">
        <f t="shared" si="5"/>
        <v/>
      </c>
      <c r="H1154" s="202" t="str">
        <f t="shared" si="11"/>
        <v> </v>
      </c>
      <c r="I1154" s="205" t="str">
        <f t="shared" si="7"/>
        <v/>
      </c>
      <c r="J1154" s="205"/>
      <c r="K1154" s="205"/>
    </row>
    <row r="1155" ht="14.25" customHeight="1">
      <c r="A1155" s="55">
        <v>46810.0</v>
      </c>
      <c r="B1155" s="55" t="str">
        <f t="shared" si="10"/>
        <v>Primer dia</v>
      </c>
      <c r="C1155" s="202">
        <f t="shared" si="1"/>
        <v>27</v>
      </c>
      <c r="D1155" s="202" t="str">
        <f t="shared" si="2"/>
        <v> </v>
      </c>
      <c r="E1155" s="202" t="str">
        <f t="shared" si="9"/>
        <v> </v>
      </c>
      <c r="F1155" s="55" t="str">
        <f t="shared" si="4"/>
        <v/>
      </c>
      <c r="G1155" s="202" t="str">
        <f t="shared" si="5"/>
        <v/>
      </c>
      <c r="H1155" s="202" t="str">
        <f t="shared" si="11"/>
        <v> </v>
      </c>
      <c r="I1155" s="205" t="str">
        <f t="shared" si="7"/>
        <v/>
      </c>
      <c r="J1155" s="205"/>
      <c r="K1155" s="205"/>
    </row>
    <row r="1156" ht="14.25" customHeight="1">
      <c r="A1156" s="55">
        <v>46811.0</v>
      </c>
      <c r="B1156" s="55" t="str">
        <f t="shared" si="10"/>
        <v>Primer dia</v>
      </c>
      <c r="C1156" s="202">
        <f t="shared" si="1"/>
        <v>28</v>
      </c>
      <c r="D1156" s="202" t="str">
        <f t="shared" si="2"/>
        <v> </v>
      </c>
      <c r="E1156" s="202" t="str">
        <f t="shared" si="9"/>
        <v> </v>
      </c>
      <c r="F1156" s="55" t="str">
        <f t="shared" si="4"/>
        <v/>
      </c>
      <c r="G1156" s="202" t="str">
        <f t="shared" si="5"/>
        <v/>
      </c>
      <c r="H1156" s="202" t="str">
        <f t="shared" si="11"/>
        <v> </v>
      </c>
      <c r="I1156" s="205" t="str">
        <f t="shared" si="7"/>
        <v/>
      </c>
      <c r="J1156" s="205"/>
      <c r="K1156" s="205"/>
    </row>
    <row r="1157" ht="14.25" customHeight="1">
      <c r="A1157" s="55">
        <v>46812.0</v>
      </c>
      <c r="B1157" s="55" t="str">
        <f t="shared" si="10"/>
        <v>Primer dia</v>
      </c>
      <c r="C1157" s="202">
        <f t="shared" si="1"/>
        <v>29</v>
      </c>
      <c r="D1157" s="202" t="str">
        <f t="shared" si="2"/>
        <v> </v>
      </c>
      <c r="E1157" s="202" t="str">
        <f t="shared" si="9"/>
        <v> </v>
      </c>
      <c r="F1157" s="55" t="str">
        <f t="shared" si="4"/>
        <v/>
      </c>
      <c r="G1157" s="202" t="str">
        <f t="shared" si="5"/>
        <v/>
      </c>
      <c r="H1157" s="202" t="str">
        <f t="shared" si="11"/>
        <v> </v>
      </c>
      <c r="I1157" s="205" t="str">
        <f t="shared" si="7"/>
        <v/>
      </c>
      <c r="J1157" s="205"/>
      <c r="K1157" s="205"/>
    </row>
    <row r="1158" ht="14.25" customHeight="1">
      <c r="A1158" s="55">
        <v>46813.0</v>
      </c>
      <c r="B1158" s="55" t="str">
        <f t="shared" si="10"/>
        <v>Primer dia</v>
      </c>
      <c r="C1158" s="202">
        <f t="shared" si="1"/>
        <v>1</v>
      </c>
      <c r="D1158" s="202" t="str">
        <f t="shared" si="2"/>
        <v> </v>
      </c>
      <c r="E1158" s="202" t="str">
        <f t="shared" si="9"/>
        <v> </v>
      </c>
      <c r="F1158" s="55" t="str">
        <f t="shared" si="4"/>
        <v/>
      </c>
      <c r="G1158" s="202" t="str">
        <f t="shared" si="5"/>
        <v/>
      </c>
      <c r="H1158" s="202" t="str">
        <f t="shared" si="11"/>
        <v> </v>
      </c>
      <c r="I1158" s="205" t="str">
        <f t="shared" si="7"/>
        <v/>
      </c>
      <c r="J1158" s="205"/>
      <c r="K1158" s="205"/>
    </row>
    <row r="1159" ht="14.25" customHeight="1">
      <c r="A1159" s="55">
        <v>46814.0</v>
      </c>
      <c r="B1159" s="55" t="str">
        <f t="shared" si="10"/>
        <v>Primer dia</v>
      </c>
      <c r="C1159" s="202">
        <f t="shared" si="1"/>
        <v>2</v>
      </c>
      <c r="D1159" s="202" t="str">
        <f t="shared" si="2"/>
        <v> </v>
      </c>
      <c r="E1159" s="202">
        <f t="shared" si="9"/>
        <v>2</v>
      </c>
      <c r="F1159" s="55">
        <f t="shared" si="4"/>
        <v>46814</v>
      </c>
      <c r="G1159" s="202">
        <f t="shared" si="5"/>
        <v>51</v>
      </c>
      <c r="H1159" s="202" t="str">
        <f t="shared" si="11"/>
        <v> </v>
      </c>
      <c r="I1159" s="205" t="str">
        <f t="shared" si="7"/>
        <v/>
      </c>
      <c r="J1159" s="205"/>
      <c r="K1159" s="205"/>
    </row>
    <row r="1160" ht="14.25" customHeight="1">
      <c r="A1160" s="55">
        <v>46815.0</v>
      </c>
      <c r="B1160" s="55" t="str">
        <f t="shared" si="10"/>
        <v>Primer dia</v>
      </c>
      <c r="C1160" s="202">
        <f t="shared" si="1"/>
        <v>3</v>
      </c>
      <c r="D1160" s="202" t="str">
        <f t="shared" si="2"/>
        <v> </v>
      </c>
      <c r="E1160" s="202" t="str">
        <f t="shared" si="9"/>
        <v> </v>
      </c>
      <c r="F1160" s="55" t="str">
        <f t="shared" si="4"/>
        <v/>
      </c>
      <c r="G1160" s="202" t="str">
        <f t="shared" si="5"/>
        <v/>
      </c>
      <c r="H1160" s="202" t="str">
        <f t="shared" si="11"/>
        <v> </v>
      </c>
      <c r="I1160" s="205" t="str">
        <f t="shared" si="7"/>
        <v/>
      </c>
      <c r="J1160" s="205"/>
      <c r="K1160" s="205"/>
    </row>
    <row r="1161" ht="14.25" customHeight="1">
      <c r="A1161" s="55">
        <v>46816.0</v>
      </c>
      <c r="B1161" s="55" t="str">
        <f t="shared" si="10"/>
        <v>Primer dia</v>
      </c>
      <c r="C1161" s="202">
        <f t="shared" si="1"/>
        <v>4</v>
      </c>
      <c r="D1161" s="202" t="str">
        <f t="shared" si="2"/>
        <v> </v>
      </c>
      <c r="E1161" s="202" t="str">
        <f t="shared" si="9"/>
        <v> </v>
      </c>
      <c r="F1161" s="55" t="str">
        <f t="shared" si="4"/>
        <v/>
      </c>
      <c r="G1161" s="202" t="str">
        <f t="shared" si="5"/>
        <v/>
      </c>
      <c r="H1161" s="202" t="str">
        <f t="shared" si="11"/>
        <v> </v>
      </c>
      <c r="I1161" s="205" t="str">
        <f t="shared" si="7"/>
        <v/>
      </c>
      <c r="J1161" s="205"/>
      <c r="K1161" s="205"/>
    </row>
    <row r="1162" ht="14.25" customHeight="1">
      <c r="A1162" s="55">
        <v>46817.0</v>
      </c>
      <c r="B1162" s="55" t="str">
        <f t="shared" si="10"/>
        <v>Primer dia</v>
      </c>
      <c r="C1162" s="202">
        <f t="shared" si="1"/>
        <v>5</v>
      </c>
      <c r="D1162" s="202" t="str">
        <f t="shared" si="2"/>
        <v> </v>
      </c>
      <c r="E1162" s="202" t="str">
        <f t="shared" si="9"/>
        <v> </v>
      </c>
      <c r="F1162" s="55" t="str">
        <f t="shared" si="4"/>
        <v/>
      </c>
      <c r="G1162" s="202" t="str">
        <f t="shared" si="5"/>
        <v/>
      </c>
      <c r="H1162" s="202" t="str">
        <f t="shared" si="11"/>
        <v> </v>
      </c>
      <c r="I1162" s="205" t="str">
        <f t="shared" si="7"/>
        <v/>
      </c>
      <c r="J1162" s="205"/>
      <c r="K1162" s="205"/>
    </row>
    <row r="1163" ht="14.25" customHeight="1">
      <c r="A1163" s="55">
        <v>46818.0</v>
      </c>
      <c r="B1163" s="55" t="str">
        <f t="shared" si="10"/>
        <v>Primer dia</v>
      </c>
      <c r="C1163" s="202">
        <f t="shared" si="1"/>
        <v>6</v>
      </c>
      <c r="D1163" s="202" t="str">
        <f t="shared" si="2"/>
        <v> </v>
      </c>
      <c r="E1163" s="202" t="str">
        <f t="shared" si="9"/>
        <v> </v>
      </c>
      <c r="F1163" s="55" t="str">
        <f t="shared" si="4"/>
        <v/>
      </c>
      <c r="G1163" s="202" t="str">
        <f t="shared" si="5"/>
        <v/>
      </c>
      <c r="H1163" s="202" t="str">
        <f t="shared" si="11"/>
        <v> </v>
      </c>
      <c r="I1163" s="205" t="str">
        <f t="shared" si="7"/>
        <v/>
      </c>
      <c r="J1163" s="205"/>
      <c r="K1163" s="205"/>
    </row>
    <row r="1164" ht="14.25" customHeight="1">
      <c r="A1164" s="55">
        <v>46819.0</v>
      </c>
      <c r="B1164" s="55" t="str">
        <f t="shared" si="10"/>
        <v>Primer dia</v>
      </c>
      <c r="C1164" s="202">
        <f t="shared" si="1"/>
        <v>7</v>
      </c>
      <c r="D1164" s="202" t="str">
        <f t="shared" si="2"/>
        <v> </v>
      </c>
      <c r="E1164" s="202" t="str">
        <f t="shared" si="9"/>
        <v> </v>
      </c>
      <c r="F1164" s="55" t="str">
        <f t="shared" si="4"/>
        <v/>
      </c>
      <c r="G1164" s="202" t="str">
        <f t="shared" si="5"/>
        <v/>
      </c>
      <c r="H1164" s="202" t="str">
        <f t="shared" si="11"/>
        <v> </v>
      </c>
      <c r="I1164" s="205" t="str">
        <f t="shared" si="7"/>
        <v/>
      </c>
      <c r="J1164" s="205"/>
      <c r="K1164" s="205"/>
    </row>
    <row r="1165" ht="14.25" customHeight="1">
      <c r="A1165" s="55">
        <v>46820.0</v>
      </c>
      <c r="B1165" s="55" t="str">
        <f t="shared" si="10"/>
        <v>Primer dia</v>
      </c>
      <c r="C1165" s="202">
        <f t="shared" si="1"/>
        <v>8</v>
      </c>
      <c r="D1165" s="202" t="str">
        <f t="shared" si="2"/>
        <v> </v>
      </c>
      <c r="E1165" s="202" t="str">
        <f t="shared" si="9"/>
        <v> </v>
      </c>
      <c r="F1165" s="55" t="str">
        <f t="shared" si="4"/>
        <v/>
      </c>
      <c r="G1165" s="202" t="str">
        <f t="shared" si="5"/>
        <v/>
      </c>
      <c r="H1165" s="202" t="str">
        <f t="shared" si="11"/>
        <v> </v>
      </c>
      <c r="I1165" s="205" t="str">
        <f t="shared" si="7"/>
        <v/>
      </c>
      <c r="J1165" s="205"/>
      <c r="K1165" s="205"/>
    </row>
    <row r="1166" ht="14.25" customHeight="1">
      <c r="A1166" s="55">
        <v>46821.0</v>
      </c>
      <c r="B1166" s="55" t="str">
        <f t="shared" si="10"/>
        <v>Primer dia</v>
      </c>
      <c r="C1166" s="202">
        <f t="shared" si="1"/>
        <v>9</v>
      </c>
      <c r="D1166" s="202" t="str">
        <f t="shared" si="2"/>
        <v> </v>
      </c>
      <c r="E1166" s="202" t="str">
        <f t="shared" si="9"/>
        <v> </v>
      </c>
      <c r="F1166" s="55" t="str">
        <f t="shared" si="4"/>
        <v/>
      </c>
      <c r="G1166" s="202" t="str">
        <f t="shared" si="5"/>
        <v/>
      </c>
      <c r="H1166" s="202" t="str">
        <f t="shared" si="11"/>
        <v> </v>
      </c>
      <c r="I1166" s="205" t="str">
        <f t="shared" si="7"/>
        <v/>
      </c>
      <c r="J1166" s="205"/>
      <c r="K1166" s="205"/>
    </row>
    <row r="1167" ht="14.25" customHeight="1">
      <c r="A1167" s="55">
        <v>46822.0</v>
      </c>
      <c r="B1167" s="55" t="str">
        <f t="shared" si="10"/>
        <v>Primer dia</v>
      </c>
      <c r="C1167" s="202">
        <f t="shared" si="1"/>
        <v>10</v>
      </c>
      <c r="D1167" s="202" t="str">
        <f t="shared" si="2"/>
        <v> </v>
      </c>
      <c r="E1167" s="202" t="str">
        <f t="shared" si="9"/>
        <v> </v>
      </c>
      <c r="F1167" s="55" t="str">
        <f t="shared" si="4"/>
        <v/>
      </c>
      <c r="G1167" s="202" t="str">
        <f t="shared" si="5"/>
        <v/>
      </c>
      <c r="H1167" s="202" t="str">
        <f t="shared" si="11"/>
        <v> </v>
      </c>
      <c r="I1167" s="205" t="str">
        <f t="shared" si="7"/>
        <v/>
      </c>
      <c r="J1167" s="205"/>
      <c r="K1167" s="205"/>
    </row>
    <row r="1168" ht="14.25" customHeight="1">
      <c r="A1168" s="55">
        <v>46823.0</v>
      </c>
      <c r="B1168" s="55" t="str">
        <f t="shared" si="10"/>
        <v>Primer dia</v>
      </c>
      <c r="C1168" s="202">
        <f t="shared" si="1"/>
        <v>11</v>
      </c>
      <c r="D1168" s="202" t="str">
        <f t="shared" si="2"/>
        <v> </v>
      </c>
      <c r="E1168" s="202" t="str">
        <f t="shared" si="9"/>
        <v> </v>
      </c>
      <c r="F1168" s="55" t="str">
        <f t="shared" si="4"/>
        <v/>
      </c>
      <c r="G1168" s="202" t="str">
        <f t="shared" si="5"/>
        <v/>
      </c>
      <c r="H1168" s="202" t="str">
        <f t="shared" si="11"/>
        <v> </v>
      </c>
      <c r="I1168" s="205" t="str">
        <f t="shared" si="7"/>
        <v/>
      </c>
      <c r="J1168" s="205"/>
      <c r="K1168" s="205"/>
    </row>
    <row r="1169" ht="14.25" customHeight="1">
      <c r="A1169" s="55">
        <v>46824.0</v>
      </c>
      <c r="B1169" s="55" t="str">
        <f t="shared" si="10"/>
        <v>Primer dia</v>
      </c>
      <c r="C1169" s="202">
        <f t="shared" si="1"/>
        <v>12</v>
      </c>
      <c r="D1169" s="202" t="str">
        <f t="shared" si="2"/>
        <v> </v>
      </c>
      <c r="E1169" s="202" t="str">
        <f t="shared" si="9"/>
        <v> </v>
      </c>
      <c r="F1169" s="55" t="str">
        <f t="shared" si="4"/>
        <v/>
      </c>
      <c r="G1169" s="202" t="str">
        <f t="shared" si="5"/>
        <v/>
      </c>
      <c r="H1169" s="202" t="str">
        <f t="shared" si="11"/>
        <v> </v>
      </c>
      <c r="I1169" s="205" t="str">
        <f t="shared" si="7"/>
        <v/>
      </c>
      <c r="J1169" s="205"/>
      <c r="K1169" s="205"/>
    </row>
    <row r="1170" ht="14.25" customHeight="1">
      <c r="A1170" s="55">
        <v>46825.0</v>
      </c>
      <c r="B1170" s="55" t="str">
        <f t="shared" si="10"/>
        <v>Primer dia</v>
      </c>
      <c r="C1170" s="202">
        <f t="shared" si="1"/>
        <v>13</v>
      </c>
      <c r="D1170" s="202" t="str">
        <f t="shared" si="2"/>
        <v> </v>
      </c>
      <c r="E1170" s="202" t="str">
        <f t="shared" si="9"/>
        <v> </v>
      </c>
      <c r="F1170" s="55" t="str">
        <f t="shared" si="4"/>
        <v/>
      </c>
      <c r="G1170" s="202" t="str">
        <f t="shared" si="5"/>
        <v/>
      </c>
      <c r="H1170" s="202" t="str">
        <f t="shared" si="11"/>
        <v> </v>
      </c>
      <c r="I1170" s="205" t="str">
        <f t="shared" si="7"/>
        <v/>
      </c>
      <c r="J1170" s="205"/>
      <c r="K1170" s="205"/>
    </row>
    <row r="1171" ht="14.25" customHeight="1">
      <c r="A1171" s="55">
        <v>46826.0</v>
      </c>
      <c r="B1171" s="55" t="str">
        <f t="shared" si="10"/>
        <v>Primer dia</v>
      </c>
      <c r="C1171" s="202">
        <f t="shared" si="1"/>
        <v>14</v>
      </c>
      <c r="D1171" s="202" t="str">
        <f t="shared" si="2"/>
        <v> </v>
      </c>
      <c r="E1171" s="202" t="str">
        <f t="shared" si="9"/>
        <v> </v>
      </c>
      <c r="F1171" s="55" t="str">
        <f t="shared" si="4"/>
        <v/>
      </c>
      <c r="G1171" s="202" t="str">
        <f t="shared" si="5"/>
        <v/>
      </c>
      <c r="H1171" s="202" t="str">
        <f t="shared" si="11"/>
        <v> </v>
      </c>
      <c r="I1171" s="205" t="str">
        <f t="shared" si="7"/>
        <v/>
      </c>
      <c r="J1171" s="205"/>
      <c r="K1171" s="205"/>
    </row>
    <row r="1172" ht="14.25" customHeight="1">
      <c r="A1172" s="55">
        <v>46827.0</v>
      </c>
      <c r="B1172" s="55" t="str">
        <f t="shared" si="10"/>
        <v>Primer dia</v>
      </c>
      <c r="C1172" s="202">
        <f t="shared" si="1"/>
        <v>15</v>
      </c>
      <c r="D1172" s="202" t="str">
        <f t="shared" si="2"/>
        <v> </v>
      </c>
      <c r="E1172" s="202" t="str">
        <f t="shared" si="9"/>
        <v> </v>
      </c>
      <c r="F1172" s="55" t="str">
        <f t="shared" si="4"/>
        <v/>
      </c>
      <c r="G1172" s="202" t="str">
        <f t="shared" si="5"/>
        <v/>
      </c>
      <c r="H1172" s="202" t="str">
        <f t="shared" si="11"/>
        <v> </v>
      </c>
      <c r="I1172" s="205" t="str">
        <f t="shared" si="7"/>
        <v/>
      </c>
      <c r="J1172" s="205"/>
      <c r="K1172" s="205"/>
    </row>
    <row r="1173" ht="14.25" customHeight="1">
      <c r="A1173" s="55">
        <v>46828.0</v>
      </c>
      <c r="B1173" s="55" t="str">
        <f t="shared" si="10"/>
        <v>Primer dia</v>
      </c>
      <c r="C1173" s="202">
        <f t="shared" si="1"/>
        <v>16</v>
      </c>
      <c r="D1173" s="202" t="str">
        <f t="shared" si="2"/>
        <v> </v>
      </c>
      <c r="E1173" s="202" t="str">
        <f t="shared" si="9"/>
        <v> </v>
      </c>
      <c r="F1173" s="55" t="str">
        <f t="shared" si="4"/>
        <v/>
      </c>
      <c r="G1173" s="202" t="str">
        <f t="shared" si="5"/>
        <v/>
      </c>
      <c r="H1173" s="202" t="str">
        <f t="shared" si="11"/>
        <v> </v>
      </c>
      <c r="I1173" s="205" t="str">
        <f t="shared" si="7"/>
        <v/>
      </c>
      <c r="J1173" s="205"/>
      <c r="K1173" s="205"/>
    </row>
    <row r="1174" ht="14.25" customHeight="1">
      <c r="A1174" s="55">
        <v>46829.0</v>
      </c>
      <c r="B1174" s="55" t="str">
        <f t="shared" si="10"/>
        <v>Primer dia</v>
      </c>
      <c r="C1174" s="202">
        <f t="shared" si="1"/>
        <v>17</v>
      </c>
      <c r="D1174" s="202" t="str">
        <f t="shared" si="2"/>
        <v> </v>
      </c>
      <c r="E1174" s="202">
        <f t="shared" si="9"/>
        <v>17</v>
      </c>
      <c r="F1174" s="55">
        <f t="shared" si="4"/>
        <v>46829</v>
      </c>
      <c r="G1174" s="202">
        <f t="shared" si="5"/>
        <v>52</v>
      </c>
      <c r="H1174" s="202" t="str">
        <f t="shared" si="11"/>
        <v> </v>
      </c>
      <c r="I1174" s="205" t="str">
        <f t="shared" si="7"/>
        <v/>
      </c>
      <c r="J1174" s="205"/>
      <c r="K1174" s="205"/>
    </row>
    <row r="1175" ht="14.25" customHeight="1">
      <c r="A1175" s="55">
        <v>46830.0</v>
      </c>
      <c r="B1175" s="55" t="str">
        <f t="shared" si="10"/>
        <v>Primer dia</v>
      </c>
      <c r="C1175" s="202">
        <f t="shared" si="1"/>
        <v>18</v>
      </c>
      <c r="D1175" s="202" t="str">
        <f t="shared" si="2"/>
        <v> </v>
      </c>
      <c r="E1175" s="202" t="str">
        <f t="shared" si="9"/>
        <v> </v>
      </c>
      <c r="F1175" s="55" t="str">
        <f t="shared" si="4"/>
        <v/>
      </c>
      <c r="G1175" s="202" t="str">
        <f t="shared" si="5"/>
        <v/>
      </c>
      <c r="H1175" s="202" t="str">
        <f t="shared" si="11"/>
        <v> </v>
      </c>
      <c r="I1175" s="205" t="str">
        <f t="shared" si="7"/>
        <v/>
      </c>
      <c r="J1175" s="205"/>
      <c r="K1175" s="205"/>
    </row>
    <row r="1176" ht="14.25" customHeight="1">
      <c r="A1176" s="55">
        <v>46831.0</v>
      </c>
      <c r="B1176" s="55" t="str">
        <f t="shared" si="10"/>
        <v>Primer dia</v>
      </c>
      <c r="C1176" s="202">
        <f t="shared" si="1"/>
        <v>19</v>
      </c>
      <c r="D1176" s="202" t="str">
        <f t="shared" si="2"/>
        <v> </v>
      </c>
      <c r="E1176" s="202" t="str">
        <f t="shared" si="9"/>
        <v> </v>
      </c>
      <c r="F1176" s="55" t="str">
        <f t="shared" si="4"/>
        <v/>
      </c>
      <c r="G1176" s="202" t="str">
        <f t="shared" si="5"/>
        <v/>
      </c>
      <c r="H1176" s="202" t="str">
        <f t="shared" si="11"/>
        <v> </v>
      </c>
      <c r="I1176" s="205" t="str">
        <f t="shared" si="7"/>
        <v/>
      </c>
      <c r="J1176" s="205"/>
      <c r="K1176" s="205"/>
    </row>
    <row r="1177" ht="14.25" customHeight="1">
      <c r="A1177" s="55">
        <v>46832.0</v>
      </c>
      <c r="B1177" s="55" t="str">
        <f t="shared" si="10"/>
        <v>Primer dia</v>
      </c>
      <c r="C1177" s="202">
        <f t="shared" si="1"/>
        <v>20</v>
      </c>
      <c r="D1177" s="202" t="str">
        <f t="shared" si="2"/>
        <v> </v>
      </c>
      <c r="E1177" s="202" t="str">
        <f t="shared" si="9"/>
        <v> </v>
      </c>
      <c r="F1177" s="55" t="str">
        <f t="shared" si="4"/>
        <v/>
      </c>
      <c r="G1177" s="202" t="str">
        <f t="shared" si="5"/>
        <v/>
      </c>
      <c r="H1177" s="202" t="str">
        <f t="shared" si="11"/>
        <v> </v>
      </c>
      <c r="I1177" s="205" t="str">
        <f t="shared" si="7"/>
        <v/>
      </c>
      <c r="J1177" s="205"/>
      <c r="K1177" s="205"/>
    </row>
    <row r="1178" ht="14.25" customHeight="1">
      <c r="A1178" s="55">
        <v>46833.0</v>
      </c>
      <c r="B1178" s="55" t="str">
        <f t="shared" si="10"/>
        <v>Primer dia</v>
      </c>
      <c r="C1178" s="202">
        <f t="shared" si="1"/>
        <v>21</v>
      </c>
      <c r="D1178" s="202" t="str">
        <f t="shared" si="2"/>
        <v> </v>
      </c>
      <c r="E1178" s="202" t="str">
        <f t="shared" si="9"/>
        <v> </v>
      </c>
      <c r="F1178" s="55" t="str">
        <f t="shared" si="4"/>
        <v/>
      </c>
      <c r="G1178" s="202" t="str">
        <f t="shared" si="5"/>
        <v/>
      </c>
      <c r="H1178" s="202" t="str">
        <f t="shared" si="11"/>
        <v> </v>
      </c>
      <c r="I1178" s="205" t="str">
        <f t="shared" si="7"/>
        <v/>
      </c>
      <c r="J1178" s="205"/>
      <c r="K1178" s="205"/>
    </row>
    <row r="1179" ht="14.25" customHeight="1">
      <c r="A1179" s="55">
        <v>46834.0</v>
      </c>
      <c r="B1179" s="55" t="str">
        <f t="shared" si="10"/>
        <v>Primer dia</v>
      </c>
      <c r="C1179" s="202">
        <f t="shared" si="1"/>
        <v>22</v>
      </c>
      <c r="D1179" s="202" t="str">
        <f t="shared" si="2"/>
        <v> </v>
      </c>
      <c r="E1179" s="202" t="str">
        <f t="shared" si="9"/>
        <v> </v>
      </c>
      <c r="F1179" s="55" t="str">
        <f t="shared" si="4"/>
        <v/>
      </c>
      <c r="G1179" s="202" t="str">
        <f t="shared" si="5"/>
        <v/>
      </c>
      <c r="H1179" s="202" t="str">
        <f t="shared" si="11"/>
        <v> </v>
      </c>
      <c r="I1179" s="205" t="str">
        <f t="shared" si="7"/>
        <v/>
      </c>
      <c r="J1179" s="205"/>
      <c r="K1179" s="205"/>
    </row>
    <row r="1180" ht="14.25" customHeight="1">
      <c r="A1180" s="55">
        <v>46835.0</v>
      </c>
      <c r="B1180" s="55" t="str">
        <f t="shared" si="10"/>
        <v>Primer dia</v>
      </c>
      <c r="C1180" s="202">
        <f t="shared" si="1"/>
        <v>23</v>
      </c>
      <c r="D1180" s="202" t="str">
        <f t="shared" si="2"/>
        <v> </v>
      </c>
      <c r="E1180" s="202" t="str">
        <f t="shared" si="9"/>
        <v> </v>
      </c>
      <c r="F1180" s="55" t="str">
        <f t="shared" si="4"/>
        <v/>
      </c>
      <c r="G1180" s="202" t="str">
        <f t="shared" si="5"/>
        <v/>
      </c>
      <c r="H1180" s="202" t="str">
        <f t="shared" si="11"/>
        <v> </v>
      </c>
      <c r="I1180" s="205" t="str">
        <f t="shared" si="7"/>
        <v/>
      </c>
      <c r="J1180" s="205"/>
      <c r="K1180" s="205"/>
    </row>
    <row r="1181" ht="14.25" customHeight="1">
      <c r="A1181" s="55">
        <v>46836.0</v>
      </c>
      <c r="B1181" s="55" t="str">
        <f t="shared" si="10"/>
        <v>Primer dia</v>
      </c>
      <c r="C1181" s="202">
        <f t="shared" si="1"/>
        <v>24</v>
      </c>
      <c r="D1181" s="202" t="str">
        <f t="shared" si="2"/>
        <v> </v>
      </c>
      <c r="E1181" s="202" t="str">
        <f t="shared" si="9"/>
        <v> </v>
      </c>
      <c r="F1181" s="55" t="str">
        <f t="shared" si="4"/>
        <v/>
      </c>
      <c r="G1181" s="202" t="str">
        <f t="shared" si="5"/>
        <v/>
      </c>
      <c r="H1181" s="202" t="str">
        <f t="shared" si="11"/>
        <v> </v>
      </c>
      <c r="I1181" s="205" t="str">
        <f t="shared" si="7"/>
        <v/>
      </c>
      <c r="J1181" s="205"/>
      <c r="K1181" s="205"/>
    </row>
    <row r="1182" ht="14.25" customHeight="1">
      <c r="A1182" s="55">
        <v>46837.0</v>
      </c>
      <c r="B1182" s="55" t="str">
        <f t="shared" si="10"/>
        <v>Primer dia</v>
      </c>
      <c r="C1182" s="202">
        <f t="shared" si="1"/>
        <v>25</v>
      </c>
      <c r="D1182" s="202" t="str">
        <f t="shared" si="2"/>
        <v> </v>
      </c>
      <c r="E1182" s="202" t="str">
        <f t="shared" si="9"/>
        <v> </v>
      </c>
      <c r="F1182" s="55" t="str">
        <f t="shared" si="4"/>
        <v/>
      </c>
      <c r="G1182" s="202" t="str">
        <f t="shared" si="5"/>
        <v/>
      </c>
      <c r="H1182" s="202" t="str">
        <f t="shared" si="11"/>
        <v> </v>
      </c>
      <c r="I1182" s="205" t="str">
        <f t="shared" si="7"/>
        <v/>
      </c>
      <c r="J1182" s="205"/>
      <c r="K1182" s="205"/>
    </row>
    <row r="1183" ht="14.25" customHeight="1">
      <c r="A1183" s="55">
        <v>46838.0</v>
      </c>
      <c r="B1183" s="55" t="str">
        <f t="shared" si="10"/>
        <v>Primer dia</v>
      </c>
      <c r="C1183" s="202">
        <f t="shared" si="1"/>
        <v>26</v>
      </c>
      <c r="D1183" s="202" t="str">
        <f t="shared" si="2"/>
        <v> </v>
      </c>
      <c r="E1183" s="202" t="str">
        <f t="shared" si="9"/>
        <v> </v>
      </c>
      <c r="F1183" s="55" t="str">
        <f t="shared" si="4"/>
        <v/>
      </c>
      <c r="G1183" s="202" t="str">
        <f t="shared" si="5"/>
        <v/>
      </c>
      <c r="H1183" s="202" t="str">
        <f t="shared" si="11"/>
        <v> </v>
      </c>
      <c r="I1183" s="205" t="str">
        <f t="shared" si="7"/>
        <v/>
      </c>
      <c r="J1183" s="205"/>
      <c r="K1183" s="205"/>
    </row>
    <row r="1184" ht="14.25" customHeight="1">
      <c r="A1184" s="55">
        <v>46839.0</v>
      </c>
      <c r="B1184" s="55" t="str">
        <f t="shared" si="10"/>
        <v>Primer dia</v>
      </c>
      <c r="C1184" s="202">
        <f t="shared" si="1"/>
        <v>27</v>
      </c>
      <c r="D1184" s="202" t="str">
        <f t="shared" si="2"/>
        <v> </v>
      </c>
      <c r="E1184" s="202" t="str">
        <f t="shared" si="9"/>
        <v> </v>
      </c>
      <c r="F1184" s="55" t="str">
        <f t="shared" si="4"/>
        <v/>
      </c>
      <c r="G1184" s="202" t="str">
        <f t="shared" si="5"/>
        <v/>
      </c>
      <c r="H1184" s="202" t="str">
        <f t="shared" si="11"/>
        <v> </v>
      </c>
      <c r="I1184" s="205" t="str">
        <f t="shared" si="7"/>
        <v/>
      </c>
      <c r="J1184" s="205"/>
      <c r="K1184" s="205"/>
    </row>
    <row r="1185" ht="14.25" customHeight="1">
      <c r="A1185" s="55">
        <v>46840.0</v>
      </c>
      <c r="B1185" s="55" t="str">
        <f t="shared" si="10"/>
        <v>Primer dia</v>
      </c>
      <c r="C1185" s="202">
        <f t="shared" si="1"/>
        <v>28</v>
      </c>
      <c r="D1185" s="202" t="str">
        <f t="shared" si="2"/>
        <v> </v>
      </c>
      <c r="E1185" s="202" t="str">
        <f t="shared" si="9"/>
        <v> </v>
      </c>
      <c r="F1185" s="55" t="str">
        <f t="shared" si="4"/>
        <v/>
      </c>
      <c r="G1185" s="202" t="str">
        <f t="shared" si="5"/>
        <v/>
      </c>
      <c r="H1185" s="202" t="str">
        <f t="shared" si="11"/>
        <v> </v>
      </c>
      <c r="I1185" s="205" t="str">
        <f t="shared" si="7"/>
        <v/>
      </c>
      <c r="J1185" s="205"/>
      <c r="K1185" s="205"/>
    </row>
    <row r="1186" ht="14.25" customHeight="1">
      <c r="A1186" s="55">
        <v>46841.0</v>
      </c>
      <c r="B1186" s="55" t="str">
        <f t="shared" si="10"/>
        <v>Primer dia</v>
      </c>
      <c r="C1186" s="202">
        <f t="shared" si="1"/>
        <v>29</v>
      </c>
      <c r="D1186" s="202" t="str">
        <f t="shared" si="2"/>
        <v> </v>
      </c>
      <c r="E1186" s="202" t="str">
        <f t="shared" si="9"/>
        <v> </v>
      </c>
      <c r="F1186" s="55" t="str">
        <f t="shared" si="4"/>
        <v/>
      </c>
      <c r="G1186" s="202" t="str">
        <f t="shared" si="5"/>
        <v/>
      </c>
      <c r="H1186" s="202" t="str">
        <f t="shared" si="11"/>
        <v> </v>
      </c>
      <c r="I1186" s="205" t="str">
        <f t="shared" si="7"/>
        <v/>
      </c>
      <c r="J1186" s="205"/>
      <c r="K1186" s="205"/>
    </row>
    <row r="1187" ht="14.25" customHeight="1">
      <c r="A1187" s="55">
        <v>46842.0</v>
      </c>
      <c r="B1187" s="55" t="str">
        <f t="shared" si="10"/>
        <v>Primer dia</v>
      </c>
      <c r="C1187" s="202">
        <f t="shared" si="1"/>
        <v>30</v>
      </c>
      <c r="D1187" s="202" t="str">
        <f t="shared" si="2"/>
        <v> </v>
      </c>
      <c r="E1187" s="202" t="str">
        <f t="shared" si="9"/>
        <v> </v>
      </c>
      <c r="F1187" s="55" t="str">
        <f t="shared" si="4"/>
        <v/>
      </c>
      <c r="G1187" s="202" t="str">
        <f t="shared" si="5"/>
        <v/>
      </c>
      <c r="H1187" s="202" t="str">
        <f t="shared" si="11"/>
        <v> </v>
      </c>
      <c r="I1187" s="205" t="str">
        <f t="shared" si="7"/>
        <v/>
      </c>
      <c r="J1187" s="205"/>
      <c r="K1187" s="205"/>
    </row>
    <row r="1188" ht="14.25" customHeight="1">
      <c r="A1188" s="55">
        <v>46843.0</v>
      </c>
      <c r="B1188" s="55" t="str">
        <f t="shared" si="10"/>
        <v>Primer dia</v>
      </c>
      <c r="C1188" s="202">
        <f t="shared" si="1"/>
        <v>31</v>
      </c>
      <c r="D1188" s="202" t="str">
        <f t="shared" si="2"/>
        <v> </v>
      </c>
      <c r="E1188" s="202" t="str">
        <f t="shared" si="9"/>
        <v> </v>
      </c>
      <c r="F1188" s="55" t="str">
        <f t="shared" si="4"/>
        <v/>
      </c>
      <c r="G1188" s="202" t="str">
        <f t="shared" si="5"/>
        <v/>
      </c>
      <c r="H1188" s="202" t="str">
        <f t="shared" si="11"/>
        <v> </v>
      </c>
      <c r="I1188" s="205" t="str">
        <f t="shared" si="7"/>
        <v/>
      </c>
      <c r="J1188" s="205"/>
      <c r="K1188" s="205"/>
    </row>
    <row r="1189" ht="14.25" customHeight="1">
      <c r="A1189" s="55">
        <v>46844.0</v>
      </c>
      <c r="B1189" s="55" t="str">
        <f t="shared" si="10"/>
        <v>Primer dia</v>
      </c>
      <c r="C1189" s="202">
        <f t="shared" si="1"/>
        <v>1</v>
      </c>
      <c r="D1189" s="202" t="str">
        <f t="shared" si="2"/>
        <v> </v>
      </c>
      <c r="E1189" s="202" t="str">
        <f t="shared" si="9"/>
        <v> </v>
      </c>
      <c r="F1189" s="55" t="str">
        <f t="shared" si="4"/>
        <v/>
      </c>
      <c r="G1189" s="202" t="str">
        <f t="shared" si="5"/>
        <v/>
      </c>
      <c r="H1189" s="202" t="str">
        <f t="shared" si="11"/>
        <v> </v>
      </c>
      <c r="I1189" s="205" t="str">
        <f t="shared" si="7"/>
        <v/>
      </c>
      <c r="J1189" s="205"/>
      <c r="K1189" s="205"/>
    </row>
    <row r="1190" ht="14.25" customHeight="1">
      <c r="A1190" s="55">
        <v>46845.0</v>
      </c>
      <c r="B1190" s="55" t="str">
        <f t="shared" si="10"/>
        <v>Primer dia</v>
      </c>
      <c r="C1190" s="202">
        <f t="shared" si="1"/>
        <v>2</v>
      </c>
      <c r="D1190" s="202" t="str">
        <f t="shared" si="2"/>
        <v> </v>
      </c>
      <c r="E1190" s="202">
        <f t="shared" si="9"/>
        <v>2</v>
      </c>
      <c r="F1190" s="55">
        <f t="shared" si="4"/>
        <v>46845</v>
      </c>
      <c r="G1190" s="202">
        <f t="shared" si="5"/>
        <v>53</v>
      </c>
      <c r="H1190" s="202" t="str">
        <f t="shared" si="11"/>
        <v> </v>
      </c>
      <c r="I1190" s="205" t="str">
        <f t="shared" si="7"/>
        <v/>
      </c>
      <c r="J1190" s="205"/>
      <c r="K1190" s="205"/>
    </row>
    <row r="1191" ht="14.25" customHeight="1">
      <c r="A1191" s="55">
        <v>46846.0</v>
      </c>
      <c r="B1191" s="55" t="str">
        <f t="shared" si="10"/>
        <v>Primer dia</v>
      </c>
      <c r="C1191" s="202">
        <f t="shared" si="1"/>
        <v>3</v>
      </c>
      <c r="D1191" s="202" t="str">
        <f t="shared" si="2"/>
        <v> </v>
      </c>
      <c r="E1191" s="202" t="str">
        <f t="shared" si="9"/>
        <v> </v>
      </c>
      <c r="F1191" s="55" t="str">
        <f t="shared" si="4"/>
        <v/>
      </c>
      <c r="G1191" s="202" t="str">
        <f t="shared" si="5"/>
        <v/>
      </c>
      <c r="H1191" s="202" t="str">
        <f t="shared" si="11"/>
        <v> </v>
      </c>
      <c r="I1191" s="205" t="str">
        <f t="shared" si="7"/>
        <v/>
      </c>
      <c r="J1191" s="205"/>
      <c r="K1191" s="205"/>
    </row>
    <row r="1192" ht="14.25" customHeight="1">
      <c r="A1192" s="55">
        <v>46847.0</v>
      </c>
      <c r="B1192" s="55" t="str">
        <f t="shared" si="10"/>
        <v>Primer dia</v>
      </c>
      <c r="C1192" s="202">
        <f t="shared" si="1"/>
        <v>4</v>
      </c>
      <c r="D1192" s="202" t="str">
        <f t="shared" si="2"/>
        <v> </v>
      </c>
      <c r="E1192" s="202" t="str">
        <f t="shared" si="9"/>
        <v> </v>
      </c>
      <c r="F1192" s="55" t="str">
        <f t="shared" si="4"/>
        <v/>
      </c>
      <c r="G1192" s="202" t="str">
        <f t="shared" si="5"/>
        <v/>
      </c>
      <c r="H1192" s="202" t="str">
        <f t="shared" si="11"/>
        <v> </v>
      </c>
      <c r="I1192" s="205" t="str">
        <f t="shared" si="7"/>
        <v/>
      </c>
      <c r="J1192" s="205"/>
      <c r="K1192" s="205"/>
    </row>
    <row r="1193" ht="14.25" customHeight="1">
      <c r="A1193" s="55">
        <v>46848.0</v>
      </c>
      <c r="B1193" s="55" t="str">
        <f t="shared" si="10"/>
        <v>Primer dia</v>
      </c>
      <c r="C1193" s="202">
        <f t="shared" si="1"/>
        <v>5</v>
      </c>
      <c r="D1193" s="202" t="str">
        <f t="shared" si="2"/>
        <v> </v>
      </c>
      <c r="E1193" s="202" t="str">
        <f t="shared" si="9"/>
        <v> </v>
      </c>
      <c r="F1193" s="55" t="str">
        <f t="shared" si="4"/>
        <v/>
      </c>
      <c r="G1193" s="202" t="str">
        <f t="shared" si="5"/>
        <v/>
      </c>
      <c r="H1193" s="202" t="str">
        <f t="shared" si="11"/>
        <v> </v>
      </c>
      <c r="I1193" s="205" t="str">
        <f t="shared" si="7"/>
        <v/>
      </c>
      <c r="J1193" s="205"/>
      <c r="K1193" s="205"/>
    </row>
    <row r="1194" ht="14.25" customHeight="1">
      <c r="A1194" s="55">
        <v>46849.0</v>
      </c>
      <c r="B1194" s="55" t="str">
        <f t="shared" si="10"/>
        <v>Primer dia</v>
      </c>
      <c r="C1194" s="202">
        <f t="shared" si="1"/>
        <v>6</v>
      </c>
      <c r="D1194" s="202" t="str">
        <f t="shared" si="2"/>
        <v> </v>
      </c>
      <c r="E1194" s="202" t="str">
        <f t="shared" si="9"/>
        <v> </v>
      </c>
      <c r="F1194" s="55" t="str">
        <f t="shared" si="4"/>
        <v/>
      </c>
      <c r="G1194" s="202" t="str">
        <f t="shared" si="5"/>
        <v/>
      </c>
      <c r="H1194" s="202" t="str">
        <f t="shared" si="11"/>
        <v> </v>
      </c>
      <c r="I1194" s="205" t="str">
        <f t="shared" si="7"/>
        <v/>
      </c>
      <c r="J1194" s="205"/>
      <c r="K1194" s="205"/>
    </row>
    <row r="1195" ht="14.25" customHeight="1">
      <c r="A1195" s="55">
        <v>46850.0</v>
      </c>
      <c r="B1195" s="55" t="str">
        <f t="shared" si="10"/>
        <v>Primer dia</v>
      </c>
      <c r="C1195" s="202">
        <f t="shared" si="1"/>
        <v>7</v>
      </c>
      <c r="D1195" s="202" t="str">
        <f t="shared" si="2"/>
        <v> </v>
      </c>
      <c r="E1195" s="202" t="str">
        <f t="shared" si="9"/>
        <v> </v>
      </c>
      <c r="F1195" s="55" t="str">
        <f t="shared" si="4"/>
        <v/>
      </c>
      <c r="G1195" s="202" t="str">
        <f t="shared" si="5"/>
        <v/>
      </c>
      <c r="H1195" s="202" t="str">
        <f t="shared" si="11"/>
        <v> </v>
      </c>
      <c r="I1195" s="205" t="str">
        <f t="shared" si="7"/>
        <v/>
      </c>
      <c r="J1195" s="205"/>
      <c r="K1195" s="205"/>
    </row>
    <row r="1196" ht="14.25" customHeight="1">
      <c r="A1196" s="55">
        <v>46851.0</v>
      </c>
      <c r="B1196" s="55" t="str">
        <f t="shared" si="10"/>
        <v>Primer dia</v>
      </c>
      <c r="C1196" s="202">
        <f t="shared" si="1"/>
        <v>8</v>
      </c>
      <c r="D1196" s="202" t="str">
        <f t="shared" si="2"/>
        <v> </v>
      </c>
      <c r="E1196" s="202" t="str">
        <f t="shared" si="9"/>
        <v> </v>
      </c>
      <c r="F1196" s="55" t="str">
        <f t="shared" si="4"/>
        <v/>
      </c>
      <c r="G1196" s="202" t="str">
        <f t="shared" si="5"/>
        <v/>
      </c>
      <c r="H1196" s="202" t="str">
        <f t="shared" si="11"/>
        <v> </v>
      </c>
      <c r="I1196" s="205" t="str">
        <f t="shared" si="7"/>
        <v/>
      </c>
      <c r="J1196" s="205"/>
      <c r="K1196" s="205"/>
    </row>
    <row r="1197" ht="14.25" customHeight="1">
      <c r="A1197" s="55">
        <v>46852.0</v>
      </c>
      <c r="B1197" s="55" t="str">
        <f t="shared" si="10"/>
        <v>Primer dia</v>
      </c>
      <c r="C1197" s="202">
        <f t="shared" si="1"/>
        <v>9</v>
      </c>
      <c r="D1197" s="202" t="str">
        <f t="shared" si="2"/>
        <v> </v>
      </c>
      <c r="E1197" s="202" t="str">
        <f t="shared" si="9"/>
        <v> </v>
      </c>
      <c r="F1197" s="55" t="str">
        <f t="shared" si="4"/>
        <v/>
      </c>
      <c r="G1197" s="202" t="str">
        <f t="shared" si="5"/>
        <v/>
      </c>
      <c r="H1197" s="202" t="str">
        <f t="shared" si="11"/>
        <v> </v>
      </c>
      <c r="I1197" s="205" t="str">
        <f t="shared" si="7"/>
        <v/>
      </c>
      <c r="J1197" s="205"/>
      <c r="K1197" s="205"/>
    </row>
    <row r="1198" ht="14.25" customHeight="1">
      <c r="A1198" s="55">
        <v>46853.0</v>
      </c>
      <c r="B1198" s="55" t="str">
        <f t="shared" si="10"/>
        <v>Primer dia</v>
      </c>
      <c r="C1198" s="202">
        <f t="shared" si="1"/>
        <v>10</v>
      </c>
      <c r="D1198" s="202" t="str">
        <f t="shared" si="2"/>
        <v> </v>
      </c>
      <c r="E1198" s="202" t="str">
        <f t="shared" si="9"/>
        <v> </v>
      </c>
      <c r="F1198" s="55" t="str">
        <f t="shared" si="4"/>
        <v/>
      </c>
      <c r="G1198" s="202" t="str">
        <f t="shared" si="5"/>
        <v/>
      </c>
      <c r="H1198" s="202" t="str">
        <f t="shared" si="11"/>
        <v> </v>
      </c>
      <c r="I1198" s="205" t="str">
        <f t="shared" si="7"/>
        <v/>
      </c>
      <c r="J1198" s="205"/>
      <c r="K1198" s="205"/>
    </row>
    <row r="1199" ht="14.25" customHeight="1">
      <c r="A1199" s="55">
        <v>46854.0</v>
      </c>
      <c r="B1199" s="55" t="str">
        <f t="shared" si="10"/>
        <v>Primer dia</v>
      </c>
      <c r="C1199" s="202">
        <f t="shared" si="1"/>
        <v>11</v>
      </c>
      <c r="D1199" s="202" t="str">
        <f t="shared" si="2"/>
        <v> </v>
      </c>
      <c r="E1199" s="202" t="str">
        <f t="shared" si="9"/>
        <v> </v>
      </c>
      <c r="F1199" s="55" t="str">
        <f t="shared" si="4"/>
        <v/>
      </c>
      <c r="G1199" s="202" t="str">
        <f t="shared" si="5"/>
        <v/>
      </c>
      <c r="H1199" s="202" t="str">
        <f t="shared" si="11"/>
        <v> </v>
      </c>
      <c r="I1199" s="205" t="str">
        <f t="shared" si="7"/>
        <v/>
      </c>
      <c r="J1199" s="205"/>
      <c r="K1199" s="205"/>
    </row>
    <row r="1200" ht="14.25" customHeight="1">
      <c r="A1200" s="55">
        <v>46855.0</v>
      </c>
      <c r="B1200" s="55" t="str">
        <f t="shared" si="10"/>
        <v>Primer dia</v>
      </c>
      <c r="C1200" s="202">
        <f t="shared" si="1"/>
        <v>12</v>
      </c>
      <c r="D1200" s="202" t="str">
        <f t="shared" si="2"/>
        <v> </v>
      </c>
      <c r="E1200" s="202" t="str">
        <f t="shared" si="9"/>
        <v> </v>
      </c>
      <c r="F1200" s="55" t="str">
        <f t="shared" si="4"/>
        <v/>
      </c>
      <c r="G1200" s="202" t="str">
        <f t="shared" si="5"/>
        <v/>
      </c>
      <c r="H1200" s="202" t="str">
        <f t="shared" si="11"/>
        <v> </v>
      </c>
      <c r="I1200" s="205" t="str">
        <f t="shared" si="7"/>
        <v/>
      </c>
      <c r="J1200" s="205"/>
      <c r="K1200" s="205"/>
    </row>
    <row r="1201" ht="14.25" customHeight="1">
      <c r="A1201" s="55">
        <v>46856.0</v>
      </c>
      <c r="B1201" s="55" t="str">
        <f t="shared" si="10"/>
        <v>Primer dia</v>
      </c>
      <c r="C1201" s="202">
        <f t="shared" si="1"/>
        <v>13</v>
      </c>
      <c r="D1201" s="202" t="str">
        <f t="shared" si="2"/>
        <v> </v>
      </c>
      <c r="E1201" s="202" t="str">
        <f t="shared" si="9"/>
        <v> </v>
      </c>
      <c r="F1201" s="55" t="str">
        <f t="shared" si="4"/>
        <v/>
      </c>
      <c r="G1201" s="202" t="str">
        <f t="shared" si="5"/>
        <v/>
      </c>
      <c r="H1201" s="202" t="str">
        <f t="shared" si="11"/>
        <v> </v>
      </c>
      <c r="I1201" s="205" t="str">
        <f t="shared" si="7"/>
        <v/>
      </c>
      <c r="J1201" s="205"/>
      <c r="K1201" s="205"/>
    </row>
    <row r="1202" ht="14.25" customHeight="1">
      <c r="A1202" s="55">
        <v>46857.0</v>
      </c>
      <c r="B1202" s="55" t="str">
        <f t="shared" si="10"/>
        <v>Primer dia</v>
      </c>
      <c r="C1202" s="202">
        <f t="shared" si="1"/>
        <v>14</v>
      </c>
      <c r="D1202" s="202" t="str">
        <f t="shared" si="2"/>
        <v> </v>
      </c>
      <c r="E1202" s="202" t="str">
        <f t="shared" si="9"/>
        <v> </v>
      </c>
      <c r="F1202" s="55" t="str">
        <f t="shared" si="4"/>
        <v/>
      </c>
      <c r="G1202" s="202" t="str">
        <f t="shared" si="5"/>
        <v/>
      </c>
      <c r="H1202" s="202" t="str">
        <f t="shared" si="11"/>
        <v> </v>
      </c>
      <c r="I1202" s="205" t="str">
        <f t="shared" si="7"/>
        <v/>
      </c>
      <c r="J1202" s="205"/>
      <c r="K1202" s="205"/>
    </row>
    <row r="1203" ht="14.25" customHeight="1">
      <c r="A1203" s="55">
        <v>46858.0</v>
      </c>
      <c r="B1203" s="55" t="str">
        <f t="shared" si="10"/>
        <v>Primer dia</v>
      </c>
      <c r="C1203" s="202">
        <f t="shared" si="1"/>
        <v>15</v>
      </c>
      <c r="D1203" s="202" t="str">
        <f t="shared" si="2"/>
        <v> </v>
      </c>
      <c r="E1203" s="202" t="str">
        <f t="shared" si="9"/>
        <v> </v>
      </c>
      <c r="F1203" s="55" t="str">
        <f t="shared" si="4"/>
        <v/>
      </c>
      <c r="G1203" s="202" t="str">
        <f t="shared" si="5"/>
        <v/>
      </c>
      <c r="H1203" s="202" t="str">
        <f t="shared" si="11"/>
        <v> </v>
      </c>
      <c r="I1203" s="205" t="str">
        <f t="shared" si="7"/>
        <v/>
      </c>
      <c r="J1203" s="205"/>
      <c r="K1203" s="205"/>
    </row>
    <row r="1204" ht="14.25" customHeight="1">
      <c r="A1204" s="55">
        <v>46859.0</v>
      </c>
      <c r="B1204" s="55" t="str">
        <f t="shared" si="10"/>
        <v>Primer dia</v>
      </c>
      <c r="C1204" s="202">
        <f t="shared" si="1"/>
        <v>16</v>
      </c>
      <c r="D1204" s="202" t="str">
        <f t="shared" si="2"/>
        <v> </v>
      </c>
      <c r="E1204" s="202" t="str">
        <f t="shared" si="9"/>
        <v> </v>
      </c>
      <c r="F1204" s="55" t="str">
        <f t="shared" si="4"/>
        <v/>
      </c>
      <c r="G1204" s="202" t="str">
        <f t="shared" si="5"/>
        <v/>
      </c>
      <c r="H1204" s="202" t="str">
        <f t="shared" si="11"/>
        <v> </v>
      </c>
      <c r="I1204" s="205" t="str">
        <f t="shared" si="7"/>
        <v/>
      </c>
      <c r="J1204" s="205"/>
      <c r="K1204" s="205"/>
    </row>
    <row r="1205" ht="14.25" customHeight="1">
      <c r="A1205" s="55">
        <v>46860.0</v>
      </c>
      <c r="B1205" s="55" t="str">
        <f t="shared" si="10"/>
        <v>Primer dia</v>
      </c>
      <c r="C1205" s="202">
        <f t="shared" si="1"/>
        <v>17</v>
      </c>
      <c r="D1205" s="202" t="str">
        <f t="shared" si="2"/>
        <v> </v>
      </c>
      <c r="E1205" s="202">
        <f t="shared" si="9"/>
        <v>17</v>
      </c>
      <c r="F1205" s="55">
        <f t="shared" si="4"/>
        <v>46860</v>
      </c>
      <c r="G1205" s="202">
        <f t="shared" si="5"/>
        <v>54</v>
      </c>
      <c r="H1205" s="202" t="str">
        <f t="shared" si="11"/>
        <v> </v>
      </c>
      <c r="I1205" s="205" t="str">
        <f t="shared" si="7"/>
        <v/>
      </c>
      <c r="J1205" s="205"/>
      <c r="K1205" s="205"/>
    </row>
    <row r="1206" ht="14.25" customHeight="1">
      <c r="A1206" s="55">
        <v>46861.0</v>
      </c>
      <c r="B1206" s="55" t="str">
        <f t="shared" si="10"/>
        <v>Primer dia</v>
      </c>
      <c r="C1206" s="202">
        <f t="shared" si="1"/>
        <v>18</v>
      </c>
      <c r="D1206" s="202" t="str">
        <f t="shared" si="2"/>
        <v> </v>
      </c>
      <c r="E1206" s="202" t="str">
        <f t="shared" si="9"/>
        <v> </v>
      </c>
      <c r="F1206" s="55" t="str">
        <f t="shared" si="4"/>
        <v/>
      </c>
      <c r="G1206" s="202" t="str">
        <f t="shared" si="5"/>
        <v/>
      </c>
      <c r="H1206" s="202" t="str">
        <f t="shared" si="11"/>
        <v> </v>
      </c>
      <c r="I1206" s="205" t="str">
        <f t="shared" si="7"/>
        <v/>
      </c>
      <c r="J1206" s="205"/>
      <c r="K1206" s="205"/>
    </row>
    <row r="1207" ht="14.25" customHeight="1">
      <c r="A1207" s="55">
        <v>46862.0</v>
      </c>
      <c r="B1207" s="55" t="str">
        <f t="shared" si="10"/>
        <v>Primer dia</v>
      </c>
      <c r="C1207" s="202">
        <f t="shared" si="1"/>
        <v>19</v>
      </c>
      <c r="D1207" s="202" t="str">
        <f t="shared" si="2"/>
        <v> </v>
      </c>
      <c r="E1207" s="202" t="str">
        <f t="shared" si="9"/>
        <v> </v>
      </c>
      <c r="F1207" s="55" t="str">
        <f t="shared" si="4"/>
        <v/>
      </c>
      <c r="G1207" s="202" t="str">
        <f t="shared" si="5"/>
        <v/>
      </c>
      <c r="H1207" s="202" t="str">
        <f t="shared" si="11"/>
        <v> </v>
      </c>
      <c r="I1207" s="205" t="str">
        <f t="shared" si="7"/>
        <v/>
      </c>
      <c r="J1207" s="205"/>
      <c r="K1207" s="205"/>
    </row>
    <row r="1208" ht="14.25" customHeight="1">
      <c r="A1208" s="55">
        <v>46863.0</v>
      </c>
      <c r="B1208" s="55" t="str">
        <f t="shared" si="10"/>
        <v>Primer dia</v>
      </c>
      <c r="C1208" s="202">
        <f t="shared" si="1"/>
        <v>20</v>
      </c>
      <c r="D1208" s="202" t="str">
        <f t="shared" si="2"/>
        <v> </v>
      </c>
      <c r="E1208" s="202" t="str">
        <f t="shared" si="9"/>
        <v> </v>
      </c>
      <c r="F1208" s="55" t="str">
        <f t="shared" si="4"/>
        <v/>
      </c>
      <c r="G1208" s="202" t="str">
        <f t="shared" si="5"/>
        <v/>
      </c>
      <c r="H1208" s="202" t="str">
        <f t="shared" si="11"/>
        <v> </v>
      </c>
      <c r="I1208" s="205" t="str">
        <f t="shared" si="7"/>
        <v/>
      </c>
      <c r="J1208" s="205"/>
      <c r="K1208" s="205"/>
    </row>
    <row r="1209" ht="14.25" customHeight="1">
      <c r="A1209" s="55">
        <v>46864.0</v>
      </c>
      <c r="B1209" s="55" t="str">
        <f t="shared" si="10"/>
        <v>Primer dia</v>
      </c>
      <c r="C1209" s="202">
        <f t="shared" si="1"/>
        <v>21</v>
      </c>
      <c r="D1209" s="202" t="str">
        <f t="shared" si="2"/>
        <v> </v>
      </c>
      <c r="E1209" s="202" t="str">
        <f t="shared" si="9"/>
        <v> </v>
      </c>
      <c r="F1209" s="55" t="str">
        <f t="shared" si="4"/>
        <v/>
      </c>
      <c r="G1209" s="202" t="str">
        <f t="shared" si="5"/>
        <v/>
      </c>
      <c r="H1209" s="202" t="str">
        <f t="shared" si="11"/>
        <v> </v>
      </c>
      <c r="I1209" s="205" t="str">
        <f t="shared" si="7"/>
        <v/>
      </c>
      <c r="J1209" s="205"/>
      <c r="K1209" s="205"/>
    </row>
    <row r="1210" ht="14.25" customHeight="1">
      <c r="A1210" s="55">
        <v>46865.0</v>
      </c>
      <c r="B1210" s="55" t="str">
        <f t="shared" si="10"/>
        <v>Primer dia</v>
      </c>
      <c r="C1210" s="202">
        <f t="shared" si="1"/>
        <v>22</v>
      </c>
      <c r="D1210" s="202" t="str">
        <f t="shared" si="2"/>
        <v> </v>
      </c>
      <c r="E1210" s="202" t="str">
        <f t="shared" si="9"/>
        <v> </v>
      </c>
      <c r="F1210" s="55" t="str">
        <f t="shared" si="4"/>
        <v/>
      </c>
      <c r="G1210" s="202" t="str">
        <f t="shared" si="5"/>
        <v/>
      </c>
      <c r="H1210" s="202" t="str">
        <f t="shared" si="11"/>
        <v> </v>
      </c>
      <c r="I1210" s="205" t="str">
        <f t="shared" si="7"/>
        <v/>
      </c>
      <c r="J1210" s="205"/>
      <c r="K1210" s="205"/>
    </row>
    <row r="1211" ht="14.25" customHeight="1">
      <c r="A1211" s="55">
        <v>46866.0</v>
      </c>
      <c r="B1211" s="55" t="str">
        <f t="shared" si="10"/>
        <v>Primer dia</v>
      </c>
      <c r="C1211" s="202">
        <f t="shared" si="1"/>
        <v>23</v>
      </c>
      <c r="D1211" s="202" t="str">
        <f t="shared" si="2"/>
        <v> </v>
      </c>
      <c r="E1211" s="202" t="str">
        <f t="shared" si="9"/>
        <v> </v>
      </c>
      <c r="F1211" s="55" t="str">
        <f t="shared" si="4"/>
        <v/>
      </c>
      <c r="G1211" s="202" t="str">
        <f t="shared" si="5"/>
        <v/>
      </c>
      <c r="H1211" s="202" t="str">
        <f t="shared" si="11"/>
        <v> </v>
      </c>
      <c r="I1211" s="205" t="str">
        <f t="shared" si="7"/>
        <v/>
      </c>
      <c r="J1211" s="205"/>
      <c r="K1211" s="205"/>
    </row>
    <row r="1212" ht="14.25" customHeight="1">
      <c r="A1212" s="55">
        <v>46867.0</v>
      </c>
      <c r="B1212" s="55" t="str">
        <f t="shared" si="10"/>
        <v>Primer dia</v>
      </c>
      <c r="C1212" s="202">
        <f t="shared" si="1"/>
        <v>24</v>
      </c>
      <c r="D1212" s="202" t="str">
        <f t="shared" si="2"/>
        <v> </v>
      </c>
      <c r="E1212" s="202" t="str">
        <f t="shared" si="9"/>
        <v> </v>
      </c>
      <c r="F1212" s="55" t="str">
        <f t="shared" si="4"/>
        <v/>
      </c>
      <c r="G1212" s="202" t="str">
        <f t="shared" si="5"/>
        <v/>
      </c>
      <c r="H1212" s="202" t="str">
        <f t="shared" si="11"/>
        <v> </v>
      </c>
      <c r="I1212" s="205" t="str">
        <f t="shared" si="7"/>
        <v/>
      </c>
      <c r="J1212" s="205"/>
      <c r="K1212" s="205"/>
    </row>
    <row r="1213" ht="14.25" customHeight="1">
      <c r="A1213" s="55">
        <v>46868.0</v>
      </c>
      <c r="B1213" s="55" t="str">
        <f t="shared" si="10"/>
        <v>Primer dia</v>
      </c>
      <c r="C1213" s="202">
        <f t="shared" si="1"/>
        <v>25</v>
      </c>
      <c r="D1213" s="202" t="str">
        <f t="shared" si="2"/>
        <v> </v>
      </c>
      <c r="E1213" s="202" t="str">
        <f t="shared" si="9"/>
        <v> </v>
      </c>
      <c r="F1213" s="55" t="str">
        <f t="shared" si="4"/>
        <v/>
      </c>
      <c r="G1213" s="202" t="str">
        <f t="shared" si="5"/>
        <v/>
      </c>
      <c r="H1213" s="202" t="str">
        <f t="shared" si="11"/>
        <v> </v>
      </c>
      <c r="I1213" s="205" t="str">
        <f t="shared" si="7"/>
        <v/>
      </c>
      <c r="J1213" s="205"/>
      <c r="K1213" s="205"/>
    </row>
    <row r="1214" ht="14.25" customHeight="1">
      <c r="A1214" s="55">
        <v>46869.0</v>
      </c>
      <c r="B1214" s="55" t="str">
        <f t="shared" si="10"/>
        <v>Primer dia</v>
      </c>
      <c r="C1214" s="202">
        <f t="shared" si="1"/>
        <v>26</v>
      </c>
      <c r="D1214" s="202" t="str">
        <f t="shared" si="2"/>
        <v> </v>
      </c>
      <c r="E1214" s="202" t="str">
        <f t="shared" si="9"/>
        <v> </v>
      </c>
      <c r="F1214" s="55" t="str">
        <f t="shared" si="4"/>
        <v/>
      </c>
      <c r="G1214" s="202" t="str">
        <f t="shared" si="5"/>
        <v/>
      </c>
      <c r="H1214" s="202" t="str">
        <f t="shared" si="11"/>
        <v> </v>
      </c>
      <c r="I1214" s="205" t="str">
        <f t="shared" si="7"/>
        <v/>
      </c>
      <c r="J1214" s="205"/>
      <c r="K1214" s="205"/>
    </row>
    <row r="1215" ht="14.25" customHeight="1">
      <c r="A1215" s="55">
        <v>46870.0</v>
      </c>
      <c r="B1215" s="55" t="str">
        <f t="shared" si="10"/>
        <v>Primer dia</v>
      </c>
      <c r="C1215" s="202">
        <f t="shared" si="1"/>
        <v>27</v>
      </c>
      <c r="D1215" s="202" t="str">
        <f t="shared" si="2"/>
        <v> </v>
      </c>
      <c r="E1215" s="202" t="str">
        <f t="shared" si="9"/>
        <v> </v>
      </c>
      <c r="F1215" s="55" t="str">
        <f t="shared" si="4"/>
        <v/>
      </c>
      <c r="G1215" s="202" t="str">
        <f t="shared" si="5"/>
        <v/>
      </c>
      <c r="H1215" s="202" t="str">
        <f t="shared" si="11"/>
        <v> </v>
      </c>
      <c r="I1215" s="205" t="str">
        <f t="shared" si="7"/>
        <v/>
      </c>
      <c r="J1215" s="205"/>
      <c r="K1215" s="205"/>
    </row>
    <row r="1216" ht="14.25" customHeight="1">
      <c r="A1216" s="55">
        <v>46871.0</v>
      </c>
      <c r="B1216" s="55" t="str">
        <f t="shared" si="10"/>
        <v>Primer dia</v>
      </c>
      <c r="C1216" s="202">
        <f t="shared" si="1"/>
        <v>28</v>
      </c>
      <c r="D1216" s="202" t="str">
        <f t="shared" si="2"/>
        <v> </v>
      </c>
      <c r="E1216" s="202" t="str">
        <f t="shared" si="9"/>
        <v> </v>
      </c>
      <c r="F1216" s="55" t="str">
        <f t="shared" si="4"/>
        <v/>
      </c>
      <c r="G1216" s="202" t="str">
        <f t="shared" si="5"/>
        <v/>
      </c>
      <c r="H1216" s="202" t="str">
        <f t="shared" si="11"/>
        <v> </v>
      </c>
      <c r="I1216" s="205" t="str">
        <f t="shared" si="7"/>
        <v/>
      </c>
      <c r="J1216" s="205"/>
      <c r="K1216" s="205"/>
    </row>
    <row r="1217" ht="14.25" customHeight="1">
      <c r="A1217" s="55">
        <v>46872.0</v>
      </c>
      <c r="B1217" s="55" t="str">
        <f t="shared" si="10"/>
        <v>Primer dia</v>
      </c>
      <c r="C1217" s="202">
        <f t="shared" si="1"/>
        <v>29</v>
      </c>
      <c r="D1217" s="202" t="str">
        <f t="shared" si="2"/>
        <v> </v>
      </c>
      <c r="E1217" s="202" t="str">
        <f t="shared" si="9"/>
        <v> </v>
      </c>
      <c r="F1217" s="55" t="str">
        <f t="shared" si="4"/>
        <v/>
      </c>
      <c r="G1217" s="202" t="str">
        <f t="shared" si="5"/>
        <v/>
      </c>
      <c r="H1217" s="202" t="str">
        <f t="shared" si="11"/>
        <v> </v>
      </c>
      <c r="I1217" s="205" t="str">
        <f t="shared" si="7"/>
        <v/>
      </c>
      <c r="J1217" s="205"/>
      <c r="K1217" s="205"/>
    </row>
    <row r="1218" ht="14.25" customHeight="1">
      <c r="A1218" s="55">
        <v>46873.0</v>
      </c>
      <c r="B1218" s="55" t="str">
        <f t="shared" si="10"/>
        <v>Primer dia</v>
      </c>
      <c r="C1218" s="202">
        <f t="shared" si="1"/>
        <v>30</v>
      </c>
      <c r="D1218" s="202" t="str">
        <f t="shared" si="2"/>
        <v> </v>
      </c>
      <c r="E1218" s="202" t="str">
        <f t="shared" si="9"/>
        <v> </v>
      </c>
      <c r="F1218" s="55" t="str">
        <f t="shared" si="4"/>
        <v/>
      </c>
      <c r="G1218" s="202" t="str">
        <f t="shared" si="5"/>
        <v/>
      </c>
      <c r="H1218" s="202" t="str">
        <f t="shared" si="11"/>
        <v> </v>
      </c>
      <c r="I1218" s="205" t="str">
        <f t="shared" si="7"/>
        <v/>
      </c>
      <c r="J1218" s="205"/>
      <c r="K1218" s="205"/>
    </row>
    <row r="1219" ht="14.25" customHeight="1">
      <c r="A1219" s="55">
        <v>46874.0</v>
      </c>
      <c r="B1219" s="55" t="str">
        <f t="shared" si="10"/>
        <v>Primer dia</v>
      </c>
      <c r="C1219" s="202">
        <f t="shared" si="1"/>
        <v>1</v>
      </c>
      <c r="D1219" s="202" t="str">
        <f t="shared" si="2"/>
        <v> </v>
      </c>
      <c r="E1219" s="202" t="str">
        <f t="shared" si="9"/>
        <v> </v>
      </c>
      <c r="F1219" s="55" t="str">
        <f t="shared" si="4"/>
        <v/>
      </c>
      <c r="G1219" s="202" t="str">
        <f t="shared" si="5"/>
        <v/>
      </c>
      <c r="H1219" s="202" t="str">
        <f t="shared" si="11"/>
        <v> </v>
      </c>
      <c r="I1219" s="205" t="str">
        <f t="shared" si="7"/>
        <v/>
      </c>
      <c r="J1219" s="205"/>
      <c r="K1219" s="205"/>
    </row>
    <row r="1220" ht="14.25" customHeight="1">
      <c r="A1220" s="55">
        <v>46875.0</v>
      </c>
      <c r="B1220" s="55" t="str">
        <f t="shared" si="10"/>
        <v>Primer dia</v>
      </c>
      <c r="C1220" s="202">
        <f t="shared" si="1"/>
        <v>2</v>
      </c>
      <c r="D1220" s="202" t="str">
        <f t="shared" si="2"/>
        <v> </v>
      </c>
      <c r="E1220" s="202">
        <f t="shared" si="9"/>
        <v>2</v>
      </c>
      <c r="F1220" s="55">
        <f t="shared" si="4"/>
        <v>46875</v>
      </c>
      <c r="G1220" s="202">
        <f t="shared" si="5"/>
        <v>55</v>
      </c>
      <c r="H1220" s="202" t="str">
        <f t="shared" si="11"/>
        <v> </v>
      </c>
      <c r="I1220" s="205" t="str">
        <f t="shared" si="7"/>
        <v/>
      </c>
      <c r="J1220" s="205"/>
      <c r="K1220" s="205"/>
    </row>
    <row r="1221" ht="14.25" customHeight="1">
      <c r="A1221" s="55">
        <v>46876.0</v>
      </c>
      <c r="B1221" s="55" t="str">
        <f t="shared" si="10"/>
        <v>Primer dia</v>
      </c>
      <c r="C1221" s="202">
        <f t="shared" si="1"/>
        <v>3</v>
      </c>
      <c r="D1221" s="202" t="str">
        <f t="shared" si="2"/>
        <v> </v>
      </c>
      <c r="E1221" s="202" t="str">
        <f t="shared" si="9"/>
        <v> </v>
      </c>
      <c r="F1221" s="55" t="str">
        <f t="shared" si="4"/>
        <v/>
      </c>
      <c r="G1221" s="202" t="str">
        <f t="shared" si="5"/>
        <v/>
      </c>
      <c r="H1221" s="202" t="str">
        <f t="shared" si="11"/>
        <v> </v>
      </c>
      <c r="I1221" s="205" t="str">
        <f t="shared" si="7"/>
        <v/>
      </c>
      <c r="J1221" s="205"/>
      <c r="K1221" s="205"/>
    </row>
    <row r="1222" ht="14.25" customHeight="1">
      <c r="A1222" s="55">
        <v>46877.0</v>
      </c>
      <c r="B1222" s="55" t="str">
        <f t="shared" si="10"/>
        <v>Primer dia</v>
      </c>
      <c r="C1222" s="202">
        <f t="shared" si="1"/>
        <v>4</v>
      </c>
      <c r="D1222" s="202" t="str">
        <f t="shared" si="2"/>
        <v> </v>
      </c>
      <c r="E1222" s="202" t="str">
        <f t="shared" si="9"/>
        <v> </v>
      </c>
      <c r="F1222" s="55" t="str">
        <f t="shared" si="4"/>
        <v/>
      </c>
      <c r="G1222" s="202" t="str">
        <f t="shared" si="5"/>
        <v/>
      </c>
      <c r="H1222" s="202" t="str">
        <f t="shared" si="11"/>
        <v> </v>
      </c>
      <c r="I1222" s="205" t="str">
        <f t="shared" si="7"/>
        <v/>
      </c>
      <c r="J1222" s="205"/>
      <c r="K1222" s="205"/>
    </row>
    <row r="1223" ht="14.25" customHeight="1">
      <c r="A1223" s="55">
        <v>46878.0</v>
      </c>
      <c r="B1223" s="55" t="str">
        <f t="shared" si="10"/>
        <v>Primer dia</v>
      </c>
      <c r="C1223" s="202">
        <f t="shared" si="1"/>
        <v>5</v>
      </c>
      <c r="D1223" s="202" t="str">
        <f t="shared" si="2"/>
        <v> </v>
      </c>
      <c r="E1223" s="202" t="str">
        <f t="shared" si="9"/>
        <v> </v>
      </c>
      <c r="F1223" s="55" t="str">
        <f t="shared" si="4"/>
        <v/>
      </c>
      <c r="G1223" s="202" t="str">
        <f t="shared" si="5"/>
        <v/>
      </c>
      <c r="H1223" s="202" t="str">
        <f t="shared" si="11"/>
        <v> </v>
      </c>
      <c r="I1223" s="205" t="str">
        <f t="shared" si="7"/>
        <v/>
      </c>
      <c r="J1223" s="205"/>
      <c r="K1223" s="205"/>
    </row>
    <row r="1224" ht="14.25" customHeight="1">
      <c r="A1224" s="55">
        <v>46879.0</v>
      </c>
      <c r="B1224" s="55" t="str">
        <f t="shared" si="10"/>
        <v>Primer dia</v>
      </c>
      <c r="C1224" s="202">
        <f t="shared" si="1"/>
        <v>6</v>
      </c>
      <c r="D1224" s="202" t="str">
        <f t="shared" si="2"/>
        <v> </v>
      </c>
      <c r="E1224" s="202" t="str">
        <f t="shared" si="9"/>
        <v> </v>
      </c>
      <c r="F1224" s="55" t="str">
        <f t="shared" si="4"/>
        <v/>
      </c>
      <c r="G1224" s="202" t="str">
        <f t="shared" si="5"/>
        <v/>
      </c>
      <c r="H1224" s="202" t="str">
        <f t="shared" si="11"/>
        <v> </v>
      </c>
      <c r="I1224" s="205" t="str">
        <f t="shared" si="7"/>
        <v/>
      </c>
      <c r="J1224" s="205"/>
      <c r="K1224" s="205"/>
    </row>
    <row r="1225" ht="14.25" customHeight="1">
      <c r="A1225" s="55">
        <v>46880.0</v>
      </c>
      <c r="B1225" s="55" t="str">
        <f t="shared" si="10"/>
        <v>Primer dia</v>
      </c>
      <c r="C1225" s="202">
        <f t="shared" si="1"/>
        <v>7</v>
      </c>
      <c r="D1225" s="202" t="str">
        <f t="shared" si="2"/>
        <v> </v>
      </c>
      <c r="E1225" s="202" t="str">
        <f t="shared" si="9"/>
        <v> </v>
      </c>
      <c r="F1225" s="55" t="str">
        <f t="shared" si="4"/>
        <v/>
      </c>
      <c r="G1225" s="202" t="str">
        <f t="shared" si="5"/>
        <v/>
      </c>
      <c r="H1225" s="202" t="str">
        <f t="shared" si="11"/>
        <v> </v>
      </c>
      <c r="I1225" s="205" t="str">
        <f t="shared" si="7"/>
        <v/>
      </c>
      <c r="J1225" s="205"/>
      <c r="K1225" s="205"/>
    </row>
    <row r="1226" ht="14.25" customHeight="1">
      <c r="A1226" s="55">
        <v>46881.0</v>
      </c>
      <c r="B1226" s="55" t="str">
        <f t="shared" si="10"/>
        <v>Primer dia</v>
      </c>
      <c r="C1226" s="202">
        <f t="shared" si="1"/>
        <v>8</v>
      </c>
      <c r="D1226" s="202" t="str">
        <f t="shared" si="2"/>
        <v> </v>
      </c>
      <c r="E1226" s="202" t="str">
        <f t="shared" si="9"/>
        <v> </v>
      </c>
      <c r="F1226" s="55" t="str">
        <f t="shared" si="4"/>
        <v/>
      </c>
      <c r="G1226" s="202" t="str">
        <f t="shared" si="5"/>
        <v/>
      </c>
      <c r="H1226" s="202" t="str">
        <f t="shared" si="11"/>
        <v> </v>
      </c>
      <c r="I1226" s="205" t="str">
        <f t="shared" si="7"/>
        <v/>
      </c>
      <c r="J1226" s="205"/>
      <c r="K1226" s="205"/>
    </row>
    <row r="1227" ht="14.25" customHeight="1">
      <c r="A1227" s="55">
        <v>46882.0</v>
      </c>
      <c r="B1227" s="55" t="str">
        <f t="shared" si="10"/>
        <v>Primer dia</v>
      </c>
      <c r="C1227" s="202">
        <f t="shared" si="1"/>
        <v>9</v>
      </c>
      <c r="D1227" s="202" t="str">
        <f t="shared" si="2"/>
        <v> </v>
      </c>
      <c r="E1227" s="202" t="str">
        <f t="shared" si="9"/>
        <v> </v>
      </c>
      <c r="F1227" s="55" t="str">
        <f t="shared" si="4"/>
        <v/>
      </c>
      <c r="G1227" s="202" t="str">
        <f t="shared" si="5"/>
        <v/>
      </c>
      <c r="H1227" s="202" t="str">
        <f t="shared" si="11"/>
        <v> </v>
      </c>
      <c r="I1227" s="205" t="str">
        <f t="shared" si="7"/>
        <v/>
      </c>
      <c r="J1227" s="205"/>
      <c r="K1227" s="205"/>
    </row>
    <row r="1228" ht="14.25" customHeight="1">
      <c r="A1228" s="55">
        <v>46883.0</v>
      </c>
      <c r="B1228" s="55" t="str">
        <f t="shared" si="10"/>
        <v>Primer dia</v>
      </c>
      <c r="C1228" s="202">
        <f t="shared" si="1"/>
        <v>10</v>
      </c>
      <c r="D1228" s="202" t="str">
        <f t="shared" si="2"/>
        <v> </v>
      </c>
      <c r="E1228" s="202" t="str">
        <f t="shared" si="9"/>
        <v> </v>
      </c>
      <c r="F1228" s="55" t="str">
        <f t="shared" si="4"/>
        <v/>
      </c>
      <c r="G1228" s="202" t="str">
        <f t="shared" si="5"/>
        <v/>
      </c>
      <c r="H1228" s="202" t="str">
        <f t="shared" si="11"/>
        <v> </v>
      </c>
      <c r="I1228" s="205" t="str">
        <f t="shared" si="7"/>
        <v/>
      </c>
      <c r="J1228" s="205"/>
      <c r="K1228" s="205"/>
    </row>
    <row r="1229" ht="14.25" customHeight="1">
      <c r="A1229" s="55">
        <v>46884.0</v>
      </c>
      <c r="B1229" s="55" t="str">
        <f t="shared" si="10"/>
        <v>Primer dia</v>
      </c>
      <c r="C1229" s="202">
        <f t="shared" si="1"/>
        <v>11</v>
      </c>
      <c r="D1229" s="202" t="str">
        <f t="shared" si="2"/>
        <v> </v>
      </c>
      <c r="E1229" s="202" t="str">
        <f t="shared" si="9"/>
        <v> </v>
      </c>
      <c r="F1229" s="55" t="str">
        <f t="shared" si="4"/>
        <v/>
      </c>
      <c r="G1229" s="202" t="str">
        <f t="shared" si="5"/>
        <v/>
      </c>
      <c r="H1229" s="202" t="str">
        <f t="shared" si="11"/>
        <v> </v>
      </c>
      <c r="I1229" s="205" t="str">
        <f t="shared" si="7"/>
        <v/>
      </c>
      <c r="J1229" s="205"/>
      <c r="K1229" s="205"/>
    </row>
    <row r="1230" ht="14.25" customHeight="1">
      <c r="A1230" s="55">
        <v>46885.0</v>
      </c>
      <c r="B1230" s="55" t="str">
        <f t="shared" si="10"/>
        <v>Primer dia</v>
      </c>
      <c r="C1230" s="202">
        <f t="shared" si="1"/>
        <v>12</v>
      </c>
      <c r="D1230" s="202" t="str">
        <f t="shared" si="2"/>
        <v> </v>
      </c>
      <c r="E1230" s="202" t="str">
        <f t="shared" si="9"/>
        <v> </v>
      </c>
      <c r="F1230" s="55" t="str">
        <f t="shared" si="4"/>
        <v/>
      </c>
      <c r="G1230" s="202" t="str">
        <f t="shared" si="5"/>
        <v/>
      </c>
      <c r="H1230" s="202" t="str">
        <f t="shared" si="11"/>
        <v> </v>
      </c>
      <c r="I1230" s="205" t="str">
        <f t="shared" si="7"/>
        <v/>
      </c>
      <c r="J1230" s="205"/>
      <c r="K1230" s="205"/>
    </row>
    <row r="1231" ht="14.25" customHeight="1">
      <c r="A1231" s="55">
        <v>46886.0</v>
      </c>
      <c r="B1231" s="55" t="str">
        <f t="shared" si="10"/>
        <v>Primer dia</v>
      </c>
      <c r="C1231" s="202">
        <f t="shared" si="1"/>
        <v>13</v>
      </c>
      <c r="D1231" s="202" t="str">
        <f t="shared" si="2"/>
        <v> </v>
      </c>
      <c r="E1231" s="202" t="str">
        <f t="shared" si="9"/>
        <v> </v>
      </c>
      <c r="F1231" s="55" t="str">
        <f t="shared" si="4"/>
        <v/>
      </c>
      <c r="G1231" s="202" t="str">
        <f t="shared" si="5"/>
        <v/>
      </c>
      <c r="H1231" s="202" t="str">
        <f t="shared" si="11"/>
        <v> </v>
      </c>
      <c r="I1231" s="205" t="str">
        <f t="shared" si="7"/>
        <v/>
      </c>
      <c r="J1231" s="205"/>
      <c r="K1231" s="205"/>
    </row>
    <row r="1232" ht="14.25" customHeight="1">
      <c r="A1232" s="55">
        <v>46887.0</v>
      </c>
      <c r="B1232" s="55" t="str">
        <f t="shared" si="10"/>
        <v>Primer dia</v>
      </c>
      <c r="C1232" s="202">
        <f t="shared" si="1"/>
        <v>14</v>
      </c>
      <c r="D1232" s="202" t="str">
        <f t="shared" si="2"/>
        <v> </v>
      </c>
      <c r="E1232" s="202" t="str">
        <f t="shared" si="9"/>
        <v> </v>
      </c>
      <c r="F1232" s="55" t="str">
        <f t="shared" si="4"/>
        <v/>
      </c>
      <c r="G1232" s="202" t="str">
        <f t="shared" si="5"/>
        <v/>
      </c>
      <c r="H1232" s="202" t="str">
        <f t="shared" si="11"/>
        <v> </v>
      </c>
      <c r="I1232" s="205" t="str">
        <f t="shared" si="7"/>
        <v/>
      </c>
      <c r="J1232" s="205"/>
      <c r="K1232" s="205"/>
    </row>
    <row r="1233" ht="14.25" customHeight="1">
      <c r="A1233" s="55">
        <v>46888.0</v>
      </c>
      <c r="B1233" s="55" t="str">
        <f t="shared" si="10"/>
        <v>Primer dia</v>
      </c>
      <c r="C1233" s="202">
        <f t="shared" si="1"/>
        <v>15</v>
      </c>
      <c r="D1233" s="202" t="str">
        <f t="shared" si="2"/>
        <v> </v>
      </c>
      <c r="E1233" s="202" t="str">
        <f t="shared" si="9"/>
        <v> </v>
      </c>
      <c r="F1233" s="55" t="str">
        <f t="shared" si="4"/>
        <v/>
      </c>
      <c r="G1233" s="202" t="str">
        <f t="shared" si="5"/>
        <v/>
      </c>
      <c r="H1233" s="202" t="str">
        <f t="shared" si="11"/>
        <v> </v>
      </c>
      <c r="I1233" s="205" t="str">
        <f t="shared" si="7"/>
        <v/>
      </c>
      <c r="J1233" s="205"/>
      <c r="K1233" s="205"/>
    </row>
    <row r="1234" ht="14.25" customHeight="1">
      <c r="A1234" s="55">
        <v>46889.0</v>
      </c>
      <c r="B1234" s="55" t="str">
        <f t="shared" si="10"/>
        <v>Primer dia</v>
      </c>
      <c r="C1234" s="202">
        <f t="shared" si="1"/>
        <v>16</v>
      </c>
      <c r="D1234" s="202" t="str">
        <f t="shared" si="2"/>
        <v> </v>
      </c>
      <c r="E1234" s="202" t="str">
        <f t="shared" si="9"/>
        <v> </v>
      </c>
      <c r="F1234" s="55" t="str">
        <f t="shared" si="4"/>
        <v/>
      </c>
      <c r="G1234" s="202" t="str">
        <f t="shared" si="5"/>
        <v/>
      </c>
      <c r="H1234" s="202" t="str">
        <f t="shared" si="11"/>
        <v> </v>
      </c>
      <c r="I1234" s="205" t="str">
        <f t="shared" si="7"/>
        <v/>
      </c>
      <c r="J1234" s="205"/>
      <c r="K1234" s="205"/>
    </row>
    <row r="1235" ht="14.25" customHeight="1">
      <c r="A1235" s="55">
        <v>46890.0</v>
      </c>
      <c r="B1235" s="55" t="str">
        <f t="shared" si="10"/>
        <v>Primer dia</v>
      </c>
      <c r="C1235" s="202">
        <f t="shared" si="1"/>
        <v>17</v>
      </c>
      <c r="D1235" s="202" t="str">
        <f t="shared" si="2"/>
        <v> </v>
      </c>
      <c r="E1235" s="202">
        <f t="shared" si="9"/>
        <v>17</v>
      </c>
      <c r="F1235" s="55">
        <f t="shared" si="4"/>
        <v>46890</v>
      </c>
      <c r="G1235" s="202">
        <f t="shared" si="5"/>
        <v>56</v>
      </c>
      <c r="H1235" s="202" t="str">
        <f t="shared" si="11"/>
        <v> </v>
      </c>
      <c r="I1235" s="205" t="str">
        <f t="shared" si="7"/>
        <v/>
      </c>
      <c r="J1235" s="205"/>
      <c r="K1235" s="205"/>
    </row>
    <row r="1236" ht="14.25" customHeight="1">
      <c r="A1236" s="55">
        <v>46891.0</v>
      </c>
      <c r="B1236" s="55" t="str">
        <f t="shared" si="10"/>
        <v>Primer dia</v>
      </c>
      <c r="C1236" s="202">
        <f t="shared" si="1"/>
        <v>18</v>
      </c>
      <c r="D1236" s="202" t="str">
        <f t="shared" si="2"/>
        <v> </v>
      </c>
      <c r="E1236" s="202" t="str">
        <f t="shared" si="9"/>
        <v> </v>
      </c>
      <c r="F1236" s="55" t="str">
        <f t="shared" si="4"/>
        <v/>
      </c>
      <c r="G1236" s="202" t="str">
        <f t="shared" si="5"/>
        <v/>
      </c>
      <c r="H1236" s="202" t="str">
        <f t="shared" si="11"/>
        <v> </v>
      </c>
      <c r="I1236" s="205" t="str">
        <f t="shared" si="7"/>
        <v/>
      </c>
      <c r="J1236" s="205"/>
      <c r="K1236" s="205"/>
    </row>
    <row r="1237" ht="14.25" customHeight="1">
      <c r="A1237" s="55">
        <v>46892.0</v>
      </c>
      <c r="B1237" s="55" t="str">
        <f t="shared" si="10"/>
        <v>Primer dia</v>
      </c>
      <c r="C1237" s="202">
        <f t="shared" si="1"/>
        <v>19</v>
      </c>
      <c r="D1237" s="202" t="str">
        <f t="shared" si="2"/>
        <v> </v>
      </c>
      <c r="E1237" s="202" t="str">
        <f t="shared" si="9"/>
        <v> </v>
      </c>
      <c r="F1237" s="55" t="str">
        <f t="shared" si="4"/>
        <v/>
      </c>
      <c r="G1237" s="202" t="str">
        <f t="shared" si="5"/>
        <v/>
      </c>
      <c r="H1237" s="202" t="str">
        <f t="shared" si="11"/>
        <v> </v>
      </c>
      <c r="I1237" s="205" t="str">
        <f t="shared" si="7"/>
        <v/>
      </c>
      <c r="J1237" s="205"/>
      <c r="K1237" s="205"/>
    </row>
    <row r="1238" ht="14.25" customHeight="1">
      <c r="A1238" s="55">
        <v>46893.0</v>
      </c>
      <c r="B1238" s="55" t="str">
        <f t="shared" si="10"/>
        <v>Primer dia</v>
      </c>
      <c r="C1238" s="202">
        <f t="shared" si="1"/>
        <v>20</v>
      </c>
      <c r="D1238" s="202" t="str">
        <f t="shared" si="2"/>
        <v> </v>
      </c>
      <c r="E1238" s="202" t="str">
        <f t="shared" si="9"/>
        <v> </v>
      </c>
      <c r="F1238" s="55" t="str">
        <f t="shared" si="4"/>
        <v/>
      </c>
      <c r="G1238" s="202" t="str">
        <f t="shared" si="5"/>
        <v/>
      </c>
      <c r="H1238" s="202" t="str">
        <f t="shared" si="11"/>
        <v> </v>
      </c>
      <c r="I1238" s="205" t="str">
        <f t="shared" si="7"/>
        <v/>
      </c>
      <c r="J1238" s="205"/>
      <c r="K1238" s="205"/>
    </row>
    <row r="1239" ht="14.25" customHeight="1">
      <c r="A1239" s="55">
        <v>46894.0</v>
      </c>
      <c r="B1239" s="55" t="str">
        <f t="shared" si="10"/>
        <v>Primer dia</v>
      </c>
      <c r="C1239" s="202">
        <f t="shared" si="1"/>
        <v>21</v>
      </c>
      <c r="D1239" s="202" t="str">
        <f t="shared" si="2"/>
        <v> </v>
      </c>
      <c r="E1239" s="202" t="str">
        <f t="shared" si="9"/>
        <v> </v>
      </c>
      <c r="F1239" s="55" t="str">
        <f t="shared" si="4"/>
        <v/>
      </c>
      <c r="G1239" s="202" t="str">
        <f t="shared" si="5"/>
        <v/>
      </c>
      <c r="H1239" s="202" t="str">
        <f t="shared" si="11"/>
        <v> </v>
      </c>
      <c r="I1239" s="205" t="str">
        <f t="shared" si="7"/>
        <v/>
      </c>
      <c r="J1239" s="205"/>
      <c r="K1239" s="205"/>
    </row>
    <row r="1240" ht="14.25" customHeight="1">
      <c r="A1240" s="55">
        <v>46895.0</v>
      </c>
      <c r="B1240" s="55" t="str">
        <f t="shared" si="10"/>
        <v>Primer dia</v>
      </c>
      <c r="C1240" s="202">
        <f t="shared" si="1"/>
        <v>22</v>
      </c>
      <c r="D1240" s="202" t="str">
        <f t="shared" si="2"/>
        <v> </v>
      </c>
      <c r="E1240" s="202" t="str">
        <f t="shared" si="9"/>
        <v> </v>
      </c>
      <c r="F1240" s="55" t="str">
        <f t="shared" si="4"/>
        <v/>
      </c>
      <c r="G1240" s="202" t="str">
        <f t="shared" si="5"/>
        <v/>
      </c>
      <c r="H1240" s="202" t="str">
        <f t="shared" si="11"/>
        <v> </v>
      </c>
      <c r="I1240" s="205" t="str">
        <f t="shared" si="7"/>
        <v/>
      </c>
      <c r="J1240" s="205"/>
      <c r="K1240" s="205"/>
    </row>
    <row r="1241" ht="14.25" customHeight="1">
      <c r="A1241" s="55">
        <v>46896.0</v>
      </c>
      <c r="B1241" s="55" t="str">
        <f t="shared" si="10"/>
        <v>Primer dia</v>
      </c>
      <c r="C1241" s="202">
        <f t="shared" si="1"/>
        <v>23</v>
      </c>
      <c r="D1241" s="202" t="str">
        <f t="shared" si="2"/>
        <v> </v>
      </c>
      <c r="E1241" s="202" t="str">
        <f t="shared" si="9"/>
        <v> </v>
      </c>
      <c r="F1241" s="55" t="str">
        <f t="shared" si="4"/>
        <v/>
      </c>
      <c r="G1241" s="202" t="str">
        <f t="shared" si="5"/>
        <v/>
      </c>
      <c r="H1241" s="202" t="str">
        <f t="shared" si="11"/>
        <v> </v>
      </c>
      <c r="I1241" s="205" t="str">
        <f t="shared" si="7"/>
        <v/>
      </c>
      <c r="J1241" s="205"/>
      <c r="K1241" s="205"/>
    </row>
    <row r="1242" ht="14.25" customHeight="1">
      <c r="A1242" s="55">
        <v>46897.0</v>
      </c>
      <c r="B1242" s="55" t="str">
        <f t="shared" si="10"/>
        <v>Primer dia</v>
      </c>
      <c r="C1242" s="202">
        <f t="shared" si="1"/>
        <v>24</v>
      </c>
      <c r="D1242" s="202" t="str">
        <f t="shared" si="2"/>
        <v> </v>
      </c>
      <c r="E1242" s="202" t="str">
        <f t="shared" si="9"/>
        <v> </v>
      </c>
      <c r="F1242" s="55" t="str">
        <f t="shared" si="4"/>
        <v/>
      </c>
      <c r="G1242" s="202" t="str">
        <f t="shared" si="5"/>
        <v/>
      </c>
      <c r="H1242" s="202" t="str">
        <f t="shared" si="11"/>
        <v> </v>
      </c>
      <c r="I1242" s="205" t="str">
        <f t="shared" si="7"/>
        <v/>
      </c>
      <c r="J1242" s="205"/>
      <c r="K1242" s="205"/>
    </row>
    <row r="1243" ht="14.25" customHeight="1">
      <c r="A1243" s="55">
        <v>46898.0</v>
      </c>
      <c r="B1243" s="55" t="str">
        <f t="shared" si="10"/>
        <v>Primer dia</v>
      </c>
      <c r="C1243" s="202">
        <f t="shared" si="1"/>
        <v>25</v>
      </c>
      <c r="D1243" s="202" t="str">
        <f t="shared" si="2"/>
        <v> </v>
      </c>
      <c r="E1243" s="202" t="str">
        <f t="shared" si="9"/>
        <v> </v>
      </c>
      <c r="F1243" s="55" t="str">
        <f t="shared" si="4"/>
        <v/>
      </c>
      <c r="G1243" s="202" t="str">
        <f t="shared" si="5"/>
        <v/>
      </c>
      <c r="H1243" s="202" t="str">
        <f t="shared" si="11"/>
        <v> </v>
      </c>
      <c r="I1243" s="205" t="str">
        <f t="shared" si="7"/>
        <v/>
      </c>
      <c r="J1243" s="205"/>
      <c r="K1243" s="205"/>
    </row>
    <row r="1244" ht="14.25" customHeight="1">
      <c r="A1244" s="55">
        <v>46899.0</v>
      </c>
      <c r="B1244" s="55" t="str">
        <f t="shared" si="10"/>
        <v>Primer dia</v>
      </c>
      <c r="C1244" s="202">
        <f t="shared" si="1"/>
        <v>26</v>
      </c>
      <c r="D1244" s="202" t="str">
        <f t="shared" si="2"/>
        <v> </v>
      </c>
      <c r="E1244" s="202" t="str">
        <f t="shared" si="9"/>
        <v> </v>
      </c>
      <c r="F1244" s="55" t="str">
        <f t="shared" si="4"/>
        <v/>
      </c>
      <c r="G1244" s="202" t="str">
        <f t="shared" si="5"/>
        <v/>
      </c>
      <c r="H1244" s="202" t="str">
        <f t="shared" si="11"/>
        <v> </v>
      </c>
      <c r="I1244" s="205" t="str">
        <f t="shared" si="7"/>
        <v/>
      </c>
      <c r="J1244" s="205"/>
      <c r="K1244" s="205"/>
    </row>
    <row r="1245" ht="14.25" customHeight="1">
      <c r="A1245" s="55">
        <v>46900.0</v>
      </c>
      <c r="B1245" s="55" t="str">
        <f t="shared" si="10"/>
        <v>Primer dia</v>
      </c>
      <c r="C1245" s="202">
        <f t="shared" si="1"/>
        <v>27</v>
      </c>
      <c r="D1245" s="202" t="str">
        <f t="shared" si="2"/>
        <v> </v>
      </c>
      <c r="E1245" s="202" t="str">
        <f t="shared" si="9"/>
        <v> </v>
      </c>
      <c r="F1245" s="55" t="str">
        <f t="shared" si="4"/>
        <v/>
      </c>
      <c r="G1245" s="202" t="str">
        <f t="shared" si="5"/>
        <v/>
      </c>
      <c r="H1245" s="202" t="str">
        <f t="shared" si="11"/>
        <v> </v>
      </c>
      <c r="I1245" s="205" t="str">
        <f t="shared" si="7"/>
        <v/>
      </c>
      <c r="J1245" s="205"/>
      <c r="K1245" s="205"/>
    </row>
    <row r="1246" ht="14.25" customHeight="1">
      <c r="A1246" s="55">
        <v>46901.0</v>
      </c>
      <c r="B1246" s="55" t="str">
        <f t="shared" si="10"/>
        <v>Primer dia</v>
      </c>
      <c r="C1246" s="202">
        <f t="shared" si="1"/>
        <v>28</v>
      </c>
      <c r="D1246" s="202" t="str">
        <f t="shared" si="2"/>
        <v> </v>
      </c>
      <c r="E1246" s="202" t="str">
        <f t="shared" si="9"/>
        <v> </v>
      </c>
      <c r="F1246" s="55" t="str">
        <f t="shared" si="4"/>
        <v/>
      </c>
      <c r="G1246" s="202" t="str">
        <f t="shared" si="5"/>
        <v/>
      </c>
      <c r="H1246" s="202" t="str">
        <f t="shared" si="11"/>
        <v> </v>
      </c>
      <c r="I1246" s="205" t="str">
        <f t="shared" si="7"/>
        <v/>
      </c>
      <c r="J1246" s="205"/>
      <c r="K1246" s="205"/>
    </row>
    <row r="1247" ht="14.25" customHeight="1">
      <c r="A1247" s="55">
        <v>46902.0</v>
      </c>
      <c r="B1247" s="55" t="str">
        <f t="shared" si="10"/>
        <v>Primer dia</v>
      </c>
      <c r="C1247" s="202">
        <f t="shared" si="1"/>
        <v>29</v>
      </c>
      <c r="D1247" s="202" t="str">
        <f t="shared" si="2"/>
        <v> </v>
      </c>
      <c r="E1247" s="202" t="str">
        <f t="shared" si="9"/>
        <v> </v>
      </c>
      <c r="F1247" s="55" t="str">
        <f t="shared" si="4"/>
        <v/>
      </c>
      <c r="G1247" s="202" t="str">
        <f t="shared" si="5"/>
        <v/>
      </c>
      <c r="H1247" s="202" t="str">
        <f t="shared" si="11"/>
        <v> </v>
      </c>
      <c r="I1247" s="205" t="str">
        <f t="shared" si="7"/>
        <v/>
      </c>
      <c r="J1247" s="205"/>
      <c r="K1247" s="205"/>
    </row>
    <row r="1248" ht="14.25" customHeight="1">
      <c r="A1248" s="55">
        <v>46903.0</v>
      </c>
      <c r="B1248" s="55" t="str">
        <f t="shared" si="10"/>
        <v>Primer dia</v>
      </c>
      <c r="C1248" s="202">
        <f t="shared" si="1"/>
        <v>30</v>
      </c>
      <c r="D1248" s="202" t="str">
        <f t="shared" si="2"/>
        <v> </v>
      </c>
      <c r="E1248" s="202" t="str">
        <f t="shared" si="9"/>
        <v> </v>
      </c>
      <c r="F1248" s="55" t="str">
        <f t="shared" si="4"/>
        <v/>
      </c>
      <c r="G1248" s="202" t="str">
        <f t="shared" si="5"/>
        <v/>
      </c>
      <c r="H1248" s="202" t="str">
        <f t="shared" si="11"/>
        <v> </v>
      </c>
      <c r="I1248" s="205" t="str">
        <f t="shared" si="7"/>
        <v/>
      </c>
      <c r="J1248" s="205"/>
      <c r="K1248" s="205"/>
    </row>
    <row r="1249" ht="14.25" customHeight="1">
      <c r="A1249" s="55">
        <v>46904.0</v>
      </c>
      <c r="B1249" s="55" t="str">
        <f t="shared" si="10"/>
        <v>Primer dia</v>
      </c>
      <c r="C1249" s="202">
        <f t="shared" si="1"/>
        <v>31</v>
      </c>
      <c r="D1249" s="202" t="str">
        <f t="shared" si="2"/>
        <v> </v>
      </c>
      <c r="E1249" s="202" t="str">
        <f t="shared" si="9"/>
        <v> </v>
      </c>
      <c r="F1249" s="55" t="str">
        <f t="shared" si="4"/>
        <v/>
      </c>
      <c r="G1249" s="202" t="str">
        <f t="shared" si="5"/>
        <v/>
      </c>
      <c r="H1249" s="202" t="str">
        <f t="shared" si="11"/>
        <v> </v>
      </c>
      <c r="I1249" s="205" t="str">
        <f t="shared" si="7"/>
        <v/>
      </c>
      <c r="J1249" s="205"/>
      <c r="K1249" s="205"/>
    </row>
    <row r="1250" ht="14.25" customHeight="1">
      <c r="A1250" s="55">
        <v>46905.0</v>
      </c>
      <c r="B1250" s="55" t="str">
        <f t="shared" si="10"/>
        <v>Primer dia</v>
      </c>
      <c r="C1250" s="202">
        <f t="shared" si="1"/>
        <v>1</v>
      </c>
      <c r="D1250" s="202" t="str">
        <f t="shared" si="2"/>
        <v> </v>
      </c>
      <c r="E1250" s="202" t="str">
        <f t="shared" si="9"/>
        <v> </v>
      </c>
      <c r="F1250" s="55" t="str">
        <f t="shared" si="4"/>
        <v/>
      </c>
      <c r="G1250" s="202" t="str">
        <f t="shared" si="5"/>
        <v/>
      </c>
      <c r="H1250" s="202" t="str">
        <f t="shared" si="11"/>
        <v> </v>
      </c>
      <c r="I1250" s="205" t="str">
        <f t="shared" si="7"/>
        <v/>
      </c>
      <c r="J1250" s="205"/>
      <c r="K1250" s="205"/>
    </row>
    <row r="1251" ht="14.25" customHeight="1">
      <c r="A1251" s="55">
        <v>46906.0</v>
      </c>
      <c r="B1251" s="55" t="str">
        <f t="shared" si="10"/>
        <v>Primer dia</v>
      </c>
      <c r="C1251" s="202">
        <f t="shared" si="1"/>
        <v>2</v>
      </c>
      <c r="D1251" s="202" t="str">
        <f t="shared" si="2"/>
        <v> </v>
      </c>
      <c r="E1251" s="202">
        <f t="shared" si="9"/>
        <v>2</v>
      </c>
      <c r="F1251" s="55">
        <f t="shared" si="4"/>
        <v>46906</v>
      </c>
      <c r="G1251" s="202">
        <f t="shared" si="5"/>
        <v>57</v>
      </c>
      <c r="H1251" s="202" t="str">
        <f t="shared" si="11"/>
        <v> </v>
      </c>
      <c r="I1251" s="205" t="str">
        <f t="shared" si="7"/>
        <v/>
      </c>
      <c r="J1251" s="205"/>
      <c r="K1251" s="205"/>
    </row>
    <row r="1252" ht="14.25" customHeight="1">
      <c r="A1252" s="55">
        <v>46907.0</v>
      </c>
      <c r="B1252" s="55" t="str">
        <f t="shared" si="10"/>
        <v>Primer dia</v>
      </c>
      <c r="C1252" s="202">
        <f t="shared" si="1"/>
        <v>3</v>
      </c>
      <c r="D1252" s="202" t="str">
        <f t="shared" si="2"/>
        <v> </v>
      </c>
      <c r="E1252" s="202" t="str">
        <f t="shared" si="9"/>
        <v> </v>
      </c>
      <c r="F1252" s="55" t="str">
        <f t="shared" si="4"/>
        <v/>
      </c>
      <c r="G1252" s="202" t="str">
        <f t="shared" si="5"/>
        <v/>
      </c>
      <c r="H1252" s="202" t="str">
        <f t="shared" si="11"/>
        <v> </v>
      </c>
      <c r="I1252" s="205" t="str">
        <f t="shared" si="7"/>
        <v/>
      </c>
      <c r="J1252" s="205"/>
      <c r="K1252" s="205"/>
    </row>
    <row r="1253" ht="14.25" customHeight="1">
      <c r="A1253" s="55">
        <v>46908.0</v>
      </c>
      <c r="B1253" s="55" t="str">
        <f t="shared" si="10"/>
        <v>Primer dia</v>
      </c>
      <c r="C1253" s="202">
        <f t="shared" si="1"/>
        <v>4</v>
      </c>
      <c r="D1253" s="202" t="str">
        <f t="shared" si="2"/>
        <v> </v>
      </c>
      <c r="E1253" s="202" t="str">
        <f t="shared" si="9"/>
        <v> </v>
      </c>
      <c r="F1253" s="55" t="str">
        <f t="shared" si="4"/>
        <v/>
      </c>
      <c r="G1253" s="202" t="str">
        <f t="shared" si="5"/>
        <v/>
      </c>
      <c r="H1253" s="202" t="str">
        <f t="shared" si="11"/>
        <v> </v>
      </c>
      <c r="I1253" s="205" t="str">
        <f t="shared" si="7"/>
        <v/>
      </c>
      <c r="J1253" s="205"/>
      <c r="K1253" s="205"/>
    </row>
    <row r="1254" ht="14.25" customHeight="1">
      <c r="A1254" s="55">
        <v>46909.0</v>
      </c>
      <c r="B1254" s="55" t="str">
        <f t="shared" si="10"/>
        <v>Primer dia</v>
      </c>
      <c r="C1254" s="202">
        <f t="shared" si="1"/>
        <v>5</v>
      </c>
      <c r="D1254" s="202" t="str">
        <f t="shared" si="2"/>
        <v> </v>
      </c>
      <c r="E1254" s="202" t="str">
        <f t="shared" si="9"/>
        <v> </v>
      </c>
      <c r="F1254" s="55" t="str">
        <f t="shared" si="4"/>
        <v/>
      </c>
      <c r="G1254" s="202" t="str">
        <f t="shared" si="5"/>
        <v/>
      </c>
      <c r="H1254" s="202" t="str">
        <f t="shared" si="11"/>
        <v> </v>
      </c>
      <c r="I1254" s="205" t="str">
        <f t="shared" si="7"/>
        <v/>
      </c>
      <c r="J1254" s="205"/>
      <c r="K1254" s="205"/>
    </row>
    <row r="1255" ht="14.25" customHeight="1">
      <c r="A1255" s="55">
        <v>46910.0</v>
      </c>
      <c r="B1255" s="55" t="str">
        <f t="shared" si="10"/>
        <v>Primer dia</v>
      </c>
      <c r="C1255" s="202">
        <f t="shared" si="1"/>
        <v>6</v>
      </c>
      <c r="D1255" s="202" t="str">
        <f t="shared" si="2"/>
        <v> </v>
      </c>
      <c r="E1255" s="202" t="str">
        <f t="shared" si="9"/>
        <v> </v>
      </c>
      <c r="F1255" s="55" t="str">
        <f t="shared" si="4"/>
        <v/>
      </c>
      <c r="G1255" s="202" t="str">
        <f t="shared" si="5"/>
        <v/>
      </c>
      <c r="H1255" s="202" t="str">
        <f t="shared" si="11"/>
        <v> </v>
      </c>
      <c r="I1255" s="205" t="str">
        <f t="shared" si="7"/>
        <v/>
      </c>
      <c r="J1255" s="205"/>
      <c r="K1255" s="205"/>
    </row>
    <row r="1256" ht="14.25" customHeight="1">
      <c r="A1256" s="55">
        <v>46911.0</v>
      </c>
      <c r="B1256" s="55" t="str">
        <f t="shared" si="10"/>
        <v>Primer dia</v>
      </c>
      <c r="C1256" s="202">
        <f t="shared" si="1"/>
        <v>7</v>
      </c>
      <c r="D1256" s="202" t="str">
        <f t="shared" si="2"/>
        <v> </v>
      </c>
      <c r="E1256" s="202" t="str">
        <f t="shared" si="9"/>
        <v> </v>
      </c>
      <c r="F1256" s="55" t="str">
        <f t="shared" si="4"/>
        <v/>
      </c>
      <c r="G1256" s="202" t="str">
        <f t="shared" si="5"/>
        <v/>
      </c>
      <c r="H1256" s="202" t="str">
        <f t="shared" si="11"/>
        <v> </v>
      </c>
      <c r="I1256" s="205" t="str">
        <f t="shared" si="7"/>
        <v/>
      </c>
      <c r="J1256" s="205"/>
      <c r="K1256" s="205"/>
    </row>
    <row r="1257" ht="14.25" customHeight="1">
      <c r="A1257" s="55">
        <v>46912.0</v>
      </c>
      <c r="B1257" s="55" t="str">
        <f t="shared" si="10"/>
        <v>Primer dia</v>
      </c>
      <c r="C1257" s="202">
        <f t="shared" si="1"/>
        <v>8</v>
      </c>
      <c r="D1257" s="202" t="str">
        <f t="shared" si="2"/>
        <v> </v>
      </c>
      <c r="E1257" s="202" t="str">
        <f t="shared" si="9"/>
        <v> </v>
      </c>
      <c r="F1257" s="55" t="str">
        <f t="shared" si="4"/>
        <v/>
      </c>
      <c r="G1257" s="202" t="str">
        <f t="shared" si="5"/>
        <v/>
      </c>
      <c r="H1257" s="202" t="str">
        <f t="shared" si="11"/>
        <v> </v>
      </c>
      <c r="I1257" s="205" t="str">
        <f t="shared" si="7"/>
        <v/>
      </c>
      <c r="J1257" s="205"/>
      <c r="K1257" s="205"/>
    </row>
    <row r="1258" ht="14.25" customHeight="1">
      <c r="A1258" s="55">
        <v>46913.0</v>
      </c>
      <c r="B1258" s="55" t="str">
        <f t="shared" si="10"/>
        <v>Primer dia</v>
      </c>
      <c r="C1258" s="202">
        <f t="shared" si="1"/>
        <v>9</v>
      </c>
      <c r="D1258" s="202" t="str">
        <f t="shared" si="2"/>
        <v> </v>
      </c>
      <c r="E1258" s="202" t="str">
        <f t="shared" si="9"/>
        <v> </v>
      </c>
      <c r="F1258" s="55" t="str">
        <f t="shared" si="4"/>
        <v/>
      </c>
      <c r="G1258" s="202" t="str">
        <f t="shared" si="5"/>
        <v/>
      </c>
      <c r="H1258" s="202" t="str">
        <f t="shared" si="11"/>
        <v> </v>
      </c>
      <c r="I1258" s="205" t="str">
        <f t="shared" si="7"/>
        <v/>
      </c>
      <c r="J1258" s="205"/>
      <c r="K1258" s="205"/>
    </row>
    <row r="1259" ht="14.25" customHeight="1">
      <c r="A1259" s="55">
        <v>46914.0</v>
      </c>
      <c r="B1259" s="55" t="str">
        <f t="shared" si="10"/>
        <v>Primer dia</v>
      </c>
      <c r="C1259" s="202">
        <f t="shared" si="1"/>
        <v>10</v>
      </c>
      <c r="D1259" s="202" t="str">
        <f t="shared" si="2"/>
        <v> </v>
      </c>
      <c r="E1259" s="202" t="str">
        <f t="shared" si="9"/>
        <v> </v>
      </c>
      <c r="F1259" s="55" t="str">
        <f t="shared" si="4"/>
        <v/>
      </c>
      <c r="G1259" s="202" t="str">
        <f t="shared" si="5"/>
        <v/>
      </c>
      <c r="H1259" s="202" t="str">
        <f t="shared" si="11"/>
        <v> </v>
      </c>
      <c r="I1259" s="205" t="str">
        <f t="shared" si="7"/>
        <v/>
      </c>
      <c r="J1259" s="205"/>
      <c r="K1259" s="205"/>
    </row>
    <row r="1260" ht="14.25" customHeight="1">
      <c r="A1260" s="55">
        <v>46915.0</v>
      </c>
      <c r="B1260" s="55" t="str">
        <f t="shared" si="10"/>
        <v>Primer dia</v>
      </c>
      <c r="C1260" s="202">
        <f t="shared" si="1"/>
        <v>11</v>
      </c>
      <c r="D1260" s="202" t="str">
        <f t="shared" si="2"/>
        <v> </v>
      </c>
      <c r="E1260" s="202" t="str">
        <f t="shared" si="9"/>
        <v> </v>
      </c>
      <c r="F1260" s="55" t="str">
        <f t="shared" si="4"/>
        <v/>
      </c>
      <c r="G1260" s="202" t="str">
        <f t="shared" si="5"/>
        <v/>
      </c>
      <c r="H1260" s="202" t="str">
        <f t="shared" si="11"/>
        <v> </v>
      </c>
      <c r="I1260" s="205" t="str">
        <f t="shared" si="7"/>
        <v/>
      </c>
      <c r="J1260" s="205"/>
      <c r="K1260" s="205"/>
    </row>
    <row r="1261" ht="14.25" customHeight="1">
      <c r="A1261" s="55">
        <v>46916.0</v>
      </c>
      <c r="B1261" s="55" t="str">
        <f t="shared" si="10"/>
        <v>Primer dia</v>
      </c>
      <c r="C1261" s="202">
        <f t="shared" si="1"/>
        <v>12</v>
      </c>
      <c r="D1261" s="202" t="str">
        <f t="shared" si="2"/>
        <v> </v>
      </c>
      <c r="E1261" s="202" t="str">
        <f t="shared" si="9"/>
        <v> </v>
      </c>
      <c r="F1261" s="55" t="str">
        <f t="shared" si="4"/>
        <v/>
      </c>
      <c r="G1261" s="202" t="str">
        <f t="shared" si="5"/>
        <v/>
      </c>
      <c r="H1261" s="202" t="str">
        <f t="shared" si="11"/>
        <v> </v>
      </c>
      <c r="I1261" s="205" t="str">
        <f t="shared" si="7"/>
        <v/>
      </c>
      <c r="J1261" s="205"/>
      <c r="K1261" s="205"/>
    </row>
    <row r="1262" ht="14.25" customHeight="1">
      <c r="A1262" s="55">
        <v>46917.0</v>
      </c>
      <c r="B1262" s="55" t="str">
        <f t="shared" si="10"/>
        <v>Primer dia</v>
      </c>
      <c r="C1262" s="202">
        <f t="shared" si="1"/>
        <v>13</v>
      </c>
      <c r="D1262" s="202" t="str">
        <f t="shared" si="2"/>
        <v> </v>
      </c>
      <c r="E1262" s="202" t="str">
        <f t="shared" si="9"/>
        <v> </v>
      </c>
      <c r="F1262" s="55" t="str">
        <f t="shared" si="4"/>
        <v/>
      </c>
      <c r="G1262" s="202" t="str">
        <f t="shared" si="5"/>
        <v/>
      </c>
      <c r="H1262" s="202" t="str">
        <f t="shared" si="11"/>
        <v> </v>
      </c>
      <c r="I1262" s="205" t="str">
        <f t="shared" si="7"/>
        <v/>
      </c>
      <c r="J1262" s="205"/>
      <c r="K1262" s="205"/>
    </row>
    <row r="1263" ht="14.25" customHeight="1">
      <c r="A1263" s="55">
        <v>46918.0</v>
      </c>
      <c r="B1263" s="55" t="str">
        <f t="shared" si="10"/>
        <v>Primer dia</v>
      </c>
      <c r="C1263" s="202">
        <f t="shared" si="1"/>
        <v>14</v>
      </c>
      <c r="D1263" s="202" t="str">
        <f t="shared" si="2"/>
        <v> </v>
      </c>
      <c r="E1263" s="202" t="str">
        <f t="shared" si="9"/>
        <v> </v>
      </c>
      <c r="F1263" s="55" t="str">
        <f t="shared" si="4"/>
        <v/>
      </c>
      <c r="G1263" s="202" t="str">
        <f t="shared" si="5"/>
        <v/>
      </c>
      <c r="H1263" s="202" t="str">
        <f t="shared" si="11"/>
        <v> </v>
      </c>
      <c r="I1263" s="205" t="str">
        <f t="shared" si="7"/>
        <v/>
      </c>
      <c r="J1263" s="205"/>
      <c r="K1263" s="205"/>
    </row>
    <row r="1264" ht="14.25" customHeight="1">
      <c r="A1264" s="55">
        <v>46919.0</v>
      </c>
      <c r="B1264" s="55" t="str">
        <f t="shared" si="10"/>
        <v>Primer dia</v>
      </c>
      <c r="C1264" s="202">
        <f t="shared" si="1"/>
        <v>15</v>
      </c>
      <c r="D1264" s="202" t="str">
        <f t="shared" si="2"/>
        <v> </v>
      </c>
      <c r="E1264" s="202" t="str">
        <f t="shared" si="9"/>
        <v> </v>
      </c>
      <c r="F1264" s="55" t="str">
        <f t="shared" si="4"/>
        <v/>
      </c>
      <c r="G1264" s="202" t="str">
        <f t="shared" si="5"/>
        <v/>
      </c>
      <c r="H1264" s="202" t="str">
        <f t="shared" si="11"/>
        <v> </v>
      </c>
      <c r="I1264" s="205" t="str">
        <f t="shared" si="7"/>
        <v/>
      </c>
      <c r="J1264" s="205"/>
      <c r="K1264" s="205"/>
    </row>
    <row r="1265" ht="14.25" customHeight="1">
      <c r="A1265" s="55">
        <v>46920.0</v>
      </c>
      <c r="B1265" s="55" t="str">
        <f t="shared" si="10"/>
        <v>Primer dia</v>
      </c>
      <c r="C1265" s="202">
        <f t="shared" si="1"/>
        <v>16</v>
      </c>
      <c r="D1265" s="202" t="str">
        <f t="shared" si="2"/>
        <v> </v>
      </c>
      <c r="E1265" s="202" t="str">
        <f t="shared" si="9"/>
        <v> </v>
      </c>
      <c r="F1265" s="55" t="str">
        <f t="shared" si="4"/>
        <v/>
      </c>
      <c r="G1265" s="202" t="str">
        <f t="shared" si="5"/>
        <v/>
      </c>
      <c r="H1265" s="202" t="str">
        <f t="shared" si="11"/>
        <v> </v>
      </c>
      <c r="I1265" s="205" t="str">
        <f t="shared" si="7"/>
        <v/>
      </c>
      <c r="J1265" s="205"/>
      <c r="K1265" s="205"/>
    </row>
    <row r="1266" ht="14.25" customHeight="1">
      <c r="A1266" s="55">
        <v>46921.0</v>
      </c>
      <c r="B1266" s="55" t="str">
        <f t="shared" si="10"/>
        <v>Primer dia</v>
      </c>
      <c r="C1266" s="202">
        <f t="shared" si="1"/>
        <v>17</v>
      </c>
      <c r="D1266" s="202" t="str">
        <f t="shared" si="2"/>
        <v> </v>
      </c>
      <c r="E1266" s="202">
        <f t="shared" si="9"/>
        <v>17</v>
      </c>
      <c r="F1266" s="55">
        <f t="shared" si="4"/>
        <v>46921</v>
      </c>
      <c r="G1266" s="202">
        <f t="shared" si="5"/>
        <v>58</v>
      </c>
      <c r="H1266" s="202" t="str">
        <f t="shared" si="11"/>
        <v> </v>
      </c>
      <c r="I1266" s="205" t="str">
        <f t="shared" si="7"/>
        <v/>
      </c>
      <c r="J1266" s="205"/>
      <c r="K1266" s="205"/>
    </row>
    <row r="1267" ht="14.25" customHeight="1">
      <c r="A1267" s="55">
        <v>46922.0</v>
      </c>
      <c r="B1267" s="55" t="str">
        <f t="shared" si="10"/>
        <v>Primer dia</v>
      </c>
      <c r="C1267" s="202">
        <f t="shared" si="1"/>
        <v>18</v>
      </c>
      <c r="D1267" s="202" t="str">
        <f t="shared" si="2"/>
        <v> </v>
      </c>
      <c r="E1267" s="202" t="str">
        <f t="shared" si="9"/>
        <v> </v>
      </c>
      <c r="F1267" s="55" t="str">
        <f t="shared" si="4"/>
        <v/>
      </c>
      <c r="G1267" s="202" t="str">
        <f t="shared" si="5"/>
        <v/>
      </c>
      <c r="H1267" s="202" t="str">
        <f t="shared" si="11"/>
        <v> </v>
      </c>
      <c r="I1267" s="205" t="str">
        <f t="shared" si="7"/>
        <v/>
      </c>
      <c r="J1267" s="205"/>
      <c r="K1267" s="205"/>
    </row>
    <row r="1268" ht="14.25" customHeight="1">
      <c r="A1268" s="55">
        <v>46923.0</v>
      </c>
      <c r="B1268" s="55" t="str">
        <f t="shared" si="10"/>
        <v>Primer dia</v>
      </c>
      <c r="C1268" s="202">
        <f t="shared" si="1"/>
        <v>19</v>
      </c>
      <c r="D1268" s="202" t="str">
        <f t="shared" si="2"/>
        <v> </v>
      </c>
      <c r="E1268" s="202" t="str">
        <f t="shared" si="9"/>
        <v> </v>
      </c>
      <c r="F1268" s="55" t="str">
        <f t="shared" si="4"/>
        <v/>
      </c>
      <c r="G1268" s="202" t="str">
        <f t="shared" si="5"/>
        <v/>
      </c>
      <c r="H1268" s="202" t="str">
        <f t="shared" si="11"/>
        <v> </v>
      </c>
      <c r="I1268" s="205" t="str">
        <f t="shared" si="7"/>
        <v/>
      </c>
      <c r="J1268" s="205"/>
      <c r="K1268" s="205"/>
    </row>
    <row r="1269" ht="14.25" customHeight="1">
      <c r="A1269" s="55">
        <v>46924.0</v>
      </c>
      <c r="B1269" s="55" t="str">
        <f t="shared" si="10"/>
        <v>Primer dia</v>
      </c>
      <c r="C1269" s="202">
        <f t="shared" si="1"/>
        <v>20</v>
      </c>
      <c r="D1269" s="202" t="str">
        <f t="shared" si="2"/>
        <v> </v>
      </c>
      <c r="E1269" s="202" t="str">
        <f t="shared" si="9"/>
        <v> </v>
      </c>
      <c r="F1269" s="55" t="str">
        <f t="shared" si="4"/>
        <v/>
      </c>
      <c r="G1269" s="202" t="str">
        <f t="shared" si="5"/>
        <v/>
      </c>
      <c r="H1269" s="202" t="str">
        <f t="shared" si="11"/>
        <v> </v>
      </c>
      <c r="I1269" s="205" t="str">
        <f t="shared" si="7"/>
        <v/>
      </c>
      <c r="J1269" s="205"/>
      <c r="K1269" s="205"/>
    </row>
    <row r="1270" ht="14.25" customHeight="1">
      <c r="A1270" s="55">
        <v>46925.0</v>
      </c>
      <c r="B1270" s="55" t="str">
        <f t="shared" si="10"/>
        <v>Primer dia</v>
      </c>
      <c r="C1270" s="202">
        <f t="shared" si="1"/>
        <v>21</v>
      </c>
      <c r="D1270" s="202" t="str">
        <f t="shared" si="2"/>
        <v> </v>
      </c>
      <c r="E1270" s="202" t="str">
        <f t="shared" si="9"/>
        <v> </v>
      </c>
      <c r="F1270" s="55" t="str">
        <f t="shared" si="4"/>
        <v/>
      </c>
      <c r="G1270" s="202" t="str">
        <f t="shared" si="5"/>
        <v/>
      </c>
      <c r="H1270" s="202" t="str">
        <f t="shared" si="11"/>
        <v> </v>
      </c>
      <c r="I1270" s="205" t="str">
        <f t="shared" si="7"/>
        <v/>
      </c>
      <c r="J1270" s="205"/>
      <c r="K1270" s="205"/>
    </row>
    <row r="1271" ht="14.25" customHeight="1">
      <c r="A1271" s="55">
        <v>46926.0</v>
      </c>
      <c r="B1271" s="55" t="str">
        <f t="shared" si="10"/>
        <v>Primer dia</v>
      </c>
      <c r="C1271" s="202">
        <f t="shared" si="1"/>
        <v>22</v>
      </c>
      <c r="D1271" s="202" t="str">
        <f t="shared" si="2"/>
        <v> </v>
      </c>
      <c r="E1271" s="202" t="str">
        <f t="shared" si="9"/>
        <v> </v>
      </c>
      <c r="F1271" s="55" t="str">
        <f t="shared" si="4"/>
        <v/>
      </c>
      <c r="G1271" s="202" t="str">
        <f t="shared" si="5"/>
        <v/>
      </c>
      <c r="H1271" s="202" t="str">
        <f t="shared" si="11"/>
        <v> </v>
      </c>
      <c r="I1271" s="205" t="str">
        <f t="shared" si="7"/>
        <v/>
      </c>
      <c r="J1271" s="205"/>
      <c r="K1271" s="205"/>
    </row>
    <row r="1272" ht="14.25" customHeight="1">
      <c r="A1272" s="55">
        <v>46927.0</v>
      </c>
      <c r="B1272" s="55" t="str">
        <f t="shared" si="10"/>
        <v>Primer dia</v>
      </c>
      <c r="C1272" s="202">
        <f t="shared" si="1"/>
        <v>23</v>
      </c>
      <c r="D1272" s="202" t="str">
        <f t="shared" si="2"/>
        <v> </v>
      </c>
      <c r="E1272" s="202" t="str">
        <f t="shared" si="9"/>
        <v> </v>
      </c>
      <c r="F1272" s="55" t="str">
        <f t="shared" si="4"/>
        <v/>
      </c>
      <c r="G1272" s="202" t="str">
        <f t="shared" si="5"/>
        <v/>
      </c>
      <c r="H1272" s="202" t="str">
        <f t="shared" si="11"/>
        <v> </v>
      </c>
      <c r="I1272" s="205" t="str">
        <f t="shared" si="7"/>
        <v/>
      </c>
      <c r="J1272" s="205"/>
      <c r="K1272" s="205"/>
    </row>
    <row r="1273" ht="14.25" customHeight="1">
      <c r="A1273" s="55">
        <v>46928.0</v>
      </c>
      <c r="B1273" s="55" t="str">
        <f t="shared" si="10"/>
        <v>Primer dia</v>
      </c>
      <c r="C1273" s="202">
        <f t="shared" si="1"/>
        <v>24</v>
      </c>
      <c r="D1273" s="202" t="str">
        <f t="shared" si="2"/>
        <v> </v>
      </c>
      <c r="E1273" s="202" t="str">
        <f t="shared" si="9"/>
        <v> </v>
      </c>
      <c r="F1273" s="55" t="str">
        <f t="shared" si="4"/>
        <v/>
      </c>
      <c r="G1273" s="202" t="str">
        <f t="shared" si="5"/>
        <v/>
      </c>
      <c r="H1273" s="202" t="str">
        <f t="shared" si="11"/>
        <v> </v>
      </c>
      <c r="I1273" s="205" t="str">
        <f t="shared" si="7"/>
        <v/>
      </c>
      <c r="J1273" s="205"/>
      <c r="K1273" s="205"/>
    </row>
    <row r="1274" ht="14.25" customHeight="1">
      <c r="A1274" s="55">
        <v>46929.0</v>
      </c>
      <c r="B1274" s="55" t="str">
        <f t="shared" si="10"/>
        <v>Primer dia</v>
      </c>
      <c r="C1274" s="202">
        <f t="shared" si="1"/>
        <v>25</v>
      </c>
      <c r="D1274" s="202" t="str">
        <f t="shared" si="2"/>
        <v> </v>
      </c>
      <c r="E1274" s="202" t="str">
        <f t="shared" si="9"/>
        <v> </v>
      </c>
      <c r="F1274" s="55" t="str">
        <f t="shared" si="4"/>
        <v/>
      </c>
      <c r="G1274" s="202" t="str">
        <f t="shared" si="5"/>
        <v/>
      </c>
      <c r="H1274" s="202" t="str">
        <f t="shared" si="11"/>
        <v> </v>
      </c>
      <c r="I1274" s="205" t="str">
        <f t="shared" si="7"/>
        <v/>
      </c>
      <c r="J1274" s="205"/>
      <c r="K1274" s="205"/>
    </row>
    <row r="1275" ht="14.25" customHeight="1">
      <c r="A1275" s="55">
        <v>46930.0</v>
      </c>
      <c r="B1275" s="55" t="str">
        <f t="shared" si="10"/>
        <v>Primer dia</v>
      </c>
      <c r="C1275" s="202">
        <f t="shared" si="1"/>
        <v>26</v>
      </c>
      <c r="D1275" s="202" t="str">
        <f t="shared" si="2"/>
        <v> </v>
      </c>
      <c r="E1275" s="202" t="str">
        <f t="shared" si="9"/>
        <v> </v>
      </c>
      <c r="F1275" s="55" t="str">
        <f t="shared" si="4"/>
        <v/>
      </c>
      <c r="G1275" s="202" t="str">
        <f t="shared" si="5"/>
        <v/>
      </c>
      <c r="H1275" s="202" t="str">
        <f t="shared" si="11"/>
        <v> </v>
      </c>
      <c r="I1275" s="205" t="str">
        <f t="shared" si="7"/>
        <v/>
      </c>
      <c r="J1275" s="205"/>
      <c r="K1275" s="205"/>
    </row>
    <row r="1276" ht="14.25" customHeight="1">
      <c r="A1276" s="55">
        <v>46931.0</v>
      </c>
      <c r="B1276" s="55" t="str">
        <f t="shared" si="10"/>
        <v>Primer dia</v>
      </c>
      <c r="C1276" s="202">
        <f t="shared" si="1"/>
        <v>27</v>
      </c>
      <c r="D1276" s="202" t="str">
        <f t="shared" si="2"/>
        <v> </v>
      </c>
      <c r="E1276" s="202" t="str">
        <f t="shared" si="9"/>
        <v> </v>
      </c>
      <c r="F1276" s="55" t="str">
        <f t="shared" si="4"/>
        <v/>
      </c>
      <c r="G1276" s="202" t="str">
        <f t="shared" si="5"/>
        <v/>
      </c>
      <c r="H1276" s="202" t="str">
        <f t="shared" si="11"/>
        <v> </v>
      </c>
      <c r="I1276" s="205" t="str">
        <f t="shared" si="7"/>
        <v/>
      </c>
      <c r="J1276" s="205"/>
      <c r="K1276" s="205"/>
    </row>
    <row r="1277" ht="14.25" customHeight="1">
      <c r="A1277" s="55">
        <v>46932.0</v>
      </c>
      <c r="B1277" s="55" t="str">
        <f t="shared" si="10"/>
        <v>Primer dia</v>
      </c>
      <c r="C1277" s="202">
        <f t="shared" si="1"/>
        <v>28</v>
      </c>
      <c r="D1277" s="202" t="str">
        <f t="shared" si="2"/>
        <v> </v>
      </c>
      <c r="E1277" s="202" t="str">
        <f t="shared" si="9"/>
        <v> </v>
      </c>
      <c r="F1277" s="55" t="str">
        <f t="shared" si="4"/>
        <v/>
      </c>
      <c r="G1277" s="202" t="str">
        <f t="shared" si="5"/>
        <v/>
      </c>
      <c r="H1277" s="202" t="str">
        <f t="shared" si="11"/>
        <v> </v>
      </c>
      <c r="I1277" s="205" t="str">
        <f t="shared" si="7"/>
        <v/>
      </c>
      <c r="J1277" s="205"/>
      <c r="K1277" s="205"/>
    </row>
    <row r="1278" ht="14.25" customHeight="1">
      <c r="A1278" s="55">
        <v>46933.0</v>
      </c>
      <c r="B1278" s="55" t="str">
        <f t="shared" si="10"/>
        <v>Primer dia</v>
      </c>
      <c r="C1278" s="202">
        <f t="shared" si="1"/>
        <v>29</v>
      </c>
      <c r="D1278" s="202" t="str">
        <f t="shared" si="2"/>
        <v> </v>
      </c>
      <c r="E1278" s="202" t="str">
        <f t="shared" si="9"/>
        <v> </v>
      </c>
      <c r="F1278" s="55" t="str">
        <f t="shared" si="4"/>
        <v/>
      </c>
      <c r="G1278" s="202" t="str">
        <f t="shared" si="5"/>
        <v/>
      </c>
      <c r="H1278" s="202" t="str">
        <f t="shared" si="11"/>
        <v> </v>
      </c>
      <c r="I1278" s="205" t="str">
        <f t="shared" si="7"/>
        <v/>
      </c>
      <c r="J1278" s="205"/>
      <c r="K1278" s="205"/>
    </row>
    <row r="1279" ht="14.25" customHeight="1">
      <c r="A1279" s="55">
        <v>46934.0</v>
      </c>
      <c r="B1279" s="55" t="str">
        <f t="shared" si="10"/>
        <v>Primer dia</v>
      </c>
      <c r="C1279" s="202">
        <f t="shared" si="1"/>
        <v>30</v>
      </c>
      <c r="D1279" s="202" t="str">
        <f t="shared" si="2"/>
        <v> </v>
      </c>
      <c r="E1279" s="202" t="str">
        <f t="shared" si="9"/>
        <v> </v>
      </c>
      <c r="F1279" s="55" t="str">
        <f t="shared" si="4"/>
        <v/>
      </c>
      <c r="G1279" s="202" t="str">
        <f t="shared" si="5"/>
        <v/>
      </c>
      <c r="H1279" s="202" t="str">
        <f t="shared" si="11"/>
        <v> </v>
      </c>
      <c r="I1279" s="205" t="str">
        <f t="shared" si="7"/>
        <v/>
      </c>
      <c r="J1279" s="205"/>
      <c r="K1279" s="205"/>
    </row>
    <row r="1280" ht="14.25" customHeight="1">
      <c r="A1280" s="55">
        <v>46935.0</v>
      </c>
      <c r="B1280" s="55" t="str">
        <f t="shared" si="10"/>
        <v>Primer dia</v>
      </c>
      <c r="C1280" s="202">
        <f t="shared" si="1"/>
        <v>1</v>
      </c>
      <c r="D1280" s="202" t="str">
        <f t="shared" si="2"/>
        <v> </v>
      </c>
      <c r="E1280" s="202" t="str">
        <f t="shared" si="9"/>
        <v> </v>
      </c>
      <c r="F1280" s="55" t="str">
        <f t="shared" si="4"/>
        <v/>
      </c>
      <c r="G1280" s="202" t="str">
        <f t="shared" si="5"/>
        <v/>
      </c>
      <c r="H1280" s="202" t="str">
        <f t="shared" si="11"/>
        <v> </v>
      </c>
      <c r="I1280" s="205" t="str">
        <f t="shared" si="7"/>
        <v/>
      </c>
      <c r="J1280" s="205"/>
      <c r="K1280" s="205"/>
    </row>
    <row r="1281" ht="14.25" customHeight="1">
      <c r="A1281" s="55">
        <v>46936.0</v>
      </c>
      <c r="B1281" s="55" t="str">
        <f t="shared" si="10"/>
        <v>Primer dia</v>
      </c>
      <c r="C1281" s="202">
        <f t="shared" si="1"/>
        <v>2</v>
      </c>
      <c r="D1281" s="202" t="str">
        <f t="shared" si="2"/>
        <v> </v>
      </c>
      <c r="E1281" s="202">
        <f t="shared" si="9"/>
        <v>2</v>
      </c>
      <c r="F1281" s="55">
        <f t="shared" si="4"/>
        <v>46936</v>
      </c>
      <c r="G1281" s="202">
        <f t="shared" si="5"/>
        <v>59</v>
      </c>
      <c r="H1281" s="202" t="str">
        <f t="shared" si="11"/>
        <v> </v>
      </c>
      <c r="I1281" s="205" t="str">
        <f t="shared" si="7"/>
        <v/>
      </c>
      <c r="J1281" s="205"/>
      <c r="K1281" s="205"/>
    </row>
    <row r="1282" ht="14.25" customHeight="1">
      <c r="A1282" s="55">
        <v>46937.0</v>
      </c>
      <c r="B1282" s="55" t="str">
        <f t="shared" si="10"/>
        <v>Primer dia</v>
      </c>
      <c r="C1282" s="202">
        <f t="shared" si="1"/>
        <v>3</v>
      </c>
      <c r="D1282" s="202" t="str">
        <f t="shared" si="2"/>
        <v> </v>
      </c>
      <c r="E1282" s="202" t="str">
        <f t="shared" si="9"/>
        <v> </v>
      </c>
      <c r="F1282" s="55" t="str">
        <f t="shared" si="4"/>
        <v/>
      </c>
      <c r="G1282" s="202" t="str">
        <f t="shared" si="5"/>
        <v/>
      </c>
      <c r="H1282" s="202" t="str">
        <f t="shared" si="11"/>
        <v> </v>
      </c>
      <c r="I1282" s="205" t="str">
        <f t="shared" si="7"/>
        <v/>
      </c>
      <c r="J1282" s="205"/>
      <c r="K1282" s="205"/>
    </row>
    <row r="1283" ht="14.25" customHeight="1">
      <c r="A1283" s="55">
        <v>46938.0</v>
      </c>
      <c r="B1283" s="55" t="str">
        <f t="shared" si="10"/>
        <v>Primer dia</v>
      </c>
      <c r="C1283" s="202">
        <f t="shared" si="1"/>
        <v>4</v>
      </c>
      <c r="D1283" s="202" t="str">
        <f t="shared" si="2"/>
        <v> </v>
      </c>
      <c r="E1283" s="202" t="str">
        <f t="shared" si="9"/>
        <v> </v>
      </c>
      <c r="F1283" s="55" t="str">
        <f t="shared" si="4"/>
        <v/>
      </c>
      <c r="G1283" s="202" t="str">
        <f t="shared" si="5"/>
        <v/>
      </c>
      <c r="H1283" s="202" t="str">
        <f t="shared" si="11"/>
        <v> </v>
      </c>
      <c r="I1283" s="205" t="str">
        <f t="shared" si="7"/>
        <v/>
      </c>
      <c r="J1283" s="205"/>
      <c r="K1283" s="205"/>
    </row>
    <row r="1284" ht="14.25" customHeight="1">
      <c r="A1284" s="55">
        <v>46939.0</v>
      </c>
      <c r="B1284" s="55" t="str">
        <f t="shared" si="10"/>
        <v>Primer dia</v>
      </c>
      <c r="C1284" s="202">
        <f t="shared" si="1"/>
        <v>5</v>
      </c>
      <c r="D1284" s="202" t="str">
        <f t="shared" si="2"/>
        <v> </v>
      </c>
      <c r="E1284" s="202" t="str">
        <f t="shared" si="9"/>
        <v> </v>
      </c>
      <c r="F1284" s="55" t="str">
        <f t="shared" si="4"/>
        <v/>
      </c>
      <c r="G1284" s="202" t="str">
        <f t="shared" si="5"/>
        <v/>
      </c>
      <c r="H1284" s="202" t="str">
        <f t="shared" si="11"/>
        <v> </v>
      </c>
      <c r="I1284" s="205" t="str">
        <f t="shared" si="7"/>
        <v/>
      </c>
      <c r="J1284" s="205"/>
      <c r="K1284" s="205"/>
    </row>
    <row r="1285" ht="14.25" customHeight="1">
      <c r="A1285" s="55">
        <v>46940.0</v>
      </c>
      <c r="B1285" s="55" t="str">
        <f t="shared" si="10"/>
        <v>Primer dia</v>
      </c>
      <c r="C1285" s="202">
        <f t="shared" si="1"/>
        <v>6</v>
      </c>
      <c r="D1285" s="202" t="str">
        <f t="shared" si="2"/>
        <v> </v>
      </c>
      <c r="E1285" s="202" t="str">
        <f t="shared" si="9"/>
        <v> </v>
      </c>
      <c r="F1285" s="55" t="str">
        <f t="shared" si="4"/>
        <v/>
      </c>
      <c r="G1285" s="202" t="str">
        <f t="shared" si="5"/>
        <v/>
      </c>
      <c r="H1285" s="202" t="str">
        <f t="shared" si="11"/>
        <v> </v>
      </c>
      <c r="I1285" s="205" t="str">
        <f t="shared" si="7"/>
        <v/>
      </c>
      <c r="J1285" s="205"/>
      <c r="K1285" s="205"/>
    </row>
    <row r="1286" ht="14.25" customHeight="1">
      <c r="A1286" s="55">
        <v>46941.0</v>
      </c>
      <c r="B1286" s="55" t="str">
        <f t="shared" si="10"/>
        <v>Primer dia</v>
      </c>
      <c r="C1286" s="202">
        <f t="shared" si="1"/>
        <v>7</v>
      </c>
      <c r="D1286" s="202" t="str">
        <f t="shared" si="2"/>
        <v> </v>
      </c>
      <c r="E1286" s="202" t="str">
        <f t="shared" si="9"/>
        <v> </v>
      </c>
      <c r="F1286" s="55" t="str">
        <f t="shared" si="4"/>
        <v/>
      </c>
      <c r="G1286" s="202" t="str">
        <f t="shared" si="5"/>
        <v/>
      </c>
      <c r="H1286" s="202" t="str">
        <f t="shared" si="11"/>
        <v> </v>
      </c>
      <c r="I1286" s="205" t="str">
        <f t="shared" si="7"/>
        <v/>
      </c>
      <c r="J1286" s="205"/>
      <c r="K1286" s="205"/>
    </row>
    <row r="1287" ht="14.25" customHeight="1">
      <c r="A1287" s="55">
        <v>46942.0</v>
      </c>
      <c r="B1287" s="55" t="str">
        <f t="shared" si="10"/>
        <v>Primer dia</v>
      </c>
      <c r="C1287" s="202">
        <f t="shared" si="1"/>
        <v>8</v>
      </c>
      <c r="D1287" s="202" t="str">
        <f t="shared" si="2"/>
        <v> </v>
      </c>
      <c r="E1287" s="202" t="str">
        <f t="shared" si="9"/>
        <v> </v>
      </c>
      <c r="F1287" s="55" t="str">
        <f t="shared" si="4"/>
        <v/>
      </c>
      <c r="G1287" s="202" t="str">
        <f t="shared" si="5"/>
        <v/>
      </c>
      <c r="H1287" s="202" t="str">
        <f t="shared" si="11"/>
        <v> </v>
      </c>
      <c r="I1287" s="205" t="str">
        <f t="shared" si="7"/>
        <v/>
      </c>
      <c r="J1287" s="205"/>
      <c r="K1287" s="205"/>
    </row>
    <row r="1288" ht="14.25" customHeight="1">
      <c r="A1288" s="55">
        <v>46943.0</v>
      </c>
      <c r="B1288" s="55" t="str">
        <f t="shared" si="10"/>
        <v>Primer dia</v>
      </c>
      <c r="C1288" s="202">
        <f t="shared" si="1"/>
        <v>9</v>
      </c>
      <c r="D1288" s="202" t="str">
        <f t="shared" si="2"/>
        <v> </v>
      </c>
      <c r="E1288" s="202" t="str">
        <f t="shared" si="9"/>
        <v> </v>
      </c>
      <c r="F1288" s="55" t="str">
        <f t="shared" si="4"/>
        <v/>
      </c>
      <c r="G1288" s="202" t="str">
        <f t="shared" si="5"/>
        <v/>
      </c>
      <c r="H1288" s="202" t="str">
        <f t="shared" si="11"/>
        <v> </v>
      </c>
      <c r="I1288" s="205" t="str">
        <f t="shared" si="7"/>
        <v/>
      </c>
      <c r="J1288" s="205"/>
      <c r="K1288" s="205"/>
    </row>
    <row r="1289" ht="14.25" customHeight="1">
      <c r="A1289" s="55">
        <v>46944.0</v>
      </c>
      <c r="B1289" s="55" t="str">
        <f t="shared" si="10"/>
        <v>Primer dia</v>
      </c>
      <c r="C1289" s="202">
        <f t="shared" si="1"/>
        <v>10</v>
      </c>
      <c r="D1289" s="202" t="str">
        <f t="shared" si="2"/>
        <v> </v>
      </c>
      <c r="E1289" s="202" t="str">
        <f t="shared" si="9"/>
        <v> </v>
      </c>
      <c r="F1289" s="55" t="str">
        <f t="shared" si="4"/>
        <v/>
      </c>
      <c r="G1289" s="202" t="str">
        <f t="shared" si="5"/>
        <v/>
      </c>
      <c r="H1289" s="202" t="str">
        <f t="shared" si="11"/>
        <v> </v>
      </c>
      <c r="I1289" s="205" t="str">
        <f t="shared" si="7"/>
        <v/>
      </c>
      <c r="J1289" s="205"/>
      <c r="K1289" s="205"/>
    </row>
    <row r="1290" ht="14.25" customHeight="1">
      <c r="A1290" s="55">
        <v>46945.0</v>
      </c>
      <c r="B1290" s="55" t="str">
        <f t="shared" si="10"/>
        <v>Primer dia</v>
      </c>
      <c r="C1290" s="202">
        <f t="shared" si="1"/>
        <v>11</v>
      </c>
      <c r="D1290" s="202" t="str">
        <f t="shared" si="2"/>
        <v> </v>
      </c>
      <c r="E1290" s="202" t="str">
        <f t="shared" si="9"/>
        <v> </v>
      </c>
      <c r="F1290" s="55" t="str">
        <f t="shared" si="4"/>
        <v/>
      </c>
      <c r="G1290" s="202" t="str">
        <f t="shared" si="5"/>
        <v/>
      </c>
      <c r="H1290" s="202" t="str">
        <f t="shared" si="11"/>
        <v> </v>
      </c>
      <c r="I1290" s="205" t="str">
        <f t="shared" si="7"/>
        <v/>
      </c>
      <c r="J1290" s="205"/>
      <c r="K1290" s="205"/>
    </row>
    <row r="1291" ht="14.25" customHeight="1">
      <c r="A1291" s="55">
        <v>46946.0</v>
      </c>
      <c r="B1291" s="55" t="str">
        <f t="shared" si="10"/>
        <v>Primer dia</v>
      </c>
      <c r="C1291" s="202">
        <f t="shared" si="1"/>
        <v>12</v>
      </c>
      <c r="D1291" s="202" t="str">
        <f t="shared" si="2"/>
        <v> </v>
      </c>
      <c r="E1291" s="202" t="str">
        <f t="shared" si="9"/>
        <v> </v>
      </c>
      <c r="F1291" s="55" t="str">
        <f t="shared" si="4"/>
        <v/>
      </c>
      <c r="G1291" s="202" t="str">
        <f t="shared" si="5"/>
        <v/>
      </c>
      <c r="H1291" s="202" t="str">
        <f t="shared" si="11"/>
        <v> </v>
      </c>
      <c r="I1291" s="205" t="str">
        <f t="shared" si="7"/>
        <v/>
      </c>
      <c r="J1291" s="205"/>
      <c r="K1291" s="205"/>
    </row>
    <row r="1292" ht="14.25" customHeight="1">
      <c r="A1292" s="55">
        <v>46947.0</v>
      </c>
      <c r="B1292" s="55" t="str">
        <f t="shared" si="10"/>
        <v>Primer dia</v>
      </c>
      <c r="C1292" s="202">
        <f t="shared" si="1"/>
        <v>13</v>
      </c>
      <c r="D1292" s="202" t="str">
        <f t="shared" si="2"/>
        <v> </v>
      </c>
      <c r="E1292" s="202" t="str">
        <f t="shared" si="9"/>
        <v> </v>
      </c>
      <c r="F1292" s="55" t="str">
        <f t="shared" si="4"/>
        <v/>
      </c>
      <c r="G1292" s="202" t="str">
        <f t="shared" si="5"/>
        <v/>
      </c>
      <c r="H1292" s="202" t="str">
        <f t="shared" si="11"/>
        <v> </v>
      </c>
      <c r="I1292" s="205" t="str">
        <f t="shared" si="7"/>
        <v/>
      </c>
      <c r="J1292" s="205"/>
      <c r="K1292" s="205"/>
    </row>
    <row r="1293" ht="14.25" customHeight="1">
      <c r="A1293" s="55">
        <v>46948.0</v>
      </c>
      <c r="B1293" s="55" t="str">
        <f t="shared" si="10"/>
        <v>Primer dia</v>
      </c>
      <c r="C1293" s="202">
        <f t="shared" si="1"/>
        <v>14</v>
      </c>
      <c r="D1293" s="202" t="str">
        <f t="shared" si="2"/>
        <v> </v>
      </c>
      <c r="E1293" s="202" t="str">
        <f t="shared" si="9"/>
        <v> </v>
      </c>
      <c r="F1293" s="55" t="str">
        <f t="shared" si="4"/>
        <v/>
      </c>
      <c r="G1293" s="202" t="str">
        <f t="shared" si="5"/>
        <v/>
      </c>
      <c r="H1293" s="202" t="str">
        <f t="shared" si="11"/>
        <v> </v>
      </c>
      <c r="I1293" s="205" t="str">
        <f t="shared" si="7"/>
        <v/>
      </c>
      <c r="J1293" s="205"/>
      <c r="K1293" s="205"/>
    </row>
    <row r="1294" ht="14.25" customHeight="1">
      <c r="A1294" s="55">
        <v>46949.0</v>
      </c>
      <c r="B1294" s="55" t="str">
        <f t="shared" si="10"/>
        <v>Primer dia</v>
      </c>
      <c r="C1294" s="202">
        <f t="shared" si="1"/>
        <v>15</v>
      </c>
      <c r="D1294" s="202" t="str">
        <f t="shared" si="2"/>
        <v> </v>
      </c>
      <c r="E1294" s="202" t="str">
        <f t="shared" si="9"/>
        <v> </v>
      </c>
      <c r="F1294" s="55" t="str">
        <f t="shared" si="4"/>
        <v/>
      </c>
      <c r="G1294" s="202" t="str">
        <f t="shared" si="5"/>
        <v/>
      </c>
      <c r="H1294" s="202" t="str">
        <f t="shared" si="11"/>
        <v> </v>
      </c>
      <c r="I1294" s="205" t="str">
        <f t="shared" si="7"/>
        <v/>
      </c>
      <c r="J1294" s="205"/>
      <c r="K1294" s="205"/>
    </row>
    <row r="1295" ht="14.25" customHeight="1">
      <c r="A1295" s="55">
        <v>46950.0</v>
      </c>
      <c r="B1295" s="55" t="str">
        <f t="shared" si="10"/>
        <v>Primer dia</v>
      </c>
      <c r="C1295" s="202">
        <f t="shared" si="1"/>
        <v>16</v>
      </c>
      <c r="D1295" s="202" t="str">
        <f t="shared" si="2"/>
        <v> </v>
      </c>
      <c r="E1295" s="202" t="str">
        <f t="shared" si="9"/>
        <v> </v>
      </c>
      <c r="F1295" s="55" t="str">
        <f t="shared" si="4"/>
        <v/>
      </c>
      <c r="G1295" s="202" t="str">
        <f t="shared" si="5"/>
        <v/>
      </c>
      <c r="H1295" s="202" t="str">
        <f t="shared" si="11"/>
        <v> </v>
      </c>
      <c r="I1295" s="205" t="str">
        <f t="shared" si="7"/>
        <v/>
      </c>
      <c r="J1295" s="205"/>
      <c r="K1295" s="205"/>
    </row>
    <row r="1296" ht="14.25" customHeight="1">
      <c r="A1296" s="55">
        <v>46951.0</v>
      </c>
      <c r="B1296" s="55" t="str">
        <f t="shared" si="10"/>
        <v>Primer dia</v>
      </c>
      <c r="C1296" s="202">
        <f t="shared" si="1"/>
        <v>17</v>
      </c>
      <c r="D1296" s="202" t="str">
        <f t="shared" si="2"/>
        <v> </v>
      </c>
      <c r="E1296" s="202">
        <f t="shared" si="9"/>
        <v>17</v>
      </c>
      <c r="F1296" s="55">
        <f t="shared" si="4"/>
        <v>46951</v>
      </c>
      <c r="G1296" s="202">
        <f t="shared" si="5"/>
        <v>60</v>
      </c>
      <c r="H1296" s="202" t="str">
        <f t="shared" si="11"/>
        <v> </v>
      </c>
      <c r="I1296" s="205" t="str">
        <f t="shared" si="7"/>
        <v/>
      </c>
      <c r="J1296" s="205"/>
      <c r="K1296" s="205"/>
    </row>
    <row r="1297" ht="14.25" customHeight="1">
      <c r="A1297" s="55">
        <v>46952.0</v>
      </c>
      <c r="B1297" s="55" t="str">
        <f t="shared" si="10"/>
        <v>Primer dia</v>
      </c>
      <c r="C1297" s="202">
        <f t="shared" si="1"/>
        <v>18</v>
      </c>
      <c r="D1297" s="202" t="str">
        <f t="shared" si="2"/>
        <v> </v>
      </c>
      <c r="E1297" s="202" t="str">
        <f t="shared" si="9"/>
        <v> </v>
      </c>
      <c r="F1297" s="55" t="str">
        <f t="shared" si="4"/>
        <v/>
      </c>
      <c r="G1297" s="202" t="str">
        <f t="shared" si="5"/>
        <v/>
      </c>
      <c r="H1297" s="202" t="str">
        <f t="shared" si="11"/>
        <v> </v>
      </c>
      <c r="I1297" s="205" t="str">
        <f t="shared" si="7"/>
        <v/>
      </c>
      <c r="J1297" s="205"/>
      <c r="K1297" s="205"/>
    </row>
    <row r="1298" ht="14.25" customHeight="1">
      <c r="A1298" s="55">
        <v>46953.0</v>
      </c>
      <c r="B1298" s="55" t="str">
        <f t="shared" si="10"/>
        <v>Primer dia</v>
      </c>
      <c r="C1298" s="202">
        <f t="shared" si="1"/>
        <v>19</v>
      </c>
      <c r="D1298" s="202" t="str">
        <f t="shared" si="2"/>
        <v> </v>
      </c>
      <c r="E1298" s="202" t="str">
        <f t="shared" si="9"/>
        <v> </v>
      </c>
      <c r="F1298" s="55" t="str">
        <f t="shared" si="4"/>
        <v/>
      </c>
      <c r="G1298" s="202" t="str">
        <f t="shared" si="5"/>
        <v/>
      </c>
      <c r="H1298" s="202" t="str">
        <f t="shared" si="11"/>
        <v> </v>
      </c>
      <c r="I1298" s="205" t="str">
        <f t="shared" si="7"/>
        <v/>
      </c>
      <c r="J1298" s="205"/>
      <c r="K1298" s="205"/>
    </row>
    <row r="1299" ht="14.25" customHeight="1">
      <c r="A1299" s="55">
        <v>46954.0</v>
      </c>
      <c r="B1299" s="55" t="str">
        <f t="shared" si="10"/>
        <v>Primer dia</v>
      </c>
      <c r="C1299" s="202">
        <f t="shared" si="1"/>
        <v>20</v>
      </c>
      <c r="D1299" s="202" t="str">
        <f t="shared" si="2"/>
        <v> </v>
      </c>
      <c r="E1299" s="202" t="str">
        <f t="shared" si="9"/>
        <v> </v>
      </c>
      <c r="F1299" s="55" t="str">
        <f t="shared" si="4"/>
        <v/>
      </c>
      <c r="G1299" s="202" t="str">
        <f t="shared" si="5"/>
        <v/>
      </c>
      <c r="H1299" s="202" t="str">
        <f t="shared" si="11"/>
        <v> </v>
      </c>
      <c r="I1299" s="205" t="str">
        <f t="shared" si="7"/>
        <v/>
      </c>
      <c r="J1299" s="205"/>
      <c r="K1299" s="205"/>
    </row>
    <row r="1300" ht="14.25" customHeight="1">
      <c r="A1300" s="55">
        <v>46955.0</v>
      </c>
      <c r="B1300" s="55" t="str">
        <f t="shared" si="10"/>
        <v>Primer dia</v>
      </c>
      <c r="C1300" s="202">
        <f t="shared" si="1"/>
        <v>21</v>
      </c>
      <c r="D1300" s="202" t="str">
        <f t="shared" si="2"/>
        <v> </v>
      </c>
      <c r="E1300" s="202" t="str">
        <f t="shared" si="9"/>
        <v> </v>
      </c>
      <c r="F1300" s="55" t="str">
        <f t="shared" si="4"/>
        <v/>
      </c>
      <c r="G1300" s="202" t="str">
        <f t="shared" si="5"/>
        <v/>
      </c>
      <c r="H1300" s="202" t="str">
        <f t="shared" si="11"/>
        <v> </v>
      </c>
      <c r="I1300" s="205" t="str">
        <f t="shared" si="7"/>
        <v/>
      </c>
      <c r="J1300" s="205"/>
      <c r="K1300" s="205"/>
    </row>
    <row r="1301" ht="14.25" customHeight="1">
      <c r="A1301" s="55">
        <v>46956.0</v>
      </c>
      <c r="B1301" s="55" t="str">
        <f t="shared" si="10"/>
        <v>Primer dia</v>
      </c>
      <c r="C1301" s="202">
        <f t="shared" si="1"/>
        <v>22</v>
      </c>
      <c r="D1301" s="202" t="str">
        <f t="shared" si="2"/>
        <v> </v>
      </c>
      <c r="E1301" s="202" t="str">
        <f t="shared" si="9"/>
        <v> </v>
      </c>
      <c r="F1301" s="55" t="str">
        <f t="shared" si="4"/>
        <v/>
      </c>
      <c r="G1301" s="202" t="str">
        <f t="shared" si="5"/>
        <v/>
      </c>
      <c r="H1301" s="202" t="str">
        <f t="shared" si="11"/>
        <v> </v>
      </c>
      <c r="I1301" s="205" t="str">
        <f t="shared" si="7"/>
        <v/>
      </c>
      <c r="J1301" s="205"/>
      <c r="K1301" s="205"/>
    </row>
    <row r="1302" ht="14.25" customHeight="1">
      <c r="A1302" s="55">
        <v>46957.0</v>
      </c>
      <c r="B1302" s="55" t="str">
        <f t="shared" si="10"/>
        <v>Primer dia</v>
      </c>
      <c r="C1302" s="202">
        <f t="shared" si="1"/>
        <v>23</v>
      </c>
      <c r="D1302" s="202" t="str">
        <f t="shared" si="2"/>
        <v> </v>
      </c>
      <c r="E1302" s="202" t="str">
        <f t="shared" si="9"/>
        <v> </v>
      </c>
      <c r="F1302" s="55" t="str">
        <f t="shared" si="4"/>
        <v/>
      </c>
      <c r="G1302" s="202" t="str">
        <f t="shared" si="5"/>
        <v/>
      </c>
      <c r="H1302" s="202" t="str">
        <f t="shared" si="11"/>
        <v> </v>
      </c>
      <c r="I1302" s="205" t="str">
        <f t="shared" si="7"/>
        <v/>
      </c>
      <c r="J1302" s="205"/>
      <c r="K1302" s="205"/>
    </row>
    <row r="1303" ht="14.25" customHeight="1">
      <c r="A1303" s="55">
        <v>46958.0</v>
      </c>
      <c r="B1303" s="55" t="str">
        <f t="shared" si="10"/>
        <v>Primer dia</v>
      </c>
      <c r="C1303" s="202">
        <f t="shared" si="1"/>
        <v>24</v>
      </c>
      <c r="D1303" s="202" t="str">
        <f t="shared" si="2"/>
        <v> </v>
      </c>
      <c r="E1303" s="202" t="str">
        <f t="shared" si="9"/>
        <v> </v>
      </c>
      <c r="F1303" s="55" t="str">
        <f t="shared" si="4"/>
        <v/>
      </c>
      <c r="G1303" s="202" t="str">
        <f t="shared" si="5"/>
        <v/>
      </c>
      <c r="H1303" s="202" t="str">
        <f t="shared" si="11"/>
        <v> </v>
      </c>
      <c r="I1303" s="205" t="str">
        <f t="shared" si="7"/>
        <v/>
      </c>
      <c r="J1303" s="205"/>
      <c r="K1303" s="205"/>
    </row>
    <row r="1304" ht="14.25" customHeight="1">
      <c r="A1304" s="55">
        <v>46959.0</v>
      </c>
      <c r="B1304" s="55" t="str">
        <f t="shared" si="10"/>
        <v>Primer dia</v>
      </c>
      <c r="C1304" s="202">
        <f t="shared" si="1"/>
        <v>25</v>
      </c>
      <c r="D1304" s="202" t="str">
        <f t="shared" si="2"/>
        <v> </v>
      </c>
      <c r="E1304" s="202" t="str">
        <f t="shared" si="9"/>
        <v> </v>
      </c>
      <c r="F1304" s="55" t="str">
        <f t="shared" si="4"/>
        <v/>
      </c>
      <c r="G1304" s="202" t="str">
        <f t="shared" si="5"/>
        <v/>
      </c>
      <c r="H1304" s="202" t="str">
        <f t="shared" si="11"/>
        <v> </v>
      </c>
      <c r="I1304" s="205" t="str">
        <f t="shared" si="7"/>
        <v/>
      </c>
      <c r="J1304" s="205"/>
      <c r="K1304" s="205"/>
    </row>
    <row r="1305" ht="14.25" customHeight="1">
      <c r="A1305" s="55">
        <v>46960.0</v>
      </c>
      <c r="B1305" s="55" t="str">
        <f t="shared" si="10"/>
        <v>Primer dia</v>
      </c>
      <c r="C1305" s="202">
        <f t="shared" si="1"/>
        <v>26</v>
      </c>
      <c r="D1305" s="202" t="str">
        <f t="shared" si="2"/>
        <v> </v>
      </c>
      <c r="E1305" s="202" t="str">
        <f t="shared" si="9"/>
        <v> </v>
      </c>
      <c r="F1305" s="55" t="str">
        <f t="shared" si="4"/>
        <v/>
      </c>
      <c r="G1305" s="202" t="str">
        <f t="shared" si="5"/>
        <v/>
      </c>
      <c r="H1305" s="202" t="str">
        <f t="shared" si="11"/>
        <v> </v>
      </c>
      <c r="I1305" s="205" t="str">
        <f t="shared" si="7"/>
        <v/>
      </c>
      <c r="J1305" s="205"/>
      <c r="K1305" s="205"/>
    </row>
    <row r="1306" ht="14.25" customHeight="1">
      <c r="A1306" s="55">
        <v>46961.0</v>
      </c>
      <c r="B1306" s="55" t="str">
        <f t="shared" si="10"/>
        <v>Primer dia</v>
      </c>
      <c r="C1306" s="202">
        <f t="shared" si="1"/>
        <v>27</v>
      </c>
      <c r="D1306" s="202" t="str">
        <f t="shared" si="2"/>
        <v> </v>
      </c>
      <c r="E1306" s="202" t="str">
        <f t="shared" si="9"/>
        <v> </v>
      </c>
      <c r="F1306" s="55" t="str">
        <f t="shared" si="4"/>
        <v/>
      </c>
      <c r="G1306" s="202" t="str">
        <f t="shared" si="5"/>
        <v/>
      </c>
      <c r="H1306" s="202" t="str">
        <f t="shared" si="11"/>
        <v> </v>
      </c>
      <c r="I1306" s="205" t="str">
        <f t="shared" si="7"/>
        <v/>
      </c>
      <c r="J1306" s="205"/>
      <c r="K1306" s="205"/>
    </row>
    <row r="1307" ht="14.25" customHeight="1">
      <c r="A1307" s="55">
        <v>46962.0</v>
      </c>
      <c r="B1307" s="55" t="str">
        <f t="shared" si="10"/>
        <v>Primer dia</v>
      </c>
      <c r="C1307" s="202">
        <f t="shared" si="1"/>
        <v>28</v>
      </c>
      <c r="D1307" s="202" t="str">
        <f t="shared" si="2"/>
        <v> </v>
      </c>
      <c r="E1307" s="202" t="str">
        <f t="shared" si="9"/>
        <v> </v>
      </c>
      <c r="F1307" s="55" t="str">
        <f t="shared" si="4"/>
        <v/>
      </c>
      <c r="G1307" s="202" t="str">
        <f t="shared" si="5"/>
        <v/>
      </c>
      <c r="H1307" s="202" t="str">
        <f t="shared" si="11"/>
        <v> </v>
      </c>
      <c r="I1307" s="205" t="str">
        <f t="shared" si="7"/>
        <v/>
      </c>
      <c r="J1307" s="205"/>
      <c r="K1307" s="205"/>
    </row>
    <row r="1308" ht="14.25" customHeight="1">
      <c r="A1308" s="55">
        <v>46963.0</v>
      </c>
      <c r="B1308" s="55" t="str">
        <f t="shared" si="10"/>
        <v>Primer dia</v>
      </c>
      <c r="C1308" s="202">
        <f t="shared" si="1"/>
        <v>29</v>
      </c>
      <c r="D1308" s="202" t="str">
        <f t="shared" si="2"/>
        <v> </v>
      </c>
      <c r="E1308" s="202" t="str">
        <f t="shared" si="9"/>
        <v> </v>
      </c>
      <c r="F1308" s="55" t="str">
        <f t="shared" si="4"/>
        <v/>
      </c>
      <c r="G1308" s="202" t="str">
        <f t="shared" si="5"/>
        <v/>
      </c>
      <c r="H1308" s="202" t="str">
        <f t="shared" si="11"/>
        <v> </v>
      </c>
      <c r="I1308" s="205" t="str">
        <f t="shared" si="7"/>
        <v/>
      </c>
      <c r="J1308" s="205"/>
      <c r="K1308" s="205"/>
    </row>
    <row r="1309" ht="14.25" customHeight="1">
      <c r="A1309" s="55">
        <v>46964.0</v>
      </c>
      <c r="B1309" s="55" t="str">
        <f t="shared" si="10"/>
        <v>Primer dia</v>
      </c>
      <c r="C1309" s="202">
        <f t="shared" si="1"/>
        <v>30</v>
      </c>
      <c r="D1309" s="202" t="str">
        <f t="shared" si="2"/>
        <v> </v>
      </c>
      <c r="E1309" s="202" t="str">
        <f t="shared" si="9"/>
        <v> </v>
      </c>
      <c r="F1309" s="55" t="str">
        <f t="shared" si="4"/>
        <v/>
      </c>
      <c r="G1309" s="202" t="str">
        <f t="shared" si="5"/>
        <v/>
      </c>
      <c r="H1309" s="202" t="str">
        <f t="shared" si="11"/>
        <v> </v>
      </c>
      <c r="I1309" s="205" t="str">
        <f t="shared" si="7"/>
        <v/>
      </c>
      <c r="J1309" s="205"/>
      <c r="K1309" s="205"/>
    </row>
    <row r="1310" ht="14.25" customHeight="1">
      <c r="A1310" s="55">
        <v>46965.0</v>
      </c>
      <c r="B1310" s="55" t="str">
        <f t="shared" si="10"/>
        <v>Primer dia</v>
      </c>
      <c r="C1310" s="202">
        <f t="shared" si="1"/>
        <v>31</v>
      </c>
      <c r="D1310" s="202" t="str">
        <f t="shared" si="2"/>
        <v> </v>
      </c>
      <c r="E1310" s="202" t="str">
        <f t="shared" si="9"/>
        <v> </v>
      </c>
      <c r="F1310" s="55" t="str">
        <f t="shared" si="4"/>
        <v/>
      </c>
      <c r="G1310" s="202" t="str">
        <f t="shared" si="5"/>
        <v/>
      </c>
      <c r="H1310" s="202" t="str">
        <f t="shared" si="11"/>
        <v> </v>
      </c>
      <c r="I1310" s="205" t="str">
        <f t="shared" si="7"/>
        <v/>
      </c>
      <c r="J1310" s="205"/>
      <c r="K1310" s="205"/>
    </row>
    <row r="1311" ht="14.25" customHeight="1">
      <c r="A1311" s="55">
        <v>46966.0</v>
      </c>
      <c r="B1311" s="55" t="str">
        <f t="shared" si="10"/>
        <v>Primer dia</v>
      </c>
      <c r="C1311" s="202">
        <f t="shared" si="1"/>
        <v>1</v>
      </c>
      <c r="D1311" s="202" t="str">
        <f t="shared" si="2"/>
        <v> </v>
      </c>
      <c r="E1311" s="202" t="str">
        <f t="shared" si="9"/>
        <v> </v>
      </c>
      <c r="F1311" s="55" t="str">
        <f t="shared" si="4"/>
        <v/>
      </c>
      <c r="G1311" s="202" t="str">
        <f t="shared" si="5"/>
        <v/>
      </c>
      <c r="H1311" s="202" t="str">
        <f t="shared" si="11"/>
        <v> </v>
      </c>
      <c r="I1311" s="205" t="str">
        <f t="shared" si="7"/>
        <v/>
      </c>
      <c r="J1311" s="205"/>
      <c r="K1311" s="205"/>
    </row>
    <row r="1312" ht="14.25" customHeight="1">
      <c r="A1312" s="55">
        <v>46967.0</v>
      </c>
      <c r="B1312" s="55" t="str">
        <f t="shared" si="10"/>
        <v>Primer dia</v>
      </c>
      <c r="C1312" s="202">
        <f t="shared" si="1"/>
        <v>2</v>
      </c>
      <c r="D1312" s="202" t="str">
        <f t="shared" si="2"/>
        <v> </v>
      </c>
      <c r="E1312" s="202">
        <f t="shared" si="9"/>
        <v>2</v>
      </c>
      <c r="F1312" s="55">
        <f t="shared" si="4"/>
        <v>46967</v>
      </c>
      <c r="G1312" s="202">
        <f t="shared" si="5"/>
        <v>61</v>
      </c>
      <c r="H1312" s="202" t="str">
        <f t="shared" si="11"/>
        <v> </v>
      </c>
      <c r="I1312" s="205" t="str">
        <f t="shared" si="7"/>
        <v/>
      </c>
      <c r="J1312" s="205"/>
      <c r="K1312" s="205"/>
    </row>
    <row r="1313" ht="14.25" customHeight="1">
      <c r="A1313" s="55">
        <v>46968.0</v>
      </c>
      <c r="B1313" s="55" t="str">
        <f t="shared" si="10"/>
        <v>Primer dia</v>
      </c>
      <c r="C1313" s="202">
        <f t="shared" si="1"/>
        <v>3</v>
      </c>
      <c r="D1313" s="202" t="str">
        <f t="shared" si="2"/>
        <v> </v>
      </c>
      <c r="E1313" s="202" t="str">
        <f t="shared" si="9"/>
        <v> </v>
      </c>
      <c r="F1313" s="55" t="str">
        <f t="shared" si="4"/>
        <v/>
      </c>
      <c r="G1313" s="202" t="str">
        <f t="shared" si="5"/>
        <v/>
      </c>
      <c r="H1313" s="202" t="str">
        <f t="shared" si="11"/>
        <v> </v>
      </c>
      <c r="I1313" s="205" t="str">
        <f t="shared" si="7"/>
        <v/>
      </c>
      <c r="J1313" s="205"/>
      <c r="K1313" s="205"/>
    </row>
    <row r="1314" ht="14.25" customHeight="1">
      <c r="A1314" s="55">
        <v>46969.0</v>
      </c>
      <c r="B1314" s="55" t="str">
        <f t="shared" si="10"/>
        <v>Primer dia</v>
      </c>
      <c r="C1314" s="202">
        <f t="shared" si="1"/>
        <v>4</v>
      </c>
      <c r="D1314" s="202" t="str">
        <f t="shared" si="2"/>
        <v> </v>
      </c>
      <c r="E1314" s="202" t="str">
        <f t="shared" si="9"/>
        <v> </v>
      </c>
      <c r="F1314" s="55" t="str">
        <f t="shared" si="4"/>
        <v/>
      </c>
      <c r="G1314" s="202" t="str">
        <f t="shared" si="5"/>
        <v/>
      </c>
      <c r="H1314" s="202" t="str">
        <f t="shared" si="11"/>
        <v> </v>
      </c>
      <c r="I1314" s="205" t="str">
        <f t="shared" si="7"/>
        <v/>
      </c>
      <c r="J1314" s="205"/>
      <c r="K1314" s="205"/>
    </row>
    <row r="1315" ht="14.25" customHeight="1">
      <c r="A1315" s="55">
        <v>46970.0</v>
      </c>
      <c r="B1315" s="55" t="str">
        <f t="shared" si="10"/>
        <v>Primer dia</v>
      </c>
      <c r="C1315" s="202">
        <f t="shared" si="1"/>
        <v>5</v>
      </c>
      <c r="D1315" s="202" t="str">
        <f t="shared" si="2"/>
        <v> </v>
      </c>
      <c r="E1315" s="202" t="str">
        <f t="shared" si="9"/>
        <v> </v>
      </c>
      <c r="F1315" s="55" t="str">
        <f t="shared" si="4"/>
        <v/>
      </c>
      <c r="G1315" s="202" t="str">
        <f t="shared" si="5"/>
        <v/>
      </c>
      <c r="H1315" s="202" t="str">
        <f t="shared" si="11"/>
        <v> </v>
      </c>
      <c r="I1315" s="205" t="str">
        <f t="shared" si="7"/>
        <v/>
      </c>
      <c r="J1315" s="205"/>
      <c r="K1315" s="205"/>
    </row>
    <row r="1316" ht="14.25" customHeight="1">
      <c r="A1316" s="55">
        <v>46971.0</v>
      </c>
      <c r="B1316" s="55" t="str">
        <f t="shared" si="10"/>
        <v>Primer dia</v>
      </c>
      <c r="C1316" s="202">
        <f t="shared" si="1"/>
        <v>6</v>
      </c>
      <c r="D1316" s="202" t="str">
        <f t="shared" si="2"/>
        <v> </v>
      </c>
      <c r="E1316" s="202" t="str">
        <f t="shared" si="9"/>
        <v> </v>
      </c>
      <c r="F1316" s="55" t="str">
        <f t="shared" si="4"/>
        <v/>
      </c>
      <c r="G1316" s="202" t="str">
        <f t="shared" si="5"/>
        <v/>
      </c>
      <c r="H1316" s="202" t="str">
        <f t="shared" si="11"/>
        <v> </v>
      </c>
      <c r="I1316" s="205" t="str">
        <f t="shared" si="7"/>
        <v/>
      </c>
      <c r="J1316" s="205"/>
      <c r="K1316" s="205"/>
    </row>
    <row r="1317" ht="14.25" customHeight="1">
      <c r="A1317" s="55">
        <v>46972.0</v>
      </c>
      <c r="B1317" s="55" t="str">
        <f t="shared" si="10"/>
        <v>Primer dia</v>
      </c>
      <c r="C1317" s="202">
        <f t="shared" si="1"/>
        <v>7</v>
      </c>
      <c r="D1317" s="202" t="str">
        <f t="shared" si="2"/>
        <v> </v>
      </c>
      <c r="E1317" s="202" t="str">
        <f t="shared" si="9"/>
        <v> </v>
      </c>
      <c r="F1317" s="55" t="str">
        <f t="shared" si="4"/>
        <v/>
      </c>
      <c r="G1317" s="202" t="str">
        <f t="shared" si="5"/>
        <v/>
      </c>
      <c r="H1317" s="202" t="str">
        <f t="shared" si="11"/>
        <v> </v>
      </c>
      <c r="I1317" s="205" t="str">
        <f t="shared" si="7"/>
        <v/>
      </c>
      <c r="J1317" s="205"/>
      <c r="K1317" s="205"/>
    </row>
    <row r="1318" ht="14.25" customHeight="1">
      <c r="A1318" s="55">
        <v>46973.0</v>
      </c>
      <c r="B1318" s="55" t="str">
        <f t="shared" si="10"/>
        <v>Primer dia</v>
      </c>
      <c r="C1318" s="202">
        <f t="shared" si="1"/>
        <v>8</v>
      </c>
      <c r="D1318" s="202" t="str">
        <f t="shared" si="2"/>
        <v> </v>
      </c>
      <c r="E1318" s="202" t="str">
        <f t="shared" si="9"/>
        <v> </v>
      </c>
      <c r="F1318" s="55" t="str">
        <f t="shared" si="4"/>
        <v/>
      </c>
      <c r="G1318" s="202" t="str">
        <f t="shared" si="5"/>
        <v/>
      </c>
      <c r="H1318" s="202" t="str">
        <f t="shared" si="11"/>
        <v> </v>
      </c>
      <c r="I1318" s="205" t="str">
        <f t="shared" si="7"/>
        <v/>
      </c>
      <c r="J1318" s="205"/>
      <c r="K1318" s="205"/>
    </row>
    <row r="1319" ht="14.25" customHeight="1">
      <c r="A1319" s="55">
        <v>46974.0</v>
      </c>
      <c r="B1319" s="55" t="str">
        <f t="shared" si="10"/>
        <v>Primer dia</v>
      </c>
      <c r="C1319" s="202">
        <f t="shared" si="1"/>
        <v>9</v>
      </c>
      <c r="D1319" s="202" t="str">
        <f t="shared" si="2"/>
        <v> </v>
      </c>
      <c r="E1319" s="202" t="str">
        <f t="shared" si="9"/>
        <v> </v>
      </c>
      <c r="F1319" s="55" t="str">
        <f t="shared" si="4"/>
        <v/>
      </c>
      <c r="G1319" s="202" t="str">
        <f t="shared" si="5"/>
        <v/>
      </c>
      <c r="H1319" s="202" t="str">
        <f t="shared" si="11"/>
        <v> </v>
      </c>
      <c r="I1319" s="205" t="str">
        <f t="shared" si="7"/>
        <v/>
      </c>
      <c r="J1319" s="205"/>
      <c r="K1319" s="205"/>
    </row>
    <row r="1320" ht="14.25" customHeight="1">
      <c r="A1320" s="55">
        <v>46975.0</v>
      </c>
      <c r="B1320" s="55" t="str">
        <f t="shared" si="10"/>
        <v>Primer dia</v>
      </c>
      <c r="C1320" s="202">
        <f t="shared" si="1"/>
        <v>10</v>
      </c>
      <c r="D1320" s="202" t="str">
        <f t="shared" si="2"/>
        <v> </v>
      </c>
      <c r="E1320" s="202" t="str">
        <f t="shared" si="9"/>
        <v> </v>
      </c>
      <c r="F1320" s="55" t="str">
        <f t="shared" si="4"/>
        <v/>
      </c>
      <c r="G1320" s="202" t="str">
        <f t="shared" si="5"/>
        <v/>
      </c>
      <c r="H1320" s="202" t="str">
        <f t="shared" si="11"/>
        <v> </v>
      </c>
      <c r="I1320" s="205" t="str">
        <f t="shared" si="7"/>
        <v/>
      </c>
      <c r="J1320" s="205"/>
      <c r="K1320" s="205"/>
    </row>
    <row r="1321" ht="14.25" customHeight="1">
      <c r="A1321" s="55">
        <v>46976.0</v>
      </c>
      <c r="B1321" s="55" t="str">
        <f t="shared" si="10"/>
        <v>Primer dia</v>
      </c>
      <c r="C1321" s="202">
        <f t="shared" si="1"/>
        <v>11</v>
      </c>
      <c r="D1321" s="202" t="str">
        <f t="shared" si="2"/>
        <v> </v>
      </c>
      <c r="E1321" s="202" t="str">
        <f t="shared" si="9"/>
        <v> </v>
      </c>
      <c r="F1321" s="55" t="str">
        <f t="shared" si="4"/>
        <v/>
      </c>
      <c r="G1321" s="202" t="str">
        <f t="shared" si="5"/>
        <v/>
      </c>
      <c r="H1321" s="202" t="str">
        <f t="shared" si="11"/>
        <v> </v>
      </c>
      <c r="I1321" s="205" t="str">
        <f t="shared" si="7"/>
        <v/>
      </c>
      <c r="J1321" s="205"/>
      <c r="K1321" s="205"/>
    </row>
    <row r="1322" ht="14.25" customHeight="1">
      <c r="A1322" s="55">
        <v>46977.0</v>
      </c>
      <c r="B1322" s="55" t="str">
        <f t="shared" si="10"/>
        <v>Primer dia</v>
      </c>
      <c r="C1322" s="202">
        <f t="shared" si="1"/>
        <v>12</v>
      </c>
      <c r="D1322" s="202" t="str">
        <f t="shared" si="2"/>
        <v> </v>
      </c>
      <c r="E1322" s="202" t="str">
        <f t="shared" si="9"/>
        <v> </v>
      </c>
      <c r="F1322" s="55" t="str">
        <f t="shared" si="4"/>
        <v/>
      </c>
      <c r="G1322" s="202" t="str">
        <f t="shared" si="5"/>
        <v/>
      </c>
      <c r="H1322" s="202" t="str">
        <f t="shared" si="11"/>
        <v> </v>
      </c>
      <c r="I1322" s="205" t="str">
        <f t="shared" si="7"/>
        <v/>
      </c>
      <c r="J1322" s="205"/>
      <c r="K1322" s="205"/>
    </row>
    <row r="1323" ht="14.25" customHeight="1">
      <c r="A1323" s="55">
        <v>46978.0</v>
      </c>
      <c r="B1323" s="55" t="str">
        <f t="shared" si="10"/>
        <v>Primer dia</v>
      </c>
      <c r="C1323" s="202">
        <f t="shared" si="1"/>
        <v>13</v>
      </c>
      <c r="D1323" s="202" t="str">
        <f t="shared" si="2"/>
        <v> </v>
      </c>
      <c r="E1323" s="202" t="str">
        <f t="shared" si="9"/>
        <v> </v>
      </c>
      <c r="F1323" s="55" t="str">
        <f t="shared" si="4"/>
        <v/>
      </c>
      <c r="G1323" s="202" t="str">
        <f t="shared" si="5"/>
        <v/>
      </c>
      <c r="H1323" s="202" t="str">
        <f t="shared" si="11"/>
        <v> </v>
      </c>
      <c r="I1323" s="205" t="str">
        <f t="shared" si="7"/>
        <v/>
      </c>
      <c r="J1323" s="205"/>
      <c r="K1323" s="205"/>
    </row>
    <row r="1324" ht="14.25" customHeight="1">
      <c r="A1324" s="55">
        <v>46979.0</v>
      </c>
      <c r="B1324" s="55" t="str">
        <f t="shared" si="10"/>
        <v>Primer dia</v>
      </c>
      <c r="C1324" s="202">
        <f t="shared" si="1"/>
        <v>14</v>
      </c>
      <c r="D1324" s="202" t="str">
        <f t="shared" si="2"/>
        <v> </v>
      </c>
      <c r="E1324" s="202" t="str">
        <f t="shared" si="9"/>
        <v> </v>
      </c>
      <c r="F1324" s="55" t="str">
        <f t="shared" si="4"/>
        <v/>
      </c>
      <c r="G1324" s="202" t="str">
        <f t="shared" si="5"/>
        <v/>
      </c>
      <c r="H1324" s="202" t="str">
        <f t="shared" si="11"/>
        <v> </v>
      </c>
      <c r="I1324" s="205" t="str">
        <f t="shared" si="7"/>
        <v/>
      </c>
      <c r="J1324" s="205"/>
      <c r="K1324" s="205"/>
    </row>
    <row r="1325" ht="14.25" customHeight="1">
      <c r="A1325" s="55">
        <v>46980.0</v>
      </c>
      <c r="B1325" s="55" t="str">
        <f t="shared" si="10"/>
        <v>Primer dia</v>
      </c>
      <c r="C1325" s="202">
        <f t="shared" si="1"/>
        <v>15</v>
      </c>
      <c r="D1325" s="202" t="str">
        <f t="shared" si="2"/>
        <v> </v>
      </c>
      <c r="E1325" s="202" t="str">
        <f t="shared" si="9"/>
        <v> </v>
      </c>
      <c r="F1325" s="55" t="str">
        <f t="shared" si="4"/>
        <v/>
      </c>
      <c r="G1325" s="202" t="str">
        <f t="shared" si="5"/>
        <v/>
      </c>
      <c r="H1325" s="202" t="str">
        <f t="shared" si="11"/>
        <v> </v>
      </c>
      <c r="I1325" s="205" t="str">
        <f t="shared" si="7"/>
        <v/>
      </c>
      <c r="J1325" s="205"/>
      <c r="K1325" s="205"/>
    </row>
    <row r="1326" ht="14.25" customHeight="1">
      <c r="A1326" s="55">
        <v>46981.0</v>
      </c>
      <c r="B1326" s="55" t="str">
        <f t="shared" si="10"/>
        <v>Primer dia</v>
      </c>
      <c r="C1326" s="202">
        <f t="shared" si="1"/>
        <v>16</v>
      </c>
      <c r="D1326" s="202" t="str">
        <f t="shared" si="2"/>
        <v> </v>
      </c>
      <c r="E1326" s="202" t="str">
        <f t="shared" si="9"/>
        <v> </v>
      </c>
      <c r="F1326" s="55" t="str">
        <f t="shared" si="4"/>
        <v/>
      </c>
      <c r="G1326" s="202" t="str">
        <f t="shared" si="5"/>
        <v/>
      </c>
      <c r="H1326" s="202" t="str">
        <f t="shared" si="11"/>
        <v> </v>
      </c>
      <c r="I1326" s="205" t="str">
        <f t="shared" si="7"/>
        <v/>
      </c>
      <c r="J1326" s="205"/>
      <c r="K1326" s="205"/>
    </row>
    <row r="1327" ht="14.25" customHeight="1">
      <c r="A1327" s="55">
        <v>46982.0</v>
      </c>
      <c r="B1327" s="55" t="str">
        <f t="shared" si="10"/>
        <v>Primer dia</v>
      </c>
      <c r="C1327" s="202">
        <f t="shared" si="1"/>
        <v>17</v>
      </c>
      <c r="D1327" s="202" t="str">
        <f t="shared" si="2"/>
        <v> </v>
      </c>
      <c r="E1327" s="202">
        <f t="shared" si="9"/>
        <v>17</v>
      </c>
      <c r="F1327" s="55">
        <f t="shared" si="4"/>
        <v>46982</v>
      </c>
      <c r="G1327" s="202">
        <f t="shared" si="5"/>
        <v>62</v>
      </c>
      <c r="H1327" s="202" t="str">
        <f t="shared" si="11"/>
        <v> </v>
      </c>
      <c r="I1327" s="205" t="str">
        <f t="shared" si="7"/>
        <v/>
      </c>
      <c r="J1327" s="205"/>
      <c r="K1327" s="205"/>
    </row>
    <row r="1328" ht="14.25" customHeight="1">
      <c r="A1328" s="55">
        <v>46983.0</v>
      </c>
      <c r="B1328" s="55" t="str">
        <f t="shared" si="10"/>
        <v>Primer dia</v>
      </c>
      <c r="C1328" s="202">
        <f t="shared" si="1"/>
        <v>18</v>
      </c>
      <c r="D1328" s="202" t="str">
        <f t="shared" si="2"/>
        <v> </v>
      </c>
      <c r="E1328" s="202" t="str">
        <f t="shared" si="9"/>
        <v> </v>
      </c>
      <c r="F1328" s="55" t="str">
        <f t="shared" si="4"/>
        <v/>
      </c>
      <c r="G1328" s="202" t="str">
        <f t="shared" si="5"/>
        <v/>
      </c>
      <c r="H1328" s="202" t="str">
        <f t="shared" si="11"/>
        <v> </v>
      </c>
      <c r="I1328" s="205" t="str">
        <f t="shared" si="7"/>
        <v/>
      </c>
      <c r="J1328" s="205"/>
      <c r="K1328" s="205"/>
    </row>
    <row r="1329" ht="14.25" customHeight="1">
      <c r="A1329" s="55">
        <v>46984.0</v>
      </c>
      <c r="B1329" s="55" t="str">
        <f t="shared" si="10"/>
        <v>Primer dia</v>
      </c>
      <c r="C1329" s="202">
        <f t="shared" si="1"/>
        <v>19</v>
      </c>
      <c r="D1329" s="202" t="str">
        <f t="shared" si="2"/>
        <v> </v>
      </c>
      <c r="E1329" s="202" t="str">
        <f t="shared" si="9"/>
        <v> </v>
      </c>
      <c r="F1329" s="55" t="str">
        <f t="shared" si="4"/>
        <v/>
      </c>
      <c r="G1329" s="202" t="str">
        <f t="shared" si="5"/>
        <v/>
      </c>
      <c r="H1329" s="202" t="str">
        <f t="shared" si="11"/>
        <v> </v>
      </c>
      <c r="I1329" s="205" t="str">
        <f t="shared" si="7"/>
        <v/>
      </c>
      <c r="J1329" s="205"/>
      <c r="K1329" s="205"/>
    </row>
    <row r="1330" ht="14.25" customHeight="1">
      <c r="A1330" s="55">
        <v>46985.0</v>
      </c>
      <c r="B1330" s="55" t="str">
        <f t="shared" si="10"/>
        <v>Primer dia</v>
      </c>
      <c r="C1330" s="202">
        <f t="shared" si="1"/>
        <v>20</v>
      </c>
      <c r="D1330" s="202" t="str">
        <f t="shared" si="2"/>
        <v> </v>
      </c>
      <c r="E1330" s="202" t="str">
        <f t="shared" si="9"/>
        <v> </v>
      </c>
      <c r="F1330" s="55" t="str">
        <f t="shared" si="4"/>
        <v/>
      </c>
      <c r="G1330" s="202" t="str">
        <f t="shared" si="5"/>
        <v/>
      </c>
      <c r="H1330" s="202" t="str">
        <f t="shared" si="11"/>
        <v> </v>
      </c>
      <c r="I1330" s="205" t="str">
        <f t="shared" si="7"/>
        <v/>
      </c>
      <c r="J1330" s="205"/>
      <c r="K1330" s="205"/>
    </row>
    <row r="1331" ht="14.25" customHeight="1">
      <c r="A1331" s="55">
        <v>46986.0</v>
      </c>
      <c r="B1331" s="55" t="str">
        <f t="shared" si="10"/>
        <v>Primer dia</v>
      </c>
      <c r="C1331" s="202">
        <f t="shared" si="1"/>
        <v>21</v>
      </c>
      <c r="D1331" s="202" t="str">
        <f t="shared" si="2"/>
        <v> </v>
      </c>
      <c r="E1331" s="202" t="str">
        <f t="shared" si="9"/>
        <v> </v>
      </c>
      <c r="F1331" s="55" t="str">
        <f t="shared" si="4"/>
        <v/>
      </c>
      <c r="G1331" s="202" t="str">
        <f t="shared" si="5"/>
        <v/>
      </c>
      <c r="H1331" s="202" t="str">
        <f t="shared" si="11"/>
        <v> </v>
      </c>
      <c r="I1331" s="205" t="str">
        <f t="shared" si="7"/>
        <v/>
      </c>
      <c r="J1331" s="205"/>
      <c r="K1331" s="205"/>
    </row>
    <row r="1332" ht="14.25" customHeight="1">
      <c r="A1332" s="55">
        <v>46987.0</v>
      </c>
      <c r="B1332" s="55" t="str">
        <f t="shared" si="10"/>
        <v>Primer dia</v>
      </c>
      <c r="C1332" s="202">
        <f t="shared" si="1"/>
        <v>22</v>
      </c>
      <c r="D1332" s="202" t="str">
        <f t="shared" si="2"/>
        <v> </v>
      </c>
      <c r="E1332" s="202" t="str">
        <f t="shared" si="9"/>
        <v> </v>
      </c>
      <c r="F1332" s="55" t="str">
        <f t="shared" si="4"/>
        <v/>
      </c>
      <c r="G1332" s="202" t="str">
        <f t="shared" si="5"/>
        <v/>
      </c>
      <c r="H1332" s="202" t="str">
        <f t="shared" si="11"/>
        <v> </v>
      </c>
      <c r="I1332" s="205" t="str">
        <f t="shared" si="7"/>
        <v/>
      </c>
      <c r="J1332" s="205"/>
      <c r="K1332" s="205"/>
    </row>
    <row r="1333" ht="14.25" customHeight="1">
      <c r="A1333" s="55">
        <v>46988.0</v>
      </c>
      <c r="B1333" s="55" t="str">
        <f t="shared" si="10"/>
        <v>Primer dia</v>
      </c>
      <c r="C1333" s="202">
        <f t="shared" si="1"/>
        <v>23</v>
      </c>
      <c r="D1333" s="202" t="str">
        <f t="shared" si="2"/>
        <v> </v>
      </c>
      <c r="E1333" s="202" t="str">
        <f t="shared" si="9"/>
        <v> </v>
      </c>
      <c r="F1333" s="55" t="str">
        <f t="shared" si="4"/>
        <v/>
      </c>
      <c r="G1333" s="202" t="str">
        <f t="shared" si="5"/>
        <v/>
      </c>
      <c r="H1333" s="202" t="str">
        <f t="shared" si="11"/>
        <v> </v>
      </c>
      <c r="I1333" s="205" t="str">
        <f t="shared" si="7"/>
        <v/>
      </c>
      <c r="J1333" s="205"/>
      <c r="K1333" s="205"/>
    </row>
    <row r="1334" ht="14.25" customHeight="1">
      <c r="A1334" s="55">
        <v>46989.0</v>
      </c>
      <c r="B1334" s="55" t="str">
        <f t="shared" si="10"/>
        <v>Primer dia</v>
      </c>
      <c r="C1334" s="202">
        <f t="shared" si="1"/>
        <v>24</v>
      </c>
      <c r="D1334" s="202" t="str">
        <f t="shared" si="2"/>
        <v> </v>
      </c>
      <c r="E1334" s="202" t="str">
        <f t="shared" si="9"/>
        <v> </v>
      </c>
      <c r="F1334" s="55" t="str">
        <f t="shared" si="4"/>
        <v/>
      </c>
      <c r="G1334" s="202" t="str">
        <f t="shared" si="5"/>
        <v/>
      </c>
      <c r="H1334" s="202" t="str">
        <f t="shared" si="11"/>
        <v> </v>
      </c>
      <c r="I1334" s="205" t="str">
        <f t="shared" si="7"/>
        <v/>
      </c>
      <c r="J1334" s="205"/>
      <c r="K1334" s="205"/>
    </row>
    <row r="1335" ht="14.25" customHeight="1">
      <c r="A1335" s="55">
        <v>46990.0</v>
      </c>
      <c r="B1335" s="55" t="str">
        <f t="shared" si="10"/>
        <v>Primer dia</v>
      </c>
      <c r="C1335" s="202">
        <f t="shared" si="1"/>
        <v>25</v>
      </c>
      <c r="D1335" s="202" t="str">
        <f t="shared" si="2"/>
        <v> </v>
      </c>
      <c r="E1335" s="202" t="str">
        <f t="shared" si="9"/>
        <v> </v>
      </c>
      <c r="F1335" s="55" t="str">
        <f t="shared" si="4"/>
        <v/>
      </c>
      <c r="G1335" s="202" t="str">
        <f t="shared" si="5"/>
        <v/>
      </c>
      <c r="H1335" s="202" t="str">
        <f t="shared" si="11"/>
        <v> </v>
      </c>
      <c r="I1335" s="205" t="str">
        <f t="shared" si="7"/>
        <v/>
      </c>
      <c r="J1335" s="205"/>
      <c r="K1335" s="205"/>
    </row>
    <row r="1336" ht="14.25" customHeight="1">
      <c r="A1336" s="55">
        <v>46991.0</v>
      </c>
      <c r="B1336" s="55" t="str">
        <f t="shared" si="10"/>
        <v>Primer dia</v>
      </c>
      <c r="C1336" s="202">
        <f t="shared" si="1"/>
        <v>26</v>
      </c>
      <c r="D1336" s="202" t="str">
        <f t="shared" si="2"/>
        <v> </v>
      </c>
      <c r="E1336" s="202" t="str">
        <f t="shared" si="9"/>
        <v> </v>
      </c>
      <c r="F1336" s="55" t="str">
        <f t="shared" si="4"/>
        <v/>
      </c>
      <c r="G1336" s="202" t="str">
        <f t="shared" si="5"/>
        <v/>
      </c>
      <c r="H1336" s="202" t="str">
        <f t="shared" si="11"/>
        <v> </v>
      </c>
      <c r="I1336" s="205" t="str">
        <f t="shared" si="7"/>
        <v/>
      </c>
      <c r="J1336" s="205"/>
      <c r="K1336" s="205"/>
    </row>
    <row r="1337" ht="14.25" customHeight="1">
      <c r="A1337" s="55">
        <v>46992.0</v>
      </c>
      <c r="B1337" s="55" t="str">
        <f t="shared" si="10"/>
        <v>Primer dia</v>
      </c>
      <c r="C1337" s="202">
        <f t="shared" si="1"/>
        <v>27</v>
      </c>
      <c r="D1337" s="202" t="str">
        <f t="shared" si="2"/>
        <v> </v>
      </c>
      <c r="E1337" s="202" t="str">
        <f t="shared" si="9"/>
        <v> </v>
      </c>
      <c r="F1337" s="55" t="str">
        <f t="shared" si="4"/>
        <v/>
      </c>
      <c r="G1337" s="202" t="str">
        <f t="shared" si="5"/>
        <v/>
      </c>
      <c r="H1337" s="202" t="str">
        <f t="shared" si="11"/>
        <v> </v>
      </c>
      <c r="I1337" s="205" t="str">
        <f t="shared" si="7"/>
        <v/>
      </c>
      <c r="J1337" s="205"/>
      <c r="K1337" s="205"/>
    </row>
    <row r="1338" ht="14.25" customHeight="1">
      <c r="A1338" s="55">
        <v>46993.0</v>
      </c>
      <c r="B1338" s="55" t="str">
        <f t="shared" si="10"/>
        <v>Primer dia</v>
      </c>
      <c r="C1338" s="202">
        <f t="shared" si="1"/>
        <v>28</v>
      </c>
      <c r="D1338" s="202" t="str">
        <f t="shared" si="2"/>
        <v> </v>
      </c>
      <c r="E1338" s="202" t="str">
        <f t="shared" si="9"/>
        <v> </v>
      </c>
      <c r="F1338" s="55" t="str">
        <f t="shared" si="4"/>
        <v/>
      </c>
      <c r="G1338" s="202" t="str">
        <f t="shared" si="5"/>
        <v/>
      </c>
      <c r="H1338" s="202" t="str">
        <f t="shared" si="11"/>
        <v> </v>
      </c>
      <c r="I1338" s="205" t="str">
        <f t="shared" si="7"/>
        <v/>
      </c>
      <c r="J1338" s="205"/>
      <c r="K1338" s="205"/>
    </row>
    <row r="1339" ht="14.25" customHeight="1">
      <c r="A1339" s="55">
        <v>46994.0</v>
      </c>
      <c r="B1339" s="55" t="str">
        <f t="shared" si="10"/>
        <v>Primer dia</v>
      </c>
      <c r="C1339" s="202">
        <f t="shared" si="1"/>
        <v>29</v>
      </c>
      <c r="D1339" s="202" t="str">
        <f t="shared" si="2"/>
        <v> </v>
      </c>
      <c r="E1339" s="202" t="str">
        <f t="shared" si="9"/>
        <v> </v>
      </c>
      <c r="F1339" s="55" t="str">
        <f t="shared" si="4"/>
        <v/>
      </c>
      <c r="G1339" s="202" t="str">
        <f t="shared" si="5"/>
        <v/>
      </c>
      <c r="H1339" s="202" t="str">
        <f t="shared" si="11"/>
        <v> </v>
      </c>
      <c r="I1339" s="205" t="str">
        <f t="shared" si="7"/>
        <v/>
      </c>
      <c r="J1339" s="205"/>
      <c r="K1339" s="205"/>
    </row>
    <row r="1340" ht="14.25" customHeight="1">
      <c r="A1340" s="55">
        <v>46995.0</v>
      </c>
      <c r="B1340" s="55" t="str">
        <f t="shared" si="10"/>
        <v>Primer dia</v>
      </c>
      <c r="C1340" s="202">
        <f t="shared" si="1"/>
        <v>30</v>
      </c>
      <c r="D1340" s="202" t="str">
        <f t="shared" si="2"/>
        <v> </v>
      </c>
      <c r="E1340" s="202" t="str">
        <f t="shared" si="9"/>
        <v> </v>
      </c>
      <c r="F1340" s="55" t="str">
        <f t="shared" si="4"/>
        <v/>
      </c>
      <c r="G1340" s="202" t="str">
        <f t="shared" si="5"/>
        <v/>
      </c>
      <c r="H1340" s="202" t="str">
        <f t="shared" si="11"/>
        <v> </v>
      </c>
      <c r="I1340" s="205" t="str">
        <f t="shared" si="7"/>
        <v/>
      </c>
      <c r="J1340" s="205"/>
      <c r="K1340" s="205"/>
    </row>
    <row r="1341" ht="14.25" customHeight="1">
      <c r="A1341" s="55">
        <v>46996.0</v>
      </c>
      <c r="B1341" s="55" t="str">
        <f t="shared" si="10"/>
        <v>Primer dia</v>
      </c>
      <c r="C1341" s="202">
        <f t="shared" si="1"/>
        <v>31</v>
      </c>
      <c r="D1341" s="202" t="str">
        <f t="shared" si="2"/>
        <v> </v>
      </c>
      <c r="E1341" s="202" t="str">
        <f t="shared" si="9"/>
        <v> </v>
      </c>
      <c r="F1341" s="55" t="str">
        <f t="shared" si="4"/>
        <v/>
      </c>
      <c r="G1341" s="202" t="str">
        <f t="shared" si="5"/>
        <v/>
      </c>
      <c r="H1341" s="202" t="str">
        <f t="shared" si="11"/>
        <v> </v>
      </c>
      <c r="I1341" s="205" t="str">
        <f t="shared" si="7"/>
        <v/>
      </c>
      <c r="J1341" s="205"/>
      <c r="K1341" s="205"/>
    </row>
    <row r="1342" ht="14.25" customHeight="1">
      <c r="A1342" s="55">
        <v>46997.0</v>
      </c>
      <c r="B1342" s="55" t="str">
        <f t="shared" si="10"/>
        <v>Primer dia</v>
      </c>
      <c r="C1342" s="202">
        <f t="shared" si="1"/>
        <v>1</v>
      </c>
      <c r="D1342" s="202" t="str">
        <f t="shared" si="2"/>
        <v> </v>
      </c>
      <c r="E1342" s="202" t="str">
        <f t="shared" si="9"/>
        <v> </v>
      </c>
      <c r="F1342" s="55" t="str">
        <f t="shared" si="4"/>
        <v/>
      </c>
      <c r="G1342" s="202" t="str">
        <f t="shared" si="5"/>
        <v/>
      </c>
      <c r="H1342" s="202" t="str">
        <f t="shared" si="11"/>
        <v> </v>
      </c>
      <c r="I1342" s="205" t="str">
        <f t="shared" si="7"/>
        <v/>
      </c>
      <c r="J1342" s="205"/>
      <c r="K1342" s="205"/>
    </row>
    <row r="1343" ht="14.25" customHeight="1">
      <c r="A1343" s="55">
        <v>46998.0</v>
      </c>
      <c r="B1343" s="55" t="str">
        <f t="shared" si="10"/>
        <v>Primer dia</v>
      </c>
      <c r="C1343" s="202">
        <f t="shared" si="1"/>
        <v>2</v>
      </c>
      <c r="D1343" s="202" t="str">
        <f t="shared" si="2"/>
        <v> </v>
      </c>
      <c r="E1343" s="202">
        <f t="shared" si="9"/>
        <v>2</v>
      </c>
      <c r="F1343" s="55">
        <f t="shared" si="4"/>
        <v>46998</v>
      </c>
      <c r="G1343" s="202">
        <f t="shared" si="5"/>
        <v>63</v>
      </c>
      <c r="H1343" s="202" t="str">
        <f t="shared" si="11"/>
        <v> </v>
      </c>
      <c r="I1343" s="205" t="str">
        <f t="shared" si="7"/>
        <v/>
      </c>
      <c r="J1343" s="205"/>
      <c r="K1343" s="205"/>
    </row>
    <row r="1344" ht="14.25" customHeight="1">
      <c r="A1344" s="55">
        <v>46999.0</v>
      </c>
      <c r="B1344" s="55" t="str">
        <f t="shared" si="10"/>
        <v>Primer dia</v>
      </c>
      <c r="C1344" s="202">
        <f t="shared" si="1"/>
        <v>3</v>
      </c>
      <c r="D1344" s="202" t="str">
        <f t="shared" si="2"/>
        <v> </v>
      </c>
      <c r="E1344" s="202" t="str">
        <f t="shared" si="9"/>
        <v> </v>
      </c>
      <c r="F1344" s="55" t="str">
        <f t="shared" si="4"/>
        <v/>
      </c>
      <c r="G1344" s="202" t="str">
        <f t="shared" si="5"/>
        <v/>
      </c>
      <c r="H1344" s="202" t="str">
        <f t="shared" si="11"/>
        <v> </v>
      </c>
      <c r="I1344" s="205" t="str">
        <f t="shared" si="7"/>
        <v/>
      </c>
      <c r="J1344" s="205"/>
      <c r="K1344" s="205"/>
    </row>
    <row r="1345" ht="14.25" customHeight="1">
      <c r="A1345" s="55">
        <v>47000.0</v>
      </c>
      <c r="B1345" s="55" t="str">
        <f t="shared" si="10"/>
        <v>Primer dia</v>
      </c>
      <c r="C1345" s="202">
        <f t="shared" si="1"/>
        <v>4</v>
      </c>
      <c r="D1345" s="202" t="str">
        <f t="shared" si="2"/>
        <v> </v>
      </c>
      <c r="E1345" s="202" t="str">
        <f t="shared" si="9"/>
        <v> </v>
      </c>
      <c r="F1345" s="55" t="str">
        <f t="shared" si="4"/>
        <v/>
      </c>
      <c r="G1345" s="202" t="str">
        <f t="shared" si="5"/>
        <v/>
      </c>
      <c r="H1345" s="202" t="str">
        <f t="shared" si="11"/>
        <v> </v>
      </c>
      <c r="I1345" s="205" t="str">
        <f t="shared" si="7"/>
        <v/>
      </c>
      <c r="J1345" s="205"/>
      <c r="K1345" s="205"/>
    </row>
    <row r="1346" ht="14.25" customHeight="1">
      <c r="A1346" s="55">
        <v>47001.0</v>
      </c>
      <c r="B1346" s="55" t="str">
        <f t="shared" si="10"/>
        <v>Primer dia</v>
      </c>
      <c r="C1346" s="202">
        <f t="shared" si="1"/>
        <v>5</v>
      </c>
      <c r="D1346" s="202" t="str">
        <f t="shared" si="2"/>
        <v> </v>
      </c>
      <c r="E1346" s="202" t="str">
        <f t="shared" si="9"/>
        <v> </v>
      </c>
      <c r="F1346" s="55" t="str">
        <f t="shared" si="4"/>
        <v/>
      </c>
      <c r="G1346" s="202" t="str">
        <f t="shared" si="5"/>
        <v/>
      </c>
      <c r="H1346" s="202" t="str">
        <f t="shared" si="11"/>
        <v> </v>
      </c>
      <c r="I1346" s="205" t="str">
        <f t="shared" si="7"/>
        <v/>
      </c>
      <c r="J1346" s="205"/>
      <c r="K1346" s="205"/>
    </row>
    <row r="1347" ht="14.25" customHeight="1">
      <c r="A1347" s="55">
        <v>47002.0</v>
      </c>
      <c r="B1347" s="55" t="str">
        <f t="shared" si="10"/>
        <v>Primer dia</v>
      </c>
      <c r="C1347" s="202">
        <f t="shared" si="1"/>
        <v>6</v>
      </c>
      <c r="D1347" s="202" t="str">
        <f t="shared" si="2"/>
        <v> </v>
      </c>
      <c r="E1347" s="202" t="str">
        <f t="shared" si="9"/>
        <v> </v>
      </c>
      <c r="F1347" s="55" t="str">
        <f t="shared" si="4"/>
        <v/>
      </c>
      <c r="G1347" s="202" t="str">
        <f t="shared" si="5"/>
        <v/>
      </c>
      <c r="H1347" s="202" t="str">
        <f t="shared" si="11"/>
        <v> </v>
      </c>
      <c r="I1347" s="205" t="str">
        <f t="shared" si="7"/>
        <v/>
      </c>
      <c r="J1347" s="205"/>
      <c r="K1347" s="205"/>
    </row>
    <row r="1348" ht="14.25" customHeight="1">
      <c r="A1348" s="55">
        <v>47003.0</v>
      </c>
      <c r="B1348" s="55" t="str">
        <f t="shared" si="10"/>
        <v>Primer dia</v>
      </c>
      <c r="C1348" s="202">
        <f t="shared" si="1"/>
        <v>7</v>
      </c>
      <c r="D1348" s="202" t="str">
        <f t="shared" si="2"/>
        <v> </v>
      </c>
      <c r="E1348" s="202" t="str">
        <f t="shared" si="9"/>
        <v> </v>
      </c>
      <c r="F1348" s="55" t="str">
        <f t="shared" si="4"/>
        <v/>
      </c>
      <c r="G1348" s="202" t="str">
        <f t="shared" si="5"/>
        <v/>
      </c>
      <c r="H1348" s="202" t="str">
        <f t="shared" si="11"/>
        <v> </v>
      </c>
      <c r="I1348" s="205" t="str">
        <f t="shared" si="7"/>
        <v/>
      </c>
      <c r="J1348" s="205"/>
      <c r="K1348" s="205"/>
    </row>
    <row r="1349" ht="14.25" customHeight="1">
      <c r="A1349" s="55">
        <v>47004.0</v>
      </c>
      <c r="B1349" s="55" t="str">
        <f t="shared" si="10"/>
        <v>Primer dia</v>
      </c>
      <c r="C1349" s="202">
        <f t="shared" si="1"/>
        <v>8</v>
      </c>
      <c r="D1349" s="202" t="str">
        <f t="shared" si="2"/>
        <v> </v>
      </c>
      <c r="E1349" s="202" t="str">
        <f t="shared" si="9"/>
        <v> </v>
      </c>
      <c r="F1349" s="55" t="str">
        <f t="shared" si="4"/>
        <v/>
      </c>
      <c r="G1349" s="202" t="str">
        <f t="shared" si="5"/>
        <v/>
      </c>
      <c r="H1349" s="202" t="str">
        <f t="shared" si="11"/>
        <v> </v>
      </c>
      <c r="I1349" s="205" t="str">
        <f t="shared" si="7"/>
        <v/>
      </c>
      <c r="J1349" s="205"/>
      <c r="K1349" s="205"/>
    </row>
    <row r="1350" ht="14.25" customHeight="1">
      <c r="A1350" s="55">
        <v>47005.0</v>
      </c>
      <c r="B1350" s="55" t="str">
        <f t="shared" si="10"/>
        <v>Primer dia</v>
      </c>
      <c r="C1350" s="202">
        <f t="shared" si="1"/>
        <v>9</v>
      </c>
      <c r="D1350" s="202" t="str">
        <f t="shared" si="2"/>
        <v> </v>
      </c>
      <c r="E1350" s="202" t="str">
        <f t="shared" si="9"/>
        <v> </v>
      </c>
      <c r="F1350" s="55" t="str">
        <f t="shared" si="4"/>
        <v/>
      </c>
      <c r="G1350" s="202" t="str">
        <f t="shared" si="5"/>
        <v/>
      </c>
      <c r="H1350" s="202" t="str">
        <f t="shared" si="11"/>
        <v> </v>
      </c>
      <c r="I1350" s="205" t="str">
        <f t="shared" si="7"/>
        <v/>
      </c>
      <c r="J1350" s="205"/>
      <c r="K1350" s="205"/>
    </row>
    <row r="1351" ht="14.25" customHeight="1">
      <c r="A1351" s="55">
        <v>47006.0</v>
      </c>
      <c r="B1351" s="55" t="str">
        <f t="shared" si="10"/>
        <v>Primer dia</v>
      </c>
      <c r="C1351" s="202">
        <f t="shared" si="1"/>
        <v>10</v>
      </c>
      <c r="D1351" s="202" t="str">
        <f t="shared" si="2"/>
        <v> </v>
      </c>
      <c r="E1351" s="202" t="str">
        <f t="shared" si="9"/>
        <v> </v>
      </c>
      <c r="F1351" s="55" t="str">
        <f t="shared" si="4"/>
        <v/>
      </c>
      <c r="G1351" s="202" t="str">
        <f t="shared" si="5"/>
        <v/>
      </c>
      <c r="H1351" s="202" t="str">
        <f t="shared" si="11"/>
        <v> </v>
      </c>
      <c r="I1351" s="205" t="str">
        <f t="shared" si="7"/>
        <v/>
      </c>
      <c r="J1351" s="205"/>
      <c r="K1351" s="205"/>
    </row>
    <row r="1352" ht="14.25" customHeight="1">
      <c r="A1352" s="55">
        <v>47007.0</v>
      </c>
      <c r="B1352" s="55" t="str">
        <f t="shared" si="10"/>
        <v>Primer dia</v>
      </c>
      <c r="C1352" s="202">
        <f t="shared" si="1"/>
        <v>11</v>
      </c>
      <c r="D1352" s="202" t="str">
        <f t="shared" si="2"/>
        <v> </v>
      </c>
      <c r="E1352" s="202" t="str">
        <f t="shared" si="9"/>
        <v> </v>
      </c>
      <c r="F1352" s="55" t="str">
        <f t="shared" si="4"/>
        <v/>
      </c>
      <c r="G1352" s="202" t="str">
        <f t="shared" si="5"/>
        <v/>
      </c>
      <c r="H1352" s="202" t="str">
        <f t="shared" si="11"/>
        <v> </v>
      </c>
      <c r="I1352" s="205" t="str">
        <f t="shared" si="7"/>
        <v/>
      </c>
      <c r="J1352" s="205"/>
      <c r="K1352" s="205"/>
    </row>
    <row r="1353" ht="14.25" customHeight="1">
      <c r="A1353" s="55">
        <v>47008.0</v>
      </c>
      <c r="B1353" s="55" t="str">
        <f t="shared" si="10"/>
        <v>Primer dia</v>
      </c>
      <c r="C1353" s="202">
        <f t="shared" si="1"/>
        <v>12</v>
      </c>
      <c r="D1353" s="202" t="str">
        <f t="shared" si="2"/>
        <v> </v>
      </c>
      <c r="E1353" s="202" t="str">
        <f t="shared" si="9"/>
        <v> </v>
      </c>
      <c r="F1353" s="55" t="str">
        <f t="shared" si="4"/>
        <v/>
      </c>
      <c r="G1353" s="202" t="str">
        <f t="shared" si="5"/>
        <v/>
      </c>
      <c r="H1353" s="202" t="str">
        <f t="shared" si="11"/>
        <v> </v>
      </c>
      <c r="I1353" s="205" t="str">
        <f t="shared" si="7"/>
        <v/>
      </c>
      <c r="J1353" s="205"/>
      <c r="K1353" s="205"/>
    </row>
    <row r="1354" ht="14.25" customHeight="1">
      <c r="A1354" s="55">
        <v>47009.0</v>
      </c>
      <c r="B1354" s="55" t="str">
        <f t="shared" si="10"/>
        <v>Primer dia</v>
      </c>
      <c r="C1354" s="202">
        <f t="shared" si="1"/>
        <v>13</v>
      </c>
      <c r="D1354" s="202" t="str">
        <f t="shared" si="2"/>
        <v> </v>
      </c>
      <c r="E1354" s="202" t="str">
        <f t="shared" si="9"/>
        <v> </v>
      </c>
      <c r="F1354" s="55" t="str">
        <f t="shared" si="4"/>
        <v/>
      </c>
      <c r="G1354" s="202" t="str">
        <f t="shared" si="5"/>
        <v/>
      </c>
      <c r="H1354" s="202" t="str">
        <f t="shared" si="11"/>
        <v> </v>
      </c>
      <c r="I1354" s="205" t="str">
        <f t="shared" si="7"/>
        <v/>
      </c>
      <c r="J1354" s="205"/>
      <c r="K1354" s="205"/>
    </row>
    <row r="1355" ht="14.25" customHeight="1">
      <c r="A1355" s="55">
        <v>47010.0</v>
      </c>
      <c r="B1355" s="55" t="str">
        <f t="shared" si="10"/>
        <v>Primer dia</v>
      </c>
      <c r="C1355" s="202">
        <f t="shared" si="1"/>
        <v>14</v>
      </c>
      <c r="D1355" s="202" t="str">
        <f t="shared" si="2"/>
        <v> </v>
      </c>
      <c r="E1355" s="202" t="str">
        <f t="shared" si="9"/>
        <v> </v>
      </c>
      <c r="F1355" s="55" t="str">
        <f t="shared" si="4"/>
        <v/>
      </c>
      <c r="G1355" s="202" t="str">
        <f t="shared" si="5"/>
        <v/>
      </c>
      <c r="H1355" s="202" t="str">
        <f t="shared" si="11"/>
        <v> </v>
      </c>
      <c r="I1355" s="205" t="str">
        <f t="shared" si="7"/>
        <v/>
      </c>
      <c r="J1355" s="205"/>
      <c r="K1355" s="205"/>
    </row>
    <row r="1356" ht="14.25" customHeight="1">
      <c r="A1356" s="55">
        <v>47011.0</v>
      </c>
      <c r="B1356" s="55" t="str">
        <f t="shared" si="10"/>
        <v>Primer dia</v>
      </c>
      <c r="C1356" s="202">
        <f t="shared" si="1"/>
        <v>15</v>
      </c>
      <c r="D1356" s="202" t="str">
        <f t="shared" si="2"/>
        <v> </v>
      </c>
      <c r="E1356" s="202" t="str">
        <f t="shared" si="9"/>
        <v> </v>
      </c>
      <c r="F1356" s="55" t="str">
        <f t="shared" si="4"/>
        <v/>
      </c>
      <c r="G1356" s="202" t="str">
        <f t="shared" si="5"/>
        <v/>
      </c>
      <c r="H1356" s="202" t="str">
        <f t="shared" si="11"/>
        <v> </v>
      </c>
      <c r="I1356" s="205" t="str">
        <f t="shared" si="7"/>
        <v/>
      </c>
      <c r="J1356" s="205"/>
      <c r="K1356" s="205"/>
    </row>
    <row r="1357" ht="14.25" customHeight="1">
      <c r="A1357" s="55">
        <v>47012.0</v>
      </c>
      <c r="B1357" s="55" t="str">
        <f t="shared" si="10"/>
        <v>Primer dia</v>
      </c>
      <c r="C1357" s="202">
        <f t="shared" si="1"/>
        <v>16</v>
      </c>
      <c r="D1357" s="202" t="str">
        <f t="shared" si="2"/>
        <v> </v>
      </c>
      <c r="E1357" s="202" t="str">
        <f t="shared" si="9"/>
        <v> </v>
      </c>
      <c r="F1357" s="55" t="str">
        <f t="shared" si="4"/>
        <v/>
      </c>
      <c r="G1357" s="202" t="str">
        <f t="shared" si="5"/>
        <v/>
      </c>
      <c r="H1357" s="202" t="str">
        <f t="shared" si="11"/>
        <v> </v>
      </c>
      <c r="I1357" s="205" t="str">
        <f t="shared" si="7"/>
        <v/>
      </c>
      <c r="J1357" s="205"/>
      <c r="K1357" s="205"/>
    </row>
    <row r="1358" ht="14.25" customHeight="1">
      <c r="A1358" s="55">
        <v>47013.0</v>
      </c>
      <c r="B1358" s="55" t="str">
        <f t="shared" si="10"/>
        <v>Primer dia</v>
      </c>
      <c r="C1358" s="202">
        <f t="shared" si="1"/>
        <v>17</v>
      </c>
      <c r="D1358" s="202" t="str">
        <f t="shared" si="2"/>
        <v> </v>
      </c>
      <c r="E1358" s="202">
        <f t="shared" si="9"/>
        <v>17</v>
      </c>
      <c r="F1358" s="55">
        <f t="shared" si="4"/>
        <v>47013</v>
      </c>
      <c r="G1358" s="202">
        <f t="shared" si="5"/>
        <v>64</v>
      </c>
      <c r="H1358" s="202" t="str">
        <f t="shared" si="11"/>
        <v> </v>
      </c>
      <c r="I1358" s="205" t="str">
        <f t="shared" si="7"/>
        <v/>
      </c>
      <c r="J1358" s="205"/>
      <c r="K1358" s="205"/>
    </row>
    <row r="1359" ht="14.25" customHeight="1">
      <c r="A1359" s="55">
        <v>47014.0</v>
      </c>
      <c r="B1359" s="55" t="str">
        <f t="shared" si="10"/>
        <v>Primer dia</v>
      </c>
      <c r="C1359" s="202">
        <f t="shared" si="1"/>
        <v>18</v>
      </c>
      <c r="D1359" s="202" t="str">
        <f t="shared" si="2"/>
        <v> </v>
      </c>
      <c r="E1359" s="202" t="str">
        <f t="shared" si="9"/>
        <v> </v>
      </c>
      <c r="F1359" s="55" t="str">
        <f t="shared" si="4"/>
        <v/>
      </c>
      <c r="G1359" s="202" t="str">
        <f t="shared" si="5"/>
        <v/>
      </c>
      <c r="H1359" s="202" t="str">
        <f t="shared" si="11"/>
        <v> </v>
      </c>
      <c r="I1359" s="205" t="str">
        <f t="shared" si="7"/>
        <v/>
      </c>
      <c r="J1359" s="205"/>
      <c r="K1359" s="205"/>
    </row>
    <row r="1360" ht="14.25" customHeight="1">
      <c r="A1360" s="55">
        <v>47015.0</v>
      </c>
      <c r="B1360" s="55" t="str">
        <f t="shared" si="10"/>
        <v>Primer dia</v>
      </c>
      <c r="C1360" s="202">
        <f t="shared" si="1"/>
        <v>19</v>
      </c>
      <c r="D1360" s="202" t="str">
        <f t="shared" si="2"/>
        <v> </v>
      </c>
      <c r="E1360" s="202" t="str">
        <f t="shared" si="9"/>
        <v> </v>
      </c>
      <c r="F1360" s="55" t="str">
        <f t="shared" si="4"/>
        <v/>
      </c>
      <c r="G1360" s="202" t="str">
        <f t="shared" si="5"/>
        <v/>
      </c>
      <c r="H1360" s="202" t="str">
        <f t="shared" si="11"/>
        <v> </v>
      </c>
      <c r="I1360" s="205" t="str">
        <f t="shared" si="7"/>
        <v/>
      </c>
      <c r="J1360" s="205"/>
      <c r="K1360" s="205"/>
    </row>
    <row r="1361" ht="14.25" customHeight="1">
      <c r="A1361" s="55">
        <v>47016.0</v>
      </c>
      <c r="B1361" s="55" t="str">
        <f t="shared" si="10"/>
        <v>Primer dia</v>
      </c>
      <c r="C1361" s="202">
        <f t="shared" si="1"/>
        <v>20</v>
      </c>
      <c r="D1361" s="202" t="str">
        <f t="shared" si="2"/>
        <v> </v>
      </c>
      <c r="E1361" s="202" t="str">
        <f t="shared" si="9"/>
        <v> </v>
      </c>
      <c r="F1361" s="55" t="str">
        <f t="shared" si="4"/>
        <v/>
      </c>
      <c r="G1361" s="202" t="str">
        <f t="shared" si="5"/>
        <v/>
      </c>
      <c r="H1361" s="202" t="str">
        <f t="shared" si="11"/>
        <v> </v>
      </c>
      <c r="I1361" s="205" t="str">
        <f t="shared" si="7"/>
        <v/>
      </c>
      <c r="J1361" s="205"/>
      <c r="K1361" s="205"/>
    </row>
    <row r="1362" ht="14.25" customHeight="1">
      <c r="A1362" s="55">
        <v>47017.0</v>
      </c>
      <c r="B1362" s="55" t="str">
        <f t="shared" si="10"/>
        <v>Primer dia</v>
      </c>
      <c r="C1362" s="202">
        <f t="shared" si="1"/>
        <v>21</v>
      </c>
      <c r="D1362" s="202" t="str">
        <f t="shared" si="2"/>
        <v> </v>
      </c>
      <c r="E1362" s="202" t="str">
        <f t="shared" si="9"/>
        <v> </v>
      </c>
      <c r="F1362" s="55" t="str">
        <f t="shared" si="4"/>
        <v/>
      </c>
      <c r="G1362" s="202" t="str">
        <f t="shared" si="5"/>
        <v/>
      </c>
      <c r="H1362" s="202" t="str">
        <f t="shared" si="11"/>
        <v> </v>
      </c>
      <c r="I1362" s="205" t="str">
        <f t="shared" si="7"/>
        <v/>
      </c>
      <c r="J1362" s="205"/>
      <c r="K1362" s="205"/>
    </row>
    <row r="1363" ht="14.25" customHeight="1">
      <c r="A1363" s="55">
        <v>47018.0</v>
      </c>
      <c r="B1363" s="55" t="str">
        <f t="shared" si="10"/>
        <v>Primer dia</v>
      </c>
      <c r="C1363" s="202">
        <f t="shared" si="1"/>
        <v>22</v>
      </c>
      <c r="D1363" s="202" t="str">
        <f t="shared" si="2"/>
        <v> </v>
      </c>
      <c r="E1363" s="202" t="str">
        <f t="shared" si="9"/>
        <v> </v>
      </c>
      <c r="F1363" s="55" t="str">
        <f t="shared" si="4"/>
        <v/>
      </c>
      <c r="G1363" s="202" t="str">
        <f t="shared" si="5"/>
        <v/>
      </c>
      <c r="H1363" s="202" t="str">
        <f t="shared" si="11"/>
        <v> </v>
      </c>
      <c r="I1363" s="205" t="str">
        <f t="shared" si="7"/>
        <v/>
      </c>
      <c r="J1363" s="205"/>
      <c r="K1363" s="205"/>
    </row>
    <row r="1364" ht="14.25" customHeight="1">
      <c r="A1364" s="55">
        <v>47019.0</v>
      </c>
      <c r="B1364" s="55" t="str">
        <f t="shared" si="10"/>
        <v>Primer dia</v>
      </c>
      <c r="C1364" s="202">
        <f t="shared" si="1"/>
        <v>23</v>
      </c>
      <c r="D1364" s="202" t="str">
        <f t="shared" si="2"/>
        <v> </v>
      </c>
      <c r="E1364" s="202" t="str">
        <f t="shared" si="9"/>
        <v> </v>
      </c>
      <c r="F1364" s="55" t="str">
        <f t="shared" si="4"/>
        <v/>
      </c>
      <c r="G1364" s="202" t="str">
        <f t="shared" si="5"/>
        <v/>
      </c>
      <c r="H1364" s="202" t="str">
        <f t="shared" si="11"/>
        <v> </v>
      </c>
      <c r="I1364" s="205" t="str">
        <f t="shared" si="7"/>
        <v/>
      </c>
      <c r="J1364" s="205"/>
      <c r="K1364" s="205"/>
    </row>
    <row r="1365" ht="14.25" customHeight="1">
      <c r="A1365" s="55">
        <v>47020.0</v>
      </c>
      <c r="B1365" s="55" t="str">
        <f t="shared" si="10"/>
        <v>Primer dia</v>
      </c>
      <c r="C1365" s="202">
        <f t="shared" si="1"/>
        <v>24</v>
      </c>
      <c r="D1365" s="202" t="str">
        <f t="shared" si="2"/>
        <v> </v>
      </c>
      <c r="E1365" s="202" t="str">
        <f t="shared" si="9"/>
        <v> </v>
      </c>
      <c r="F1365" s="55" t="str">
        <f t="shared" si="4"/>
        <v/>
      </c>
      <c r="G1365" s="202" t="str">
        <f t="shared" si="5"/>
        <v/>
      </c>
      <c r="H1365" s="202" t="str">
        <f t="shared" si="11"/>
        <v> </v>
      </c>
      <c r="I1365" s="205" t="str">
        <f t="shared" si="7"/>
        <v/>
      </c>
      <c r="J1365" s="205"/>
      <c r="K1365" s="205"/>
    </row>
    <row r="1366" ht="14.25" customHeight="1">
      <c r="A1366" s="55">
        <v>47021.0</v>
      </c>
      <c r="B1366" s="55" t="str">
        <f t="shared" si="10"/>
        <v>Primer dia</v>
      </c>
      <c r="C1366" s="202">
        <f t="shared" si="1"/>
        <v>25</v>
      </c>
      <c r="D1366" s="202" t="str">
        <f t="shared" si="2"/>
        <v> </v>
      </c>
      <c r="E1366" s="202" t="str">
        <f t="shared" si="9"/>
        <v> </v>
      </c>
      <c r="F1366" s="55" t="str">
        <f t="shared" si="4"/>
        <v/>
      </c>
      <c r="G1366" s="202" t="str">
        <f t="shared" si="5"/>
        <v/>
      </c>
      <c r="H1366" s="202" t="str">
        <f t="shared" si="11"/>
        <v> </v>
      </c>
      <c r="I1366" s="205" t="str">
        <f t="shared" si="7"/>
        <v/>
      </c>
      <c r="J1366" s="205"/>
      <c r="K1366" s="205"/>
    </row>
    <row r="1367" ht="14.25" customHeight="1">
      <c r="A1367" s="55">
        <v>47022.0</v>
      </c>
      <c r="B1367" s="55" t="str">
        <f t="shared" si="10"/>
        <v>Primer dia</v>
      </c>
      <c r="C1367" s="202">
        <f t="shared" si="1"/>
        <v>26</v>
      </c>
      <c r="D1367" s="202" t="str">
        <f t="shared" si="2"/>
        <v> </v>
      </c>
      <c r="E1367" s="202" t="str">
        <f t="shared" si="9"/>
        <v> </v>
      </c>
      <c r="F1367" s="55" t="str">
        <f t="shared" si="4"/>
        <v/>
      </c>
      <c r="G1367" s="202" t="str">
        <f t="shared" si="5"/>
        <v/>
      </c>
      <c r="H1367" s="202" t="str">
        <f t="shared" si="11"/>
        <v> </v>
      </c>
      <c r="I1367" s="205" t="str">
        <f t="shared" si="7"/>
        <v/>
      </c>
      <c r="J1367" s="205"/>
      <c r="K1367" s="205"/>
    </row>
    <row r="1368" ht="14.25" customHeight="1">
      <c r="A1368" s="55">
        <v>47023.0</v>
      </c>
      <c r="B1368" s="55" t="str">
        <f t="shared" si="10"/>
        <v>Primer dia</v>
      </c>
      <c r="C1368" s="202">
        <f t="shared" si="1"/>
        <v>27</v>
      </c>
      <c r="D1368" s="202" t="str">
        <f t="shared" si="2"/>
        <v> </v>
      </c>
      <c r="E1368" s="202" t="str">
        <f t="shared" si="9"/>
        <v> </v>
      </c>
      <c r="F1368" s="55" t="str">
        <f t="shared" si="4"/>
        <v/>
      </c>
      <c r="G1368" s="202" t="str">
        <f t="shared" si="5"/>
        <v/>
      </c>
      <c r="H1368" s="202" t="str">
        <f t="shared" si="11"/>
        <v> </v>
      </c>
      <c r="I1368" s="205" t="str">
        <f t="shared" si="7"/>
        <v/>
      </c>
      <c r="J1368" s="205"/>
      <c r="K1368" s="205"/>
    </row>
    <row r="1369" ht="14.25" customHeight="1">
      <c r="A1369" s="55">
        <v>47024.0</v>
      </c>
      <c r="B1369" s="55" t="str">
        <f t="shared" si="10"/>
        <v>Primer dia</v>
      </c>
      <c r="C1369" s="202">
        <f t="shared" si="1"/>
        <v>28</v>
      </c>
      <c r="D1369" s="202" t="str">
        <f t="shared" si="2"/>
        <v> </v>
      </c>
      <c r="E1369" s="202" t="str">
        <f t="shared" si="9"/>
        <v> </v>
      </c>
      <c r="F1369" s="55" t="str">
        <f t="shared" si="4"/>
        <v/>
      </c>
      <c r="G1369" s="202" t="str">
        <f t="shared" si="5"/>
        <v/>
      </c>
      <c r="H1369" s="202" t="str">
        <f t="shared" si="11"/>
        <v> </v>
      </c>
      <c r="I1369" s="205" t="str">
        <f t="shared" si="7"/>
        <v/>
      </c>
      <c r="J1369" s="205"/>
      <c r="K1369" s="205"/>
    </row>
    <row r="1370" ht="14.25" customHeight="1">
      <c r="A1370" s="55">
        <v>47025.0</v>
      </c>
      <c r="B1370" s="55" t="str">
        <f t="shared" si="10"/>
        <v>Primer dia</v>
      </c>
      <c r="C1370" s="202">
        <f t="shared" si="1"/>
        <v>29</v>
      </c>
      <c r="D1370" s="202" t="str">
        <f t="shared" si="2"/>
        <v> </v>
      </c>
      <c r="E1370" s="202" t="str">
        <f t="shared" si="9"/>
        <v> </v>
      </c>
      <c r="F1370" s="55" t="str">
        <f t="shared" si="4"/>
        <v/>
      </c>
      <c r="G1370" s="202" t="str">
        <f t="shared" si="5"/>
        <v/>
      </c>
      <c r="H1370" s="202" t="str">
        <f t="shared" si="11"/>
        <v> </v>
      </c>
      <c r="I1370" s="205" t="str">
        <f t="shared" si="7"/>
        <v/>
      </c>
      <c r="J1370" s="205"/>
      <c r="K1370" s="205"/>
    </row>
    <row r="1371" ht="14.25" customHeight="1">
      <c r="A1371" s="55">
        <v>47026.0</v>
      </c>
      <c r="B1371" s="55" t="str">
        <f t="shared" si="10"/>
        <v>Primer dia</v>
      </c>
      <c r="C1371" s="202">
        <f t="shared" si="1"/>
        <v>30</v>
      </c>
      <c r="D1371" s="202" t="str">
        <f t="shared" si="2"/>
        <v> </v>
      </c>
      <c r="E1371" s="202" t="str">
        <f t="shared" si="9"/>
        <v> </v>
      </c>
      <c r="F1371" s="55" t="str">
        <f t="shared" si="4"/>
        <v/>
      </c>
      <c r="G1371" s="202" t="str">
        <f t="shared" si="5"/>
        <v/>
      </c>
      <c r="H1371" s="202" t="str">
        <f t="shared" si="11"/>
        <v> </v>
      </c>
      <c r="I1371" s="205" t="str">
        <f t="shared" si="7"/>
        <v/>
      </c>
      <c r="J1371" s="205"/>
      <c r="K1371" s="205"/>
    </row>
    <row r="1372" ht="14.25" customHeight="1">
      <c r="A1372" s="55">
        <v>47027.0</v>
      </c>
      <c r="B1372" s="55" t="str">
        <f t="shared" si="10"/>
        <v>Primer dia</v>
      </c>
      <c r="C1372" s="202">
        <f t="shared" si="1"/>
        <v>1</v>
      </c>
      <c r="D1372" s="202" t="str">
        <f t="shared" si="2"/>
        <v> </v>
      </c>
      <c r="E1372" s="202" t="str">
        <f t="shared" si="9"/>
        <v> </v>
      </c>
      <c r="F1372" s="55" t="str">
        <f t="shared" si="4"/>
        <v/>
      </c>
      <c r="G1372" s="202" t="str">
        <f t="shared" si="5"/>
        <v/>
      </c>
      <c r="H1372" s="202" t="str">
        <f t="shared" si="11"/>
        <v> </v>
      </c>
      <c r="I1372" s="205" t="str">
        <f t="shared" si="7"/>
        <v/>
      </c>
      <c r="J1372" s="205"/>
      <c r="K1372" s="205"/>
    </row>
    <row r="1373" ht="14.25" customHeight="1">
      <c r="A1373" s="55">
        <v>47028.0</v>
      </c>
      <c r="B1373" s="55" t="str">
        <f t="shared" si="10"/>
        <v>Primer dia</v>
      </c>
      <c r="C1373" s="202">
        <f t="shared" si="1"/>
        <v>2</v>
      </c>
      <c r="D1373" s="202" t="str">
        <f t="shared" si="2"/>
        <v> </v>
      </c>
      <c r="E1373" s="202">
        <f t="shared" si="9"/>
        <v>2</v>
      </c>
      <c r="F1373" s="55">
        <f t="shared" si="4"/>
        <v>47028</v>
      </c>
      <c r="G1373" s="202">
        <f t="shared" si="5"/>
        <v>65</v>
      </c>
      <c r="H1373" s="202" t="str">
        <f t="shared" si="11"/>
        <v> </v>
      </c>
      <c r="I1373" s="205" t="str">
        <f t="shared" si="7"/>
        <v/>
      </c>
      <c r="J1373" s="205"/>
      <c r="K1373" s="205"/>
    </row>
    <row r="1374" ht="14.25" customHeight="1">
      <c r="A1374" s="55">
        <v>47029.0</v>
      </c>
      <c r="B1374" s="55" t="str">
        <f t="shared" si="10"/>
        <v>Primer dia</v>
      </c>
      <c r="C1374" s="202">
        <f t="shared" si="1"/>
        <v>3</v>
      </c>
      <c r="D1374" s="202" t="str">
        <f t="shared" si="2"/>
        <v> </v>
      </c>
      <c r="E1374" s="202" t="str">
        <f t="shared" si="9"/>
        <v> </v>
      </c>
      <c r="F1374" s="55" t="str">
        <f t="shared" si="4"/>
        <v/>
      </c>
      <c r="G1374" s="202" t="str">
        <f t="shared" si="5"/>
        <v/>
      </c>
      <c r="H1374" s="202" t="str">
        <f t="shared" si="11"/>
        <v> </v>
      </c>
      <c r="I1374" s="205" t="str">
        <f t="shared" si="7"/>
        <v/>
      </c>
      <c r="J1374" s="205"/>
      <c r="K1374" s="205"/>
    </row>
    <row r="1375" ht="14.25" customHeight="1">
      <c r="A1375" s="55">
        <v>47030.0</v>
      </c>
      <c r="B1375" s="55" t="str">
        <f t="shared" si="10"/>
        <v>Primer dia</v>
      </c>
      <c r="C1375" s="202">
        <f t="shared" si="1"/>
        <v>4</v>
      </c>
      <c r="D1375" s="202" t="str">
        <f t="shared" si="2"/>
        <v> </v>
      </c>
      <c r="E1375" s="202" t="str">
        <f t="shared" si="9"/>
        <v> </v>
      </c>
      <c r="F1375" s="55" t="str">
        <f t="shared" si="4"/>
        <v/>
      </c>
      <c r="G1375" s="202" t="str">
        <f t="shared" si="5"/>
        <v/>
      </c>
      <c r="H1375" s="202" t="str">
        <f t="shared" si="11"/>
        <v> </v>
      </c>
      <c r="I1375" s="205" t="str">
        <f t="shared" si="7"/>
        <v/>
      </c>
      <c r="J1375" s="205"/>
      <c r="K1375" s="205"/>
    </row>
    <row r="1376" ht="14.25" customHeight="1">
      <c r="A1376" s="55">
        <v>47031.0</v>
      </c>
      <c r="B1376" s="55" t="str">
        <f t="shared" si="10"/>
        <v>Primer dia</v>
      </c>
      <c r="C1376" s="202">
        <f t="shared" si="1"/>
        <v>5</v>
      </c>
      <c r="D1376" s="202" t="str">
        <f t="shared" si="2"/>
        <v> </v>
      </c>
      <c r="E1376" s="202" t="str">
        <f t="shared" si="9"/>
        <v> </v>
      </c>
      <c r="F1376" s="55" t="str">
        <f t="shared" si="4"/>
        <v/>
      </c>
      <c r="G1376" s="202" t="str">
        <f t="shared" si="5"/>
        <v/>
      </c>
      <c r="H1376" s="202" t="str">
        <f t="shared" si="11"/>
        <v> </v>
      </c>
      <c r="I1376" s="205" t="str">
        <f t="shared" si="7"/>
        <v/>
      </c>
      <c r="J1376" s="205"/>
      <c r="K1376" s="205"/>
    </row>
    <row r="1377" ht="14.25" customHeight="1">
      <c r="A1377" s="55">
        <v>47032.0</v>
      </c>
      <c r="B1377" s="55" t="str">
        <f t="shared" si="10"/>
        <v>Primer dia</v>
      </c>
      <c r="C1377" s="202">
        <f t="shared" si="1"/>
        <v>6</v>
      </c>
      <c r="D1377" s="202" t="str">
        <f t="shared" si="2"/>
        <v> </v>
      </c>
      <c r="E1377" s="202" t="str">
        <f t="shared" si="9"/>
        <v> </v>
      </c>
      <c r="F1377" s="55" t="str">
        <f t="shared" si="4"/>
        <v/>
      </c>
      <c r="G1377" s="202" t="str">
        <f t="shared" si="5"/>
        <v/>
      </c>
      <c r="H1377" s="202" t="str">
        <f t="shared" si="11"/>
        <v> </v>
      </c>
      <c r="I1377" s="205" t="str">
        <f t="shared" si="7"/>
        <v/>
      </c>
      <c r="J1377" s="205"/>
      <c r="K1377" s="205"/>
    </row>
    <row r="1378" ht="14.25" customHeight="1">
      <c r="A1378" s="55">
        <v>47033.0</v>
      </c>
      <c r="B1378" s="55" t="str">
        <f t="shared" si="10"/>
        <v>Primer dia</v>
      </c>
      <c r="C1378" s="202">
        <f t="shared" si="1"/>
        <v>7</v>
      </c>
      <c r="D1378" s="202" t="str">
        <f t="shared" si="2"/>
        <v> </v>
      </c>
      <c r="E1378" s="202" t="str">
        <f t="shared" si="9"/>
        <v> </v>
      </c>
      <c r="F1378" s="55" t="str">
        <f t="shared" si="4"/>
        <v/>
      </c>
      <c r="G1378" s="202" t="str">
        <f t="shared" si="5"/>
        <v/>
      </c>
      <c r="H1378" s="202" t="str">
        <f t="shared" si="11"/>
        <v> </v>
      </c>
      <c r="I1378" s="205" t="str">
        <f t="shared" si="7"/>
        <v/>
      </c>
      <c r="J1378" s="205"/>
      <c r="K1378" s="205"/>
    </row>
    <row r="1379" ht="14.25" customHeight="1">
      <c r="A1379" s="55">
        <v>47034.0</v>
      </c>
      <c r="B1379" s="55" t="str">
        <f t="shared" si="10"/>
        <v>Primer dia</v>
      </c>
      <c r="C1379" s="202">
        <f t="shared" si="1"/>
        <v>8</v>
      </c>
      <c r="D1379" s="202" t="str">
        <f t="shared" si="2"/>
        <v> </v>
      </c>
      <c r="E1379" s="202" t="str">
        <f t="shared" si="9"/>
        <v> </v>
      </c>
      <c r="F1379" s="55" t="str">
        <f t="shared" si="4"/>
        <v/>
      </c>
      <c r="G1379" s="202" t="str">
        <f t="shared" si="5"/>
        <v/>
      </c>
      <c r="H1379" s="202" t="str">
        <f t="shared" si="11"/>
        <v> </v>
      </c>
      <c r="I1379" s="205" t="str">
        <f t="shared" si="7"/>
        <v/>
      </c>
      <c r="J1379" s="205"/>
      <c r="K1379" s="205"/>
    </row>
    <row r="1380" ht="14.25" customHeight="1">
      <c r="A1380" s="55">
        <v>47035.0</v>
      </c>
      <c r="B1380" s="55" t="str">
        <f t="shared" si="10"/>
        <v>Primer dia</v>
      </c>
      <c r="C1380" s="202">
        <f t="shared" si="1"/>
        <v>9</v>
      </c>
      <c r="D1380" s="202" t="str">
        <f t="shared" si="2"/>
        <v> </v>
      </c>
      <c r="E1380" s="202" t="str">
        <f t="shared" si="9"/>
        <v> </v>
      </c>
      <c r="F1380" s="55" t="str">
        <f t="shared" si="4"/>
        <v/>
      </c>
      <c r="G1380" s="202" t="str">
        <f t="shared" si="5"/>
        <v/>
      </c>
      <c r="H1380" s="202" t="str">
        <f t="shared" si="11"/>
        <v> </v>
      </c>
      <c r="I1380" s="205" t="str">
        <f t="shared" si="7"/>
        <v/>
      </c>
      <c r="J1380" s="205"/>
      <c r="K1380" s="205"/>
    </row>
    <row r="1381" ht="14.25" customHeight="1">
      <c r="A1381" s="55">
        <v>47036.0</v>
      </c>
      <c r="B1381" s="55" t="str">
        <f t="shared" si="10"/>
        <v>Primer dia</v>
      </c>
      <c r="C1381" s="202">
        <f t="shared" si="1"/>
        <v>10</v>
      </c>
      <c r="D1381" s="202" t="str">
        <f t="shared" si="2"/>
        <v> </v>
      </c>
      <c r="E1381" s="202" t="str">
        <f t="shared" si="9"/>
        <v> </v>
      </c>
      <c r="F1381" s="55" t="str">
        <f t="shared" si="4"/>
        <v/>
      </c>
      <c r="G1381" s="202" t="str">
        <f t="shared" si="5"/>
        <v/>
      </c>
      <c r="H1381" s="202" t="str">
        <f t="shared" si="11"/>
        <v> </v>
      </c>
      <c r="I1381" s="205" t="str">
        <f t="shared" si="7"/>
        <v/>
      </c>
      <c r="J1381" s="205"/>
      <c r="K1381" s="205"/>
    </row>
    <row r="1382" ht="14.25" customHeight="1">
      <c r="A1382" s="55">
        <v>47037.0</v>
      </c>
      <c r="B1382" s="55" t="str">
        <f t="shared" si="10"/>
        <v>Primer dia</v>
      </c>
      <c r="C1382" s="202">
        <f t="shared" si="1"/>
        <v>11</v>
      </c>
      <c r="D1382" s="202" t="str">
        <f t="shared" si="2"/>
        <v> </v>
      </c>
      <c r="E1382" s="202" t="str">
        <f t="shared" si="9"/>
        <v> </v>
      </c>
      <c r="F1382" s="55" t="str">
        <f t="shared" si="4"/>
        <v/>
      </c>
      <c r="G1382" s="202" t="str">
        <f t="shared" si="5"/>
        <v/>
      </c>
      <c r="H1382" s="202" t="str">
        <f t="shared" si="11"/>
        <v> </v>
      </c>
      <c r="I1382" s="205" t="str">
        <f t="shared" si="7"/>
        <v/>
      </c>
      <c r="J1382" s="205"/>
      <c r="K1382" s="205"/>
    </row>
    <row r="1383" ht="14.25" customHeight="1">
      <c r="A1383" s="55">
        <v>47038.0</v>
      </c>
      <c r="B1383" s="55" t="str">
        <f t="shared" si="10"/>
        <v>Primer dia</v>
      </c>
      <c r="C1383" s="202">
        <f t="shared" si="1"/>
        <v>12</v>
      </c>
      <c r="D1383" s="202" t="str">
        <f t="shared" si="2"/>
        <v> </v>
      </c>
      <c r="E1383" s="202" t="str">
        <f t="shared" si="9"/>
        <v> </v>
      </c>
      <c r="F1383" s="55" t="str">
        <f t="shared" si="4"/>
        <v/>
      </c>
      <c r="G1383" s="202" t="str">
        <f t="shared" si="5"/>
        <v/>
      </c>
      <c r="H1383" s="202" t="str">
        <f t="shared" si="11"/>
        <v> </v>
      </c>
      <c r="I1383" s="205" t="str">
        <f t="shared" si="7"/>
        <v/>
      </c>
      <c r="J1383" s="205"/>
      <c r="K1383" s="205"/>
    </row>
    <row r="1384" ht="14.25" customHeight="1">
      <c r="A1384" s="55">
        <v>47039.0</v>
      </c>
      <c r="B1384" s="55" t="str">
        <f t="shared" si="10"/>
        <v>Primer dia</v>
      </c>
      <c r="C1384" s="202">
        <f t="shared" si="1"/>
        <v>13</v>
      </c>
      <c r="D1384" s="202" t="str">
        <f t="shared" si="2"/>
        <v> </v>
      </c>
      <c r="E1384" s="202" t="str">
        <f t="shared" si="9"/>
        <v> </v>
      </c>
      <c r="F1384" s="55" t="str">
        <f t="shared" si="4"/>
        <v/>
      </c>
      <c r="G1384" s="202" t="str">
        <f t="shared" si="5"/>
        <v/>
      </c>
      <c r="H1384" s="202" t="str">
        <f t="shared" si="11"/>
        <v> </v>
      </c>
      <c r="I1384" s="205" t="str">
        <f t="shared" si="7"/>
        <v/>
      </c>
      <c r="J1384" s="205"/>
      <c r="K1384" s="205"/>
    </row>
    <row r="1385" ht="14.25" customHeight="1">
      <c r="A1385" s="55">
        <v>47040.0</v>
      </c>
      <c r="B1385" s="55" t="str">
        <f t="shared" si="10"/>
        <v>Primer dia</v>
      </c>
      <c r="C1385" s="202">
        <f t="shared" si="1"/>
        <v>14</v>
      </c>
      <c r="D1385" s="202" t="str">
        <f t="shared" si="2"/>
        <v> </v>
      </c>
      <c r="E1385" s="202" t="str">
        <f t="shared" si="9"/>
        <v> </v>
      </c>
      <c r="F1385" s="55" t="str">
        <f t="shared" si="4"/>
        <v/>
      </c>
      <c r="G1385" s="202" t="str">
        <f t="shared" si="5"/>
        <v/>
      </c>
      <c r="H1385" s="202" t="str">
        <f t="shared" si="11"/>
        <v> </v>
      </c>
      <c r="I1385" s="205" t="str">
        <f t="shared" si="7"/>
        <v/>
      </c>
      <c r="J1385" s="205"/>
      <c r="K1385" s="205"/>
    </row>
    <row r="1386" ht="14.25" customHeight="1">
      <c r="A1386" s="55">
        <v>47041.0</v>
      </c>
      <c r="B1386" s="55" t="str">
        <f t="shared" si="10"/>
        <v>Primer dia</v>
      </c>
      <c r="C1386" s="202">
        <f t="shared" si="1"/>
        <v>15</v>
      </c>
      <c r="D1386" s="202" t="str">
        <f t="shared" si="2"/>
        <v> </v>
      </c>
      <c r="E1386" s="202" t="str">
        <f t="shared" si="9"/>
        <v> </v>
      </c>
      <c r="F1386" s="55" t="str">
        <f t="shared" si="4"/>
        <v/>
      </c>
      <c r="G1386" s="202" t="str">
        <f t="shared" si="5"/>
        <v/>
      </c>
      <c r="H1386" s="202" t="str">
        <f t="shared" si="11"/>
        <v> </v>
      </c>
      <c r="I1386" s="205" t="str">
        <f t="shared" si="7"/>
        <v/>
      </c>
      <c r="J1386" s="205"/>
      <c r="K1386" s="205"/>
    </row>
    <row r="1387" ht="14.25" customHeight="1">
      <c r="A1387" s="55">
        <v>47042.0</v>
      </c>
      <c r="B1387" s="55" t="str">
        <f t="shared" si="10"/>
        <v>Primer dia</v>
      </c>
      <c r="C1387" s="202">
        <f t="shared" si="1"/>
        <v>16</v>
      </c>
      <c r="D1387" s="202" t="str">
        <f t="shared" si="2"/>
        <v> </v>
      </c>
      <c r="E1387" s="202" t="str">
        <f t="shared" si="9"/>
        <v> </v>
      </c>
      <c r="F1387" s="55" t="str">
        <f t="shared" si="4"/>
        <v/>
      </c>
      <c r="G1387" s="202" t="str">
        <f t="shared" si="5"/>
        <v/>
      </c>
      <c r="H1387" s="202" t="str">
        <f t="shared" si="11"/>
        <v> </v>
      </c>
      <c r="I1387" s="205" t="str">
        <f t="shared" si="7"/>
        <v/>
      </c>
      <c r="J1387" s="205"/>
      <c r="K1387" s="205"/>
    </row>
    <row r="1388" ht="14.25" customHeight="1">
      <c r="A1388" s="55">
        <v>47043.0</v>
      </c>
      <c r="B1388" s="55" t="str">
        <f t="shared" si="10"/>
        <v>Primer dia</v>
      </c>
      <c r="C1388" s="202">
        <f t="shared" si="1"/>
        <v>17</v>
      </c>
      <c r="D1388" s="202" t="str">
        <f t="shared" si="2"/>
        <v> </v>
      </c>
      <c r="E1388" s="202">
        <f t="shared" si="9"/>
        <v>17</v>
      </c>
      <c r="F1388" s="55">
        <f t="shared" si="4"/>
        <v>47043</v>
      </c>
      <c r="G1388" s="202">
        <f t="shared" si="5"/>
        <v>66</v>
      </c>
      <c r="H1388" s="202" t="str">
        <f t="shared" si="11"/>
        <v> </v>
      </c>
      <c r="I1388" s="205" t="str">
        <f t="shared" si="7"/>
        <v/>
      </c>
      <c r="J1388" s="205"/>
      <c r="K1388" s="205"/>
    </row>
    <row r="1389" ht="14.25" customHeight="1">
      <c r="A1389" s="55">
        <v>47044.0</v>
      </c>
      <c r="B1389" s="55" t="str">
        <f t="shared" si="10"/>
        <v>Primer dia</v>
      </c>
      <c r="C1389" s="202">
        <f t="shared" si="1"/>
        <v>18</v>
      </c>
      <c r="D1389" s="202" t="str">
        <f t="shared" si="2"/>
        <v> </v>
      </c>
      <c r="E1389" s="202" t="str">
        <f t="shared" si="9"/>
        <v> </v>
      </c>
      <c r="F1389" s="55" t="str">
        <f t="shared" si="4"/>
        <v/>
      </c>
      <c r="G1389" s="202" t="str">
        <f t="shared" si="5"/>
        <v/>
      </c>
      <c r="H1389" s="202" t="str">
        <f t="shared" si="11"/>
        <v> </v>
      </c>
      <c r="I1389" s="205" t="str">
        <f t="shared" si="7"/>
        <v/>
      </c>
      <c r="J1389" s="205"/>
      <c r="K1389" s="205"/>
    </row>
    <row r="1390" ht="14.25" customHeight="1">
      <c r="A1390" s="55">
        <v>47045.0</v>
      </c>
      <c r="B1390" s="55" t="str">
        <f t="shared" si="10"/>
        <v>Primer dia</v>
      </c>
      <c r="C1390" s="202">
        <f t="shared" si="1"/>
        <v>19</v>
      </c>
      <c r="D1390" s="202" t="str">
        <f t="shared" si="2"/>
        <v> </v>
      </c>
      <c r="E1390" s="202" t="str">
        <f t="shared" si="9"/>
        <v> </v>
      </c>
      <c r="F1390" s="55" t="str">
        <f t="shared" si="4"/>
        <v/>
      </c>
      <c r="G1390" s="202" t="str">
        <f t="shared" si="5"/>
        <v/>
      </c>
      <c r="H1390" s="202" t="str">
        <f t="shared" si="11"/>
        <v> </v>
      </c>
      <c r="I1390" s="205" t="str">
        <f t="shared" si="7"/>
        <v/>
      </c>
      <c r="J1390" s="205"/>
      <c r="K1390" s="205"/>
    </row>
    <row r="1391" ht="14.25" customHeight="1">
      <c r="A1391" s="55">
        <v>47046.0</v>
      </c>
      <c r="B1391" s="55" t="str">
        <f t="shared" si="10"/>
        <v>Primer dia</v>
      </c>
      <c r="C1391" s="202">
        <f t="shared" si="1"/>
        <v>20</v>
      </c>
      <c r="D1391" s="202" t="str">
        <f t="shared" si="2"/>
        <v> </v>
      </c>
      <c r="E1391" s="202" t="str">
        <f t="shared" si="9"/>
        <v> </v>
      </c>
      <c r="F1391" s="55" t="str">
        <f t="shared" si="4"/>
        <v/>
      </c>
      <c r="G1391" s="202" t="str">
        <f t="shared" si="5"/>
        <v/>
      </c>
      <c r="H1391" s="202" t="str">
        <f t="shared" si="11"/>
        <v> </v>
      </c>
      <c r="I1391" s="205" t="str">
        <f t="shared" si="7"/>
        <v/>
      </c>
      <c r="J1391" s="205"/>
      <c r="K1391" s="205"/>
    </row>
    <row r="1392" ht="14.25" customHeight="1">
      <c r="A1392" s="55">
        <v>47047.0</v>
      </c>
      <c r="B1392" s="55" t="str">
        <f t="shared" si="10"/>
        <v>Primer dia</v>
      </c>
      <c r="C1392" s="202">
        <f t="shared" si="1"/>
        <v>21</v>
      </c>
      <c r="D1392" s="202" t="str">
        <f t="shared" si="2"/>
        <v> </v>
      </c>
      <c r="E1392" s="202" t="str">
        <f t="shared" si="9"/>
        <v> </v>
      </c>
      <c r="F1392" s="55" t="str">
        <f t="shared" si="4"/>
        <v/>
      </c>
      <c r="G1392" s="202" t="str">
        <f t="shared" si="5"/>
        <v/>
      </c>
      <c r="H1392" s="202" t="str">
        <f t="shared" si="11"/>
        <v> </v>
      </c>
      <c r="I1392" s="205" t="str">
        <f t="shared" si="7"/>
        <v/>
      </c>
      <c r="J1392" s="205"/>
      <c r="K1392" s="205"/>
    </row>
    <row r="1393" ht="14.25" customHeight="1">
      <c r="A1393" s="55">
        <v>47048.0</v>
      </c>
      <c r="B1393" s="55" t="str">
        <f t="shared" si="10"/>
        <v>Primer dia</v>
      </c>
      <c r="C1393" s="202">
        <f t="shared" si="1"/>
        <v>22</v>
      </c>
      <c r="D1393" s="202" t="str">
        <f t="shared" si="2"/>
        <v> </v>
      </c>
      <c r="E1393" s="202" t="str">
        <f t="shared" si="9"/>
        <v> </v>
      </c>
      <c r="F1393" s="55" t="str">
        <f t="shared" si="4"/>
        <v/>
      </c>
      <c r="G1393" s="202" t="str">
        <f t="shared" si="5"/>
        <v/>
      </c>
      <c r="H1393" s="202" t="str">
        <f t="shared" si="11"/>
        <v> </v>
      </c>
      <c r="I1393" s="205" t="str">
        <f t="shared" si="7"/>
        <v/>
      </c>
      <c r="J1393" s="205"/>
      <c r="K1393" s="205"/>
    </row>
    <row r="1394" ht="14.25" customHeight="1">
      <c r="A1394" s="55">
        <v>47049.0</v>
      </c>
      <c r="B1394" s="55" t="str">
        <f t="shared" si="10"/>
        <v>Primer dia</v>
      </c>
      <c r="C1394" s="202">
        <f t="shared" si="1"/>
        <v>23</v>
      </c>
      <c r="D1394" s="202" t="str">
        <f t="shared" si="2"/>
        <v> </v>
      </c>
      <c r="E1394" s="202" t="str">
        <f t="shared" si="9"/>
        <v> </v>
      </c>
      <c r="F1394" s="55" t="str">
        <f t="shared" si="4"/>
        <v/>
      </c>
      <c r="G1394" s="202" t="str">
        <f t="shared" si="5"/>
        <v/>
      </c>
      <c r="H1394" s="202" t="str">
        <f t="shared" si="11"/>
        <v> </v>
      </c>
      <c r="I1394" s="205" t="str">
        <f t="shared" si="7"/>
        <v/>
      </c>
      <c r="J1394" s="205"/>
      <c r="K1394" s="205"/>
    </row>
    <row r="1395" ht="14.25" customHeight="1">
      <c r="A1395" s="55">
        <v>47050.0</v>
      </c>
      <c r="B1395" s="55" t="str">
        <f t="shared" si="10"/>
        <v>Primer dia</v>
      </c>
      <c r="C1395" s="202">
        <f t="shared" si="1"/>
        <v>24</v>
      </c>
      <c r="D1395" s="202" t="str">
        <f t="shared" si="2"/>
        <v> </v>
      </c>
      <c r="E1395" s="202" t="str">
        <f t="shared" si="9"/>
        <v> </v>
      </c>
      <c r="F1395" s="55" t="str">
        <f t="shared" si="4"/>
        <v/>
      </c>
      <c r="G1395" s="202" t="str">
        <f t="shared" si="5"/>
        <v/>
      </c>
      <c r="H1395" s="202" t="str">
        <f t="shared" si="11"/>
        <v> </v>
      </c>
      <c r="I1395" s="205" t="str">
        <f t="shared" si="7"/>
        <v/>
      </c>
      <c r="J1395" s="205"/>
      <c r="K1395" s="205"/>
    </row>
    <row r="1396" ht="14.25" customHeight="1">
      <c r="A1396" s="55">
        <v>47051.0</v>
      </c>
      <c r="B1396" s="55" t="str">
        <f t="shared" si="10"/>
        <v>Primer dia</v>
      </c>
      <c r="C1396" s="202">
        <f t="shared" si="1"/>
        <v>25</v>
      </c>
      <c r="D1396" s="202" t="str">
        <f t="shared" si="2"/>
        <v> </v>
      </c>
      <c r="E1396" s="202" t="str">
        <f t="shared" si="9"/>
        <v> </v>
      </c>
      <c r="F1396" s="55" t="str">
        <f t="shared" si="4"/>
        <v/>
      </c>
      <c r="G1396" s="202" t="str">
        <f t="shared" si="5"/>
        <v/>
      </c>
      <c r="H1396" s="202" t="str">
        <f t="shared" si="11"/>
        <v> </v>
      </c>
      <c r="I1396" s="205" t="str">
        <f t="shared" si="7"/>
        <v/>
      </c>
      <c r="J1396" s="205"/>
      <c r="K1396" s="205"/>
    </row>
    <row r="1397" ht="14.25" customHeight="1">
      <c r="A1397" s="55">
        <v>47052.0</v>
      </c>
      <c r="B1397" s="55" t="str">
        <f t="shared" si="10"/>
        <v>Primer dia</v>
      </c>
      <c r="C1397" s="202">
        <f t="shared" si="1"/>
        <v>26</v>
      </c>
      <c r="D1397" s="202" t="str">
        <f t="shared" si="2"/>
        <v> </v>
      </c>
      <c r="E1397" s="202" t="str">
        <f t="shared" si="9"/>
        <v> </v>
      </c>
      <c r="F1397" s="55" t="str">
        <f t="shared" si="4"/>
        <v/>
      </c>
      <c r="G1397" s="202" t="str">
        <f t="shared" si="5"/>
        <v/>
      </c>
      <c r="H1397" s="202" t="str">
        <f t="shared" si="11"/>
        <v> </v>
      </c>
      <c r="I1397" s="205" t="str">
        <f t="shared" si="7"/>
        <v/>
      </c>
      <c r="J1397" s="205"/>
      <c r="K1397" s="205"/>
    </row>
    <row r="1398" ht="14.25" customHeight="1">
      <c r="A1398" s="55">
        <v>47053.0</v>
      </c>
      <c r="B1398" s="55" t="str">
        <f t="shared" si="10"/>
        <v>Primer dia</v>
      </c>
      <c r="C1398" s="202">
        <f t="shared" si="1"/>
        <v>27</v>
      </c>
      <c r="D1398" s="202" t="str">
        <f t="shared" si="2"/>
        <v> </v>
      </c>
      <c r="E1398" s="202" t="str">
        <f t="shared" si="9"/>
        <v> </v>
      </c>
      <c r="F1398" s="55" t="str">
        <f t="shared" si="4"/>
        <v/>
      </c>
      <c r="G1398" s="202" t="str">
        <f t="shared" si="5"/>
        <v/>
      </c>
      <c r="H1398" s="202" t="str">
        <f t="shared" si="11"/>
        <v> </v>
      </c>
      <c r="I1398" s="205" t="str">
        <f t="shared" si="7"/>
        <v/>
      </c>
      <c r="J1398" s="205"/>
      <c r="K1398" s="205"/>
    </row>
    <row r="1399" ht="14.25" customHeight="1">
      <c r="A1399" s="55">
        <v>47054.0</v>
      </c>
      <c r="B1399" s="55" t="str">
        <f t="shared" si="10"/>
        <v>Primer dia</v>
      </c>
      <c r="C1399" s="202">
        <f t="shared" si="1"/>
        <v>28</v>
      </c>
      <c r="D1399" s="202" t="str">
        <f t="shared" si="2"/>
        <v> </v>
      </c>
      <c r="E1399" s="202" t="str">
        <f t="shared" si="9"/>
        <v> </v>
      </c>
      <c r="F1399" s="55" t="str">
        <f t="shared" si="4"/>
        <v/>
      </c>
      <c r="G1399" s="202" t="str">
        <f t="shared" si="5"/>
        <v/>
      </c>
      <c r="H1399" s="202" t="str">
        <f t="shared" si="11"/>
        <v> </v>
      </c>
      <c r="I1399" s="205" t="str">
        <f t="shared" si="7"/>
        <v/>
      </c>
      <c r="J1399" s="205"/>
      <c r="K1399" s="205"/>
    </row>
    <row r="1400" ht="14.25" customHeight="1">
      <c r="A1400" s="55">
        <v>47055.0</v>
      </c>
      <c r="B1400" s="55" t="str">
        <f t="shared" si="10"/>
        <v>Primer dia</v>
      </c>
      <c r="C1400" s="202">
        <f t="shared" si="1"/>
        <v>29</v>
      </c>
      <c r="D1400" s="202" t="str">
        <f t="shared" si="2"/>
        <v> </v>
      </c>
      <c r="E1400" s="202" t="str">
        <f t="shared" si="9"/>
        <v> </v>
      </c>
      <c r="F1400" s="55" t="str">
        <f t="shared" si="4"/>
        <v/>
      </c>
      <c r="G1400" s="202" t="str">
        <f t="shared" si="5"/>
        <v/>
      </c>
      <c r="H1400" s="202" t="str">
        <f t="shared" si="11"/>
        <v> </v>
      </c>
      <c r="I1400" s="205" t="str">
        <f t="shared" si="7"/>
        <v/>
      </c>
      <c r="J1400" s="205"/>
      <c r="K1400" s="205"/>
    </row>
    <row r="1401" ht="14.25" customHeight="1">
      <c r="A1401" s="55">
        <v>47056.0</v>
      </c>
      <c r="B1401" s="55" t="str">
        <f t="shared" si="10"/>
        <v>Primer dia</v>
      </c>
      <c r="C1401" s="202">
        <f t="shared" si="1"/>
        <v>30</v>
      </c>
      <c r="D1401" s="202" t="str">
        <f t="shared" si="2"/>
        <v> </v>
      </c>
      <c r="E1401" s="202" t="str">
        <f t="shared" si="9"/>
        <v> </v>
      </c>
      <c r="F1401" s="55" t="str">
        <f t="shared" si="4"/>
        <v/>
      </c>
      <c r="G1401" s="202" t="str">
        <f t="shared" si="5"/>
        <v/>
      </c>
      <c r="H1401" s="202" t="str">
        <f t="shared" si="11"/>
        <v> </v>
      </c>
      <c r="I1401" s="205" t="str">
        <f t="shared" si="7"/>
        <v/>
      </c>
      <c r="J1401" s="205"/>
      <c r="K1401" s="205"/>
    </row>
    <row r="1402" ht="14.25" customHeight="1">
      <c r="A1402" s="55">
        <v>47057.0</v>
      </c>
      <c r="B1402" s="55" t="str">
        <f t="shared" si="10"/>
        <v>Primer dia</v>
      </c>
      <c r="C1402" s="202">
        <f t="shared" si="1"/>
        <v>31</v>
      </c>
      <c r="D1402" s="202" t="str">
        <f t="shared" si="2"/>
        <v> </v>
      </c>
      <c r="E1402" s="202" t="str">
        <f t="shared" si="9"/>
        <v> </v>
      </c>
      <c r="F1402" s="55" t="str">
        <f t="shared" si="4"/>
        <v/>
      </c>
      <c r="G1402" s="202" t="str">
        <f t="shared" si="5"/>
        <v/>
      </c>
      <c r="H1402" s="202" t="str">
        <f t="shared" si="11"/>
        <v> </v>
      </c>
      <c r="I1402" s="205" t="str">
        <f t="shared" si="7"/>
        <v/>
      </c>
      <c r="J1402" s="205"/>
      <c r="K1402" s="205"/>
    </row>
    <row r="1403" ht="14.25" customHeight="1">
      <c r="A1403" s="55">
        <v>47058.0</v>
      </c>
      <c r="B1403" s="55" t="str">
        <f t="shared" si="10"/>
        <v>Primer dia</v>
      </c>
      <c r="C1403" s="202">
        <f t="shared" si="1"/>
        <v>1</v>
      </c>
      <c r="D1403" s="202" t="str">
        <f t="shared" si="2"/>
        <v> </v>
      </c>
      <c r="E1403" s="202" t="str">
        <f t="shared" si="9"/>
        <v> </v>
      </c>
      <c r="F1403" s="55" t="str">
        <f t="shared" si="4"/>
        <v/>
      </c>
      <c r="G1403" s="202" t="str">
        <f t="shared" si="5"/>
        <v/>
      </c>
      <c r="H1403" s="202" t="str">
        <f t="shared" si="11"/>
        <v> </v>
      </c>
      <c r="I1403" s="205" t="str">
        <f t="shared" si="7"/>
        <v/>
      </c>
      <c r="J1403" s="205"/>
      <c r="K1403" s="205"/>
    </row>
    <row r="1404" ht="14.25" customHeight="1">
      <c r="A1404" s="55">
        <v>47059.0</v>
      </c>
      <c r="B1404" s="55" t="str">
        <f t="shared" si="10"/>
        <v>Primer dia</v>
      </c>
      <c r="C1404" s="202">
        <f t="shared" si="1"/>
        <v>2</v>
      </c>
      <c r="D1404" s="202" t="str">
        <f t="shared" si="2"/>
        <v> </v>
      </c>
      <c r="E1404" s="202">
        <f t="shared" si="9"/>
        <v>2</v>
      </c>
      <c r="F1404" s="55">
        <f t="shared" si="4"/>
        <v>47059</v>
      </c>
      <c r="G1404" s="202">
        <f t="shared" si="5"/>
        <v>67</v>
      </c>
      <c r="H1404" s="202" t="str">
        <f t="shared" si="11"/>
        <v> </v>
      </c>
      <c r="I1404" s="205" t="str">
        <f t="shared" si="7"/>
        <v/>
      </c>
      <c r="J1404" s="205"/>
      <c r="K1404" s="205"/>
    </row>
    <row r="1405" ht="14.25" customHeight="1">
      <c r="A1405" s="55">
        <v>47060.0</v>
      </c>
      <c r="B1405" s="55" t="str">
        <f t="shared" si="10"/>
        <v>Primer dia</v>
      </c>
      <c r="C1405" s="202">
        <f t="shared" si="1"/>
        <v>3</v>
      </c>
      <c r="D1405" s="202" t="str">
        <f t="shared" si="2"/>
        <v> </v>
      </c>
      <c r="E1405" s="202" t="str">
        <f t="shared" si="9"/>
        <v> </v>
      </c>
      <c r="F1405" s="55" t="str">
        <f t="shared" si="4"/>
        <v/>
      </c>
      <c r="G1405" s="202" t="str">
        <f t="shared" si="5"/>
        <v/>
      </c>
      <c r="H1405" s="202" t="str">
        <f t="shared" si="11"/>
        <v> </v>
      </c>
      <c r="I1405" s="205" t="str">
        <f t="shared" si="7"/>
        <v/>
      </c>
      <c r="J1405" s="205"/>
      <c r="K1405" s="205"/>
    </row>
    <row r="1406" ht="14.25" customHeight="1">
      <c r="A1406" s="55">
        <v>47061.0</v>
      </c>
      <c r="B1406" s="55" t="str">
        <f t="shared" si="10"/>
        <v>Primer dia</v>
      </c>
      <c r="C1406" s="202">
        <f t="shared" si="1"/>
        <v>4</v>
      </c>
      <c r="D1406" s="202" t="str">
        <f t="shared" si="2"/>
        <v> </v>
      </c>
      <c r="E1406" s="202" t="str">
        <f t="shared" si="9"/>
        <v> </v>
      </c>
      <c r="F1406" s="55" t="str">
        <f t="shared" si="4"/>
        <v/>
      </c>
      <c r="G1406" s="202" t="str">
        <f t="shared" si="5"/>
        <v/>
      </c>
      <c r="H1406" s="202" t="str">
        <f t="shared" si="11"/>
        <v> </v>
      </c>
      <c r="I1406" s="205" t="str">
        <f t="shared" si="7"/>
        <v/>
      </c>
      <c r="J1406" s="205"/>
      <c r="K1406" s="205"/>
    </row>
    <row r="1407" ht="14.25" customHeight="1">
      <c r="A1407" s="55">
        <v>47062.0</v>
      </c>
      <c r="B1407" s="55" t="str">
        <f t="shared" si="10"/>
        <v>Primer dia</v>
      </c>
      <c r="C1407" s="202">
        <f t="shared" si="1"/>
        <v>5</v>
      </c>
      <c r="D1407" s="202" t="str">
        <f t="shared" si="2"/>
        <v> </v>
      </c>
      <c r="E1407" s="202" t="str">
        <f t="shared" si="9"/>
        <v> </v>
      </c>
      <c r="F1407" s="55" t="str">
        <f t="shared" si="4"/>
        <v/>
      </c>
      <c r="G1407" s="202" t="str">
        <f t="shared" si="5"/>
        <v/>
      </c>
      <c r="H1407" s="202" t="str">
        <f t="shared" si="11"/>
        <v> </v>
      </c>
      <c r="I1407" s="205" t="str">
        <f t="shared" si="7"/>
        <v/>
      </c>
      <c r="J1407" s="205"/>
      <c r="K1407" s="205"/>
    </row>
    <row r="1408" ht="14.25" customHeight="1">
      <c r="A1408" s="55">
        <v>47063.0</v>
      </c>
      <c r="B1408" s="55" t="str">
        <f t="shared" si="10"/>
        <v>Primer dia</v>
      </c>
      <c r="C1408" s="202">
        <f t="shared" si="1"/>
        <v>6</v>
      </c>
      <c r="D1408" s="202" t="str">
        <f t="shared" si="2"/>
        <v> </v>
      </c>
      <c r="E1408" s="202" t="str">
        <f t="shared" si="9"/>
        <v> </v>
      </c>
      <c r="F1408" s="55" t="str">
        <f t="shared" si="4"/>
        <v/>
      </c>
      <c r="G1408" s="202" t="str">
        <f t="shared" si="5"/>
        <v/>
      </c>
      <c r="H1408" s="202" t="str">
        <f t="shared" si="11"/>
        <v> </v>
      </c>
      <c r="I1408" s="205" t="str">
        <f t="shared" si="7"/>
        <v/>
      </c>
      <c r="J1408" s="205"/>
      <c r="K1408" s="205"/>
    </row>
    <row r="1409" ht="14.25" customHeight="1">
      <c r="A1409" s="55">
        <v>47064.0</v>
      </c>
      <c r="B1409" s="55" t="str">
        <f t="shared" si="10"/>
        <v>Primer dia</v>
      </c>
      <c r="C1409" s="202">
        <f t="shared" si="1"/>
        <v>7</v>
      </c>
      <c r="D1409" s="202" t="str">
        <f t="shared" si="2"/>
        <v> </v>
      </c>
      <c r="E1409" s="202" t="str">
        <f t="shared" si="9"/>
        <v> </v>
      </c>
      <c r="F1409" s="55" t="str">
        <f t="shared" si="4"/>
        <v/>
      </c>
      <c r="G1409" s="202" t="str">
        <f t="shared" si="5"/>
        <v/>
      </c>
      <c r="H1409" s="202" t="str">
        <f t="shared" si="11"/>
        <v> </v>
      </c>
      <c r="I1409" s="205" t="str">
        <f t="shared" si="7"/>
        <v/>
      </c>
      <c r="J1409" s="205"/>
      <c r="K1409" s="205"/>
    </row>
    <row r="1410" ht="14.25" customHeight="1">
      <c r="A1410" s="55">
        <v>47065.0</v>
      </c>
      <c r="B1410" s="55" t="str">
        <f t="shared" si="10"/>
        <v>Primer dia</v>
      </c>
      <c r="C1410" s="202">
        <f t="shared" si="1"/>
        <v>8</v>
      </c>
      <c r="D1410" s="202" t="str">
        <f t="shared" si="2"/>
        <v> </v>
      </c>
      <c r="E1410" s="202" t="str">
        <f t="shared" si="9"/>
        <v> </v>
      </c>
      <c r="F1410" s="55" t="str">
        <f t="shared" si="4"/>
        <v/>
      </c>
      <c r="G1410" s="202" t="str">
        <f t="shared" si="5"/>
        <v/>
      </c>
      <c r="H1410" s="202" t="str">
        <f t="shared" si="11"/>
        <v> </v>
      </c>
      <c r="I1410" s="205" t="str">
        <f t="shared" si="7"/>
        <v/>
      </c>
      <c r="J1410" s="205"/>
      <c r="K1410" s="205"/>
    </row>
    <row r="1411" ht="14.25" customHeight="1">
      <c r="A1411" s="55">
        <v>47066.0</v>
      </c>
      <c r="B1411" s="55" t="str">
        <f t="shared" si="10"/>
        <v>Primer dia</v>
      </c>
      <c r="C1411" s="202">
        <f t="shared" si="1"/>
        <v>9</v>
      </c>
      <c r="D1411" s="202" t="str">
        <f t="shared" si="2"/>
        <v> </v>
      </c>
      <c r="E1411" s="202" t="str">
        <f t="shared" si="9"/>
        <v> </v>
      </c>
      <c r="F1411" s="55" t="str">
        <f t="shared" si="4"/>
        <v/>
      </c>
      <c r="G1411" s="202" t="str">
        <f t="shared" si="5"/>
        <v/>
      </c>
      <c r="H1411" s="202" t="str">
        <f t="shared" si="11"/>
        <v> </v>
      </c>
      <c r="I1411" s="205" t="str">
        <f t="shared" si="7"/>
        <v/>
      </c>
      <c r="J1411" s="205"/>
      <c r="K1411" s="205"/>
    </row>
    <row r="1412" ht="14.25" customHeight="1">
      <c r="A1412" s="55">
        <v>47067.0</v>
      </c>
      <c r="B1412" s="55" t="str">
        <f t="shared" si="10"/>
        <v>Primer dia</v>
      </c>
      <c r="C1412" s="202">
        <f t="shared" si="1"/>
        <v>10</v>
      </c>
      <c r="D1412" s="202" t="str">
        <f t="shared" si="2"/>
        <v> </v>
      </c>
      <c r="E1412" s="202" t="str">
        <f t="shared" si="9"/>
        <v> </v>
      </c>
      <c r="F1412" s="55" t="str">
        <f t="shared" si="4"/>
        <v/>
      </c>
      <c r="G1412" s="202" t="str">
        <f t="shared" si="5"/>
        <v/>
      </c>
      <c r="H1412" s="202" t="str">
        <f t="shared" si="11"/>
        <v> </v>
      </c>
      <c r="I1412" s="205" t="str">
        <f t="shared" si="7"/>
        <v/>
      </c>
      <c r="J1412" s="205"/>
      <c r="K1412" s="205"/>
    </row>
    <row r="1413" ht="14.25" customHeight="1">
      <c r="A1413" s="55">
        <v>47068.0</v>
      </c>
      <c r="B1413" s="55" t="str">
        <f t="shared" si="10"/>
        <v>Primer dia</v>
      </c>
      <c r="C1413" s="202">
        <f t="shared" si="1"/>
        <v>11</v>
      </c>
      <c r="D1413" s="202" t="str">
        <f t="shared" si="2"/>
        <v> </v>
      </c>
      <c r="E1413" s="202" t="str">
        <f t="shared" si="9"/>
        <v> </v>
      </c>
      <c r="F1413" s="55" t="str">
        <f t="shared" si="4"/>
        <v/>
      </c>
      <c r="G1413" s="202" t="str">
        <f t="shared" si="5"/>
        <v/>
      </c>
      <c r="H1413" s="202" t="str">
        <f t="shared" si="11"/>
        <v> </v>
      </c>
      <c r="I1413" s="205" t="str">
        <f t="shared" si="7"/>
        <v/>
      </c>
      <c r="J1413" s="205"/>
      <c r="K1413" s="205"/>
    </row>
    <row r="1414" ht="14.25" customHeight="1">
      <c r="A1414" s="55">
        <v>47069.0</v>
      </c>
      <c r="B1414" s="55" t="str">
        <f t="shared" si="10"/>
        <v>Primer dia</v>
      </c>
      <c r="C1414" s="202">
        <f t="shared" si="1"/>
        <v>12</v>
      </c>
      <c r="D1414" s="202" t="str">
        <f t="shared" si="2"/>
        <v> </v>
      </c>
      <c r="E1414" s="202" t="str">
        <f t="shared" si="9"/>
        <v> </v>
      </c>
      <c r="F1414" s="55" t="str">
        <f t="shared" si="4"/>
        <v/>
      </c>
      <c r="G1414" s="202" t="str">
        <f t="shared" si="5"/>
        <v/>
      </c>
      <c r="H1414" s="202" t="str">
        <f t="shared" si="11"/>
        <v> </v>
      </c>
      <c r="I1414" s="205" t="str">
        <f t="shared" si="7"/>
        <v/>
      </c>
      <c r="J1414" s="205"/>
      <c r="K1414" s="205"/>
    </row>
    <row r="1415" ht="14.25" customHeight="1">
      <c r="A1415" s="55">
        <v>47070.0</v>
      </c>
      <c r="B1415" s="55" t="str">
        <f t="shared" si="10"/>
        <v>Primer dia</v>
      </c>
      <c r="C1415" s="202">
        <f t="shared" si="1"/>
        <v>13</v>
      </c>
      <c r="D1415" s="202" t="str">
        <f t="shared" si="2"/>
        <v> </v>
      </c>
      <c r="E1415" s="202" t="str">
        <f t="shared" si="9"/>
        <v> </v>
      </c>
      <c r="F1415" s="55" t="str">
        <f t="shared" si="4"/>
        <v/>
      </c>
      <c r="G1415" s="202" t="str">
        <f t="shared" si="5"/>
        <v/>
      </c>
      <c r="H1415" s="202" t="str">
        <f t="shared" si="11"/>
        <v> </v>
      </c>
      <c r="I1415" s="205" t="str">
        <f t="shared" si="7"/>
        <v/>
      </c>
      <c r="J1415" s="205"/>
      <c r="K1415" s="205"/>
    </row>
    <row r="1416" ht="14.25" customHeight="1">
      <c r="A1416" s="55">
        <v>47071.0</v>
      </c>
      <c r="B1416" s="55" t="str">
        <f t="shared" si="10"/>
        <v>Primer dia</v>
      </c>
      <c r="C1416" s="202">
        <f t="shared" si="1"/>
        <v>14</v>
      </c>
      <c r="D1416" s="202" t="str">
        <f t="shared" si="2"/>
        <v> </v>
      </c>
      <c r="E1416" s="202" t="str">
        <f t="shared" si="9"/>
        <v> </v>
      </c>
      <c r="F1416" s="55" t="str">
        <f t="shared" si="4"/>
        <v/>
      </c>
      <c r="G1416" s="202" t="str">
        <f t="shared" si="5"/>
        <v/>
      </c>
      <c r="H1416" s="202" t="str">
        <f t="shared" si="11"/>
        <v> </v>
      </c>
      <c r="I1416" s="205" t="str">
        <f t="shared" si="7"/>
        <v/>
      </c>
      <c r="J1416" s="205"/>
      <c r="K1416" s="205"/>
    </row>
    <row r="1417" ht="14.25" customHeight="1">
      <c r="A1417" s="55">
        <v>47072.0</v>
      </c>
      <c r="B1417" s="55" t="str">
        <f t="shared" si="10"/>
        <v>Primer dia</v>
      </c>
      <c r="C1417" s="202">
        <f t="shared" si="1"/>
        <v>15</v>
      </c>
      <c r="D1417" s="202" t="str">
        <f t="shared" si="2"/>
        <v> </v>
      </c>
      <c r="E1417" s="202" t="str">
        <f t="shared" si="9"/>
        <v> </v>
      </c>
      <c r="F1417" s="55" t="str">
        <f t="shared" si="4"/>
        <v/>
      </c>
      <c r="G1417" s="202" t="str">
        <f t="shared" si="5"/>
        <v/>
      </c>
      <c r="H1417" s="202" t="str">
        <f t="shared" si="11"/>
        <v> </v>
      </c>
      <c r="I1417" s="205" t="str">
        <f t="shared" si="7"/>
        <v/>
      </c>
      <c r="J1417" s="205"/>
      <c r="K1417" s="205"/>
    </row>
    <row r="1418" ht="14.25" customHeight="1">
      <c r="A1418" s="55">
        <v>47073.0</v>
      </c>
      <c r="B1418" s="55" t="str">
        <f t="shared" si="10"/>
        <v>Primer dia</v>
      </c>
      <c r="C1418" s="202">
        <f t="shared" si="1"/>
        <v>16</v>
      </c>
      <c r="D1418" s="202" t="str">
        <f t="shared" si="2"/>
        <v> </v>
      </c>
      <c r="E1418" s="202" t="str">
        <f t="shared" si="9"/>
        <v> </v>
      </c>
      <c r="F1418" s="55" t="str">
        <f t="shared" si="4"/>
        <v/>
      </c>
      <c r="G1418" s="202" t="str">
        <f t="shared" si="5"/>
        <v/>
      </c>
      <c r="H1418" s="202" t="str">
        <f t="shared" si="11"/>
        <v> </v>
      </c>
      <c r="I1418" s="205" t="str">
        <f t="shared" si="7"/>
        <v/>
      </c>
      <c r="J1418" s="205"/>
      <c r="K1418" s="205"/>
    </row>
    <row r="1419" ht="14.25" customHeight="1">
      <c r="A1419" s="55">
        <v>47074.0</v>
      </c>
      <c r="B1419" s="55" t="str">
        <f t="shared" si="10"/>
        <v>Primer dia</v>
      </c>
      <c r="C1419" s="202">
        <f t="shared" si="1"/>
        <v>17</v>
      </c>
      <c r="D1419" s="202" t="str">
        <f t="shared" si="2"/>
        <v> </v>
      </c>
      <c r="E1419" s="202">
        <f t="shared" si="9"/>
        <v>17</v>
      </c>
      <c r="F1419" s="55">
        <f t="shared" si="4"/>
        <v>47074</v>
      </c>
      <c r="G1419" s="202">
        <f t="shared" si="5"/>
        <v>68</v>
      </c>
      <c r="H1419" s="202" t="str">
        <f t="shared" si="11"/>
        <v> </v>
      </c>
      <c r="I1419" s="205" t="str">
        <f t="shared" si="7"/>
        <v/>
      </c>
      <c r="J1419" s="205"/>
      <c r="K1419" s="205"/>
    </row>
    <row r="1420" ht="14.25" customHeight="1">
      <c r="A1420" s="55">
        <v>47075.0</v>
      </c>
      <c r="B1420" s="55" t="str">
        <f t="shared" si="10"/>
        <v>Primer dia</v>
      </c>
      <c r="C1420" s="202">
        <f t="shared" si="1"/>
        <v>18</v>
      </c>
      <c r="D1420" s="202" t="str">
        <f t="shared" si="2"/>
        <v> </v>
      </c>
      <c r="E1420" s="202" t="str">
        <f t="shared" si="9"/>
        <v> </v>
      </c>
      <c r="F1420" s="55" t="str">
        <f t="shared" si="4"/>
        <v/>
      </c>
      <c r="G1420" s="202" t="str">
        <f t="shared" si="5"/>
        <v/>
      </c>
      <c r="H1420" s="202" t="str">
        <f t="shared" si="11"/>
        <v> </v>
      </c>
      <c r="I1420" s="205" t="str">
        <f t="shared" si="7"/>
        <v/>
      </c>
      <c r="J1420" s="205"/>
      <c r="K1420" s="205"/>
    </row>
    <row r="1421" ht="14.25" customHeight="1">
      <c r="A1421" s="55">
        <v>47076.0</v>
      </c>
      <c r="B1421" s="55" t="str">
        <f t="shared" si="10"/>
        <v>Primer dia</v>
      </c>
      <c r="C1421" s="202">
        <f t="shared" si="1"/>
        <v>19</v>
      </c>
      <c r="D1421" s="202" t="str">
        <f t="shared" si="2"/>
        <v> </v>
      </c>
      <c r="E1421" s="202" t="str">
        <f t="shared" si="9"/>
        <v> </v>
      </c>
      <c r="F1421" s="55" t="str">
        <f t="shared" si="4"/>
        <v/>
      </c>
      <c r="G1421" s="202" t="str">
        <f t="shared" si="5"/>
        <v/>
      </c>
      <c r="H1421" s="202" t="str">
        <f t="shared" si="11"/>
        <v> </v>
      </c>
      <c r="I1421" s="205" t="str">
        <f t="shared" si="7"/>
        <v/>
      </c>
      <c r="J1421" s="205"/>
      <c r="K1421" s="205"/>
    </row>
    <row r="1422" ht="14.25" customHeight="1">
      <c r="A1422" s="55">
        <v>47077.0</v>
      </c>
      <c r="B1422" s="55" t="str">
        <f t="shared" si="10"/>
        <v>Primer dia</v>
      </c>
      <c r="C1422" s="202">
        <f t="shared" si="1"/>
        <v>20</v>
      </c>
      <c r="D1422" s="202" t="str">
        <f t="shared" si="2"/>
        <v> </v>
      </c>
      <c r="E1422" s="202" t="str">
        <f t="shared" si="9"/>
        <v> </v>
      </c>
      <c r="F1422" s="55" t="str">
        <f t="shared" si="4"/>
        <v/>
      </c>
      <c r="G1422" s="202" t="str">
        <f t="shared" si="5"/>
        <v/>
      </c>
      <c r="H1422" s="202" t="str">
        <f t="shared" si="11"/>
        <v> </v>
      </c>
      <c r="I1422" s="205" t="str">
        <f t="shared" si="7"/>
        <v/>
      </c>
      <c r="J1422" s="205"/>
      <c r="K1422" s="205"/>
    </row>
    <row r="1423" ht="14.25" customHeight="1">
      <c r="A1423" s="55">
        <v>47078.0</v>
      </c>
      <c r="B1423" s="55" t="str">
        <f t="shared" si="10"/>
        <v>Primer dia</v>
      </c>
      <c r="C1423" s="202">
        <f t="shared" si="1"/>
        <v>21</v>
      </c>
      <c r="D1423" s="202" t="str">
        <f t="shared" si="2"/>
        <v> </v>
      </c>
      <c r="E1423" s="202" t="str">
        <f t="shared" si="9"/>
        <v> </v>
      </c>
      <c r="F1423" s="55" t="str">
        <f t="shared" si="4"/>
        <v/>
      </c>
      <c r="G1423" s="202" t="str">
        <f t="shared" si="5"/>
        <v/>
      </c>
      <c r="H1423" s="202" t="str">
        <f t="shared" si="11"/>
        <v> </v>
      </c>
      <c r="I1423" s="205" t="str">
        <f t="shared" si="7"/>
        <v/>
      </c>
      <c r="J1423" s="205"/>
      <c r="K1423" s="205"/>
    </row>
    <row r="1424" ht="14.25" customHeight="1">
      <c r="A1424" s="55">
        <v>47079.0</v>
      </c>
      <c r="B1424" s="55" t="str">
        <f t="shared" si="10"/>
        <v>Primer dia</v>
      </c>
      <c r="C1424" s="202">
        <f t="shared" si="1"/>
        <v>22</v>
      </c>
      <c r="D1424" s="202" t="str">
        <f t="shared" si="2"/>
        <v> </v>
      </c>
      <c r="E1424" s="202" t="str">
        <f t="shared" si="9"/>
        <v> </v>
      </c>
      <c r="F1424" s="55" t="str">
        <f t="shared" si="4"/>
        <v/>
      </c>
      <c r="G1424" s="202" t="str">
        <f t="shared" si="5"/>
        <v/>
      </c>
      <c r="H1424" s="202" t="str">
        <f t="shared" si="11"/>
        <v> </v>
      </c>
      <c r="I1424" s="205" t="str">
        <f t="shared" si="7"/>
        <v/>
      </c>
      <c r="J1424" s="205"/>
      <c r="K1424" s="205"/>
    </row>
    <row r="1425" ht="14.25" customHeight="1">
      <c r="A1425" s="55">
        <v>47080.0</v>
      </c>
      <c r="B1425" s="55" t="str">
        <f t="shared" si="10"/>
        <v>Primer dia</v>
      </c>
      <c r="C1425" s="202">
        <f t="shared" si="1"/>
        <v>23</v>
      </c>
      <c r="D1425" s="202" t="str">
        <f t="shared" si="2"/>
        <v> </v>
      </c>
      <c r="E1425" s="202" t="str">
        <f t="shared" si="9"/>
        <v> </v>
      </c>
      <c r="F1425" s="55" t="str">
        <f t="shared" si="4"/>
        <v/>
      </c>
      <c r="G1425" s="202" t="str">
        <f t="shared" si="5"/>
        <v/>
      </c>
      <c r="H1425" s="202" t="str">
        <f t="shared" si="11"/>
        <v> </v>
      </c>
      <c r="I1425" s="205" t="str">
        <f t="shared" si="7"/>
        <v/>
      </c>
      <c r="J1425" s="205"/>
      <c r="K1425" s="205"/>
    </row>
    <row r="1426" ht="14.25" customHeight="1">
      <c r="A1426" s="55">
        <v>47081.0</v>
      </c>
      <c r="B1426" s="55" t="str">
        <f t="shared" si="10"/>
        <v>Primer dia</v>
      </c>
      <c r="C1426" s="202">
        <f t="shared" si="1"/>
        <v>24</v>
      </c>
      <c r="D1426" s="202" t="str">
        <f t="shared" si="2"/>
        <v> </v>
      </c>
      <c r="E1426" s="202" t="str">
        <f t="shared" si="9"/>
        <v> </v>
      </c>
      <c r="F1426" s="55" t="str">
        <f t="shared" si="4"/>
        <v/>
      </c>
      <c r="G1426" s="202" t="str">
        <f t="shared" si="5"/>
        <v/>
      </c>
      <c r="H1426" s="202" t="str">
        <f t="shared" si="11"/>
        <v> </v>
      </c>
      <c r="I1426" s="205" t="str">
        <f t="shared" si="7"/>
        <v/>
      </c>
      <c r="J1426" s="205"/>
      <c r="K1426" s="205"/>
    </row>
    <row r="1427" ht="14.25" customHeight="1">
      <c r="A1427" s="55">
        <v>47082.0</v>
      </c>
      <c r="B1427" s="55" t="str">
        <f t="shared" si="10"/>
        <v>Primer dia</v>
      </c>
      <c r="C1427" s="202">
        <f t="shared" si="1"/>
        <v>25</v>
      </c>
      <c r="D1427" s="202" t="str">
        <f t="shared" si="2"/>
        <v> </v>
      </c>
      <c r="E1427" s="202" t="str">
        <f t="shared" si="9"/>
        <v> </v>
      </c>
      <c r="F1427" s="55" t="str">
        <f t="shared" si="4"/>
        <v/>
      </c>
      <c r="G1427" s="202" t="str">
        <f t="shared" si="5"/>
        <v/>
      </c>
      <c r="H1427" s="202" t="str">
        <f t="shared" si="11"/>
        <v> </v>
      </c>
      <c r="I1427" s="205" t="str">
        <f t="shared" si="7"/>
        <v/>
      </c>
      <c r="J1427" s="205"/>
      <c r="K1427" s="205"/>
    </row>
    <row r="1428" ht="14.25" customHeight="1">
      <c r="A1428" s="55">
        <v>47083.0</v>
      </c>
      <c r="B1428" s="55" t="str">
        <f t="shared" si="10"/>
        <v>Primer dia</v>
      </c>
      <c r="C1428" s="202">
        <f t="shared" si="1"/>
        <v>26</v>
      </c>
      <c r="D1428" s="202" t="str">
        <f t="shared" si="2"/>
        <v> </v>
      </c>
      <c r="E1428" s="202" t="str">
        <f t="shared" si="9"/>
        <v> </v>
      </c>
      <c r="F1428" s="55" t="str">
        <f t="shared" si="4"/>
        <v/>
      </c>
      <c r="G1428" s="202" t="str">
        <f t="shared" si="5"/>
        <v/>
      </c>
      <c r="H1428" s="202" t="str">
        <f t="shared" si="11"/>
        <v> </v>
      </c>
      <c r="I1428" s="205" t="str">
        <f t="shared" si="7"/>
        <v/>
      </c>
      <c r="J1428" s="205"/>
      <c r="K1428" s="205"/>
    </row>
    <row r="1429" ht="14.25" customHeight="1">
      <c r="A1429" s="55">
        <v>47084.0</v>
      </c>
      <c r="B1429" s="55" t="str">
        <f t="shared" si="10"/>
        <v>Primer dia</v>
      </c>
      <c r="C1429" s="202">
        <f t="shared" si="1"/>
        <v>27</v>
      </c>
      <c r="D1429" s="202" t="str">
        <f t="shared" si="2"/>
        <v> </v>
      </c>
      <c r="E1429" s="202" t="str">
        <f t="shared" si="9"/>
        <v> </v>
      </c>
      <c r="F1429" s="55" t="str">
        <f t="shared" si="4"/>
        <v/>
      </c>
      <c r="G1429" s="202" t="str">
        <f t="shared" si="5"/>
        <v/>
      </c>
      <c r="H1429" s="202" t="str">
        <f t="shared" si="11"/>
        <v> </v>
      </c>
      <c r="I1429" s="205" t="str">
        <f t="shared" si="7"/>
        <v/>
      </c>
      <c r="J1429" s="205"/>
      <c r="K1429" s="205"/>
    </row>
    <row r="1430" ht="14.25" customHeight="1">
      <c r="A1430" s="55">
        <v>47085.0</v>
      </c>
      <c r="B1430" s="55" t="str">
        <f t="shared" si="10"/>
        <v>Primer dia</v>
      </c>
      <c r="C1430" s="202">
        <f t="shared" si="1"/>
        <v>28</v>
      </c>
      <c r="D1430" s="202" t="str">
        <f t="shared" si="2"/>
        <v> </v>
      </c>
      <c r="E1430" s="202" t="str">
        <f t="shared" si="9"/>
        <v> </v>
      </c>
      <c r="F1430" s="55" t="str">
        <f t="shared" si="4"/>
        <v/>
      </c>
      <c r="G1430" s="202" t="str">
        <f t="shared" si="5"/>
        <v/>
      </c>
      <c r="H1430" s="202" t="str">
        <f t="shared" si="11"/>
        <v> </v>
      </c>
      <c r="I1430" s="205" t="str">
        <f t="shared" si="7"/>
        <v/>
      </c>
      <c r="J1430" s="205"/>
      <c r="K1430" s="205"/>
    </row>
    <row r="1431" ht="14.25" customHeight="1">
      <c r="A1431" s="55">
        <v>47086.0</v>
      </c>
      <c r="B1431" s="55" t="str">
        <f t="shared" si="10"/>
        <v>Primer dia</v>
      </c>
      <c r="C1431" s="202">
        <f t="shared" si="1"/>
        <v>29</v>
      </c>
      <c r="D1431" s="202" t="str">
        <f t="shared" si="2"/>
        <v> </v>
      </c>
      <c r="E1431" s="202" t="str">
        <f t="shared" si="9"/>
        <v> </v>
      </c>
      <c r="F1431" s="55" t="str">
        <f t="shared" si="4"/>
        <v/>
      </c>
      <c r="G1431" s="202" t="str">
        <f t="shared" si="5"/>
        <v/>
      </c>
      <c r="H1431" s="202" t="str">
        <f t="shared" si="11"/>
        <v> </v>
      </c>
      <c r="I1431" s="205" t="str">
        <f t="shared" si="7"/>
        <v/>
      </c>
      <c r="J1431" s="205"/>
      <c r="K1431" s="205"/>
    </row>
    <row r="1432" ht="14.25" customHeight="1">
      <c r="A1432" s="55">
        <v>47087.0</v>
      </c>
      <c r="B1432" s="55" t="str">
        <f t="shared" si="10"/>
        <v>Primer dia</v>
      </c>
      <c r="C1432" s="202">
        <f t="shared" si="1"/>
        <v>30</v>
      </c>
      <c r="D1432" s="202" t="str">
        <f t="shared" si="2"/>
        <v> </v>
      </c>
      <c r="E1432" s="202" t="str">
        <f t="shared" si="9"/>
        <v> </v>
      </c>
      <c r="F1432" s="55" t="str">
        <f t="shared" si="4"/>
        <v/>
      </c>
      <c r="G1432" s="202" t="str">
        <f t="shared" si="5"/>
        <v/>
      </c>
      <c r="H1432" s="202" t="str">
        <f t="shared" si="11"/>
        <v> </v>
      </c>
      <c r="I1432" s="205" t="str">
        <f t="shared" si="7"/>
        <v/>
      </c>
      <c r="J1432" s="205"/>
      <c r="K1432" s="205"/>
    </row>
    <row r="1433" ht="14.25" customHeight="1">
      <c r="A1433" s="55">
        <v>47088.0</v>
      </c>
      <c r="B1433" s="55" t="str">
        <f t="shared" si="10"/>
        <v>Primer dia</v>
      </c>
      <c r="C1433" s="202">
        <f t="shared" si="1"/>
        <v>1</v>
      </c>
      <c r="D1433" s="202" t="str">
        <f t="shared" si="2"/>
        <v> </v>
      </c>
      <c r="E1433" s="202" t="str">
        <f t="shared" si="9"/>
        <v> </v>
      </c>
      <c r="F1433" s="55" t="str">
        <f t="shared" si="4"/>
        <v/>
      </c>
      <c r="G1433" s="202" t="str">
        <f t="shared" si="5"/>
        <v/>
      </c>
      <c r="H1433" s="202" t="str">
        <f t="shared" si="11"/>
        <v> </v>
      </c>
      <c r="I1433" s="205" t="str">
        <f t="shared" si="7"/>
        <v/>
      </c>
      <c r="J1433" s="205"/>
      <c r="K1433" s="205"/>
    </row>
    <row r="1434" ht="14.25" customHeight="1">
      <c r="A1434" s="55">
        <v>47089.0</v>
      </c>
      <c r="B1434" s="55" t="str">
        <f t="shared" si="10"/>
        <v>Primer dia</v>
      </c>
      <c r="C1434" s="202">
        <f t="shared" si="1"/>
        <v>2</v>
      </c>
      <c r="D1434" s="202" t="str">
        <f t="shared" si="2"/>
        <v> </v>
      </c>
      <c r="E1434" s="202">
        <f t="shared" si="9"/>
        <v>2</v>
      </c>
      <c r="F1434" s="55">
        <f t="shared" si="4"/>
        <v>47089</v>
      </c>
      <c r="G1434" s="202">
        <f t="shared" si="5"/>
        <v>69</v>
      </c>
      <c r="H1434" s="202" t="str">
        <f t="shared" si="11"/>
        <v> </v>
      </c>
      <c r="I1434" s="205" t="str">
        <f t="shared" si="7"/>
        <v/>
      </c>
      <c r="J1434" s="205"/>
      <c r="K1434" s="205"/>
    </row>
    <row r="1435" ht="14.25" customHeight="1">
      <c r="A1435" s="55">
        <v>47090.0</v>
      </c>
      <c r="B1435" s="55" t="str">
        <f t="shared" si="10"/>
        <v>Primer dia</v>
      </c>
      <c r="C1435" s="202">
        <f t="shared" si="1"/>
        <v>3</v>
      </c>
      <c r="D1435" s="202" t="str">
        <f t="shared" si="2"/>
        <v> </v>
      </c>
      <c r="E1435" s="202" t="str">
        <f t="shared" si="9"/>
        <v> </v>
      </c>
      <c r="F1435" s="55" t="str">
        <f t="shared" si="4"/>
        <v/>
      </c>
      <c r="G1435" s="202" t="str">
        <f t="shared" si="5"/>
        <v/>
      </c>
      <c r="H1435" s="202" t="str">
        <f t="shared" si="11"/>
        <v> </v>
      </c>
      <c r="I1435" s="205" t="str">
        <f t="shared" si="7"/>
        <v/>
      </c>
      <c r="J1435" s="205"/>
      <c r="K1435" s="205"/>
    </row>
    <row r="1436" ht="14.25" customHeight="1">
      <c r="A1436" s="55">
        <v>47091.0</v>
      </c>
      <c r="B1436" s="55" t="str">
        <f t="shared" si="10"/>
        <v>Primer dia</v>
      </c>
      <c r="C1436" s="202">
        <f t="shared" si="1"/>
        <v>4</v>
      </c>
      <c r="D1436" s="202" t="str">
        <f t="shared" si="2"/>
        <v> </v>
      </c>
      <c r="E1436" s="202" t="str">
        <f t="shared" si="9"/>
        <v> </v>
      </c>
      <c r="F1436" s="55" t="str">
        <f t="shared" si="4"/>
        <v/>
      </c>
      <c r="G1436" s="202" t="str">
        <f t="shared" si="5"/>
        <v/>
      </c>
      <c r="H1436" s="202" t="str">
        <f t="shared" si="11"/>
        <v> </v>
      </c>
      <c r="I1436" s="205" t="str">
        <f t="shared" si="7"/>
        <v/>
      </c>
      <c r="J1436" s="205"/>
      <c r="K1436" s="205"/>
    </row>
    <row r="1437" ht="14.25" customHeight="1">
      <c r="A1437" s="55">
        <v>47092.0</v>
      </c>
      <c r="B1437" s="55" t="str">
        <f t="shared" si="10"/>
        <v>Primer dia</v>
      </c>
      <c r="C1437" s="202">
        <f t="shared" si="1"/>
        <v>5</v>
      </c>
      <c r="D1437" s="202" t="str">
        <f t="shared" si="2"/>
        <v> </v>
      </c>
      <c r="E1437" s="202" t="str">
        <f t="shared" si="9"/>
        <v> </v>
      </c>
      <c r="F1437" s="55" t="str">
        <f t="shared" si="4"/>
        <v/>
      </c>
      <c r="G1437" s="202" t="str">
        <f t="shared" si="5"/>
        <v/>
      </c>
      <c r="H1437" s="202" t="str">
        <f t="shared" si="11"/>
        <v> </v>
      </c>
      <c r="I1437" s="205" t="str">
        <f t="shared" si="7"/>
        <v/>
      </c>
      <c r="J1437" s="205"/>
      <c r="K1437" s="205"/>
    </row>
    <row r="1438" ht="14.25" customHeight="1">
      <c r="A1438" s="55">
        <v>47093.0</v>
      </c>
      <c r="B1438" s="55" t="str">
        <f t="shared" si="10"/>
        <v>Primer dia</v>
      </c>
      <c r="C1438" s="202">
        <f t="shared" si="1"/>
        <v>6</v>
      </c>
      <c r="D1438" s="202" t="str">
        <f t="shared" si="2"/>
        <v> </v>
      </c>
      <c r="E1438" s="202" t="str">
        <f t="shared" si="9"/>
        <v> </v>
      </c>
      <c r="F1438" s="55" t="str">
        <f t="shared" si="4"/>
        <v/>
      </c>
      <c r="G1438" s="202" t="str">
        <f t="shared" si="5"/>
        <v/>
      </c>
      <c r="H1438" s="202" t="str">
        <f t="shared" si="11"/>
        <v> </v>
      </c>
      <c r="I1438" s="205" t="str">
        <f t="shared" si="7"/>
        <v/>
      </c>
      <c r="J1438" s="205"/>
      <c r="K1438" s="205"/>
    </row>
    <row r="1439" ht="14.25" customHeight="1">
      <c r="A1439" s="55">
        <v>47094.0</v>
      </c>
      <c r="B1439" s="55" t="str">
        <f t="shared" si="10"/>
        <v>Primer dia</v>
      </c>
      <c r="C1439" s="202">
        <f t="shared" si="1"/>
        <v>7</v>
      </c>
      <c r="D1439" s="202" t="str">
        <f t="shared" si="2"/>
        <v> </v>
      </c>
      <c r="E1439" s="202" t="str">
        <f t="shared" si="9"/>
        <v> </v>
      </c>
      <c r="F1439" s="55" t="str">
        <f t="shared" si="4"/>
        <v/>
      </c>
      <c r="G1439" s="202" t="str">
        <f t="shared" si="5"/>
        <v/>
      </c>
      <c r="H1439" s="202" t="str">
        <f t="shared" si="11"/>
        <v> </v>
      </c>
      <c r="I1439" s="205" t="str">
        <f t="shared" si="7"/>
        <v/>
      </c>
      <c r="J1439" s="205"/>
      <c r="K1439" s="205"/>
    </row>
    <row r="1440" ht="14.25" customHeight="1">
      <c r="A1440" s="55">
        <v>47095.0</v>
      </c>
      <c r="B1440" s="55" t="str">
        <f t="shared" si="10"/>
        <v>Primer dia</v>
      </c>
      <c r="C1440" s="202">
        <f t="shared" si="1"/>
        <v>8</v>
      </c>
      <c r="D1440" s="202" t="str">
        <f t="shared" si="2"/>
        <v> </v>
      </c>
      <c r="E1440" s="202" t="str">
        <f t="shared" si="9"/>
        <v> </v>
      </c>
      <c r="F1440" s="55" t="str">
        <f t="shared" si="4"/>
        <v/>
      </c>
      <c r="G1440" s="202" t="str">
        <f t="shared" si="5"/>
        <v/>
      </c>
      <c r="H1440" s="202" t="str">
        <f t="shared" si="11"/>
        <v> </v>
      </c>
      <c r="I1440" s="205" t="str">
        <f t="shared" si="7"/>
        <v/>
      </c>
      <c r="J1440" s="205"/>
      <c r="K1440" s="205"/>
    </row>
    <row r="1441" ht="14.25" customHeight="1">
      <c r="A1441" s="55">
        <v>47096.0</v>
      </c>
      <c r="B1441" s="55" t="str">
        <f t="shared" si="10"/>
        <v>Primer dia</v>
      </c>
      <c r="C1441" s="202">
        <f t="shared" si="1"/>
        <v>9</v>
      </c>
      <c r="D1441" s="202" t="str">
        <f t="shared" si="2"/>
        <v> </v>
      </c>
      <c r="E1441" s="202" t="str">
        <f t="shared" si="9"/>
        <v> </v>
      </c>
      <c r="F1441" s="55" t="str">
        <f t="shared" si="4"/>
        <v/>
      </c>
      <c r="G1441" s="202" t="str">
        <f t="shared" si="5"/>
        <v/>
      </c>
      <c r="H1441" s="202" t="str">
        <f t="shared" si="11"/>
        <v> </v>
      </c>
      <c r="I1441" s="205" t="str">
        <f t="shared" si="7"/>
        <v/>
      </c>
      <c r="J1441" s="205"/>
      <c r="K1441" s="205"/>
    </row>
    <row r="1442" ht="14.25" customHeight="1">
      <c r="A1442" s="55">
        <v>47097.0</v>
      </c>
      <c r="B1442" s="55" t="str">
        <f t="shared" si="10"/>
        <v>Primer dia</v>
      </c>
      <c r="C1442" s="202">
        <f t="shared" si="1"/>
        <v>10</v>
      </c>
      <c r="D1442" s="202" t="str">
        <f t="shared" si="2"/>
        <v> </v>
      </c>
      <c r="E1442" s="202" t="str">
        <f t="shared" si="9"/>
        <v> </v>
      </c>
      <c r="F1442" s="55" t="str">
        <f t="shared" si="4"/>
        <v/>
      </c>
      <c r="G1442" s="202" t="str">
        <f t="shared" si="5"/>
        <v/>
      </c>
      <c r="H1442" s="202" t="str">
        <f t="shared" si="11"/>
        <v> </v>
      </c>
      <c r="I1442" s="205" t="str">
        <f t="shared" si="7"/>
        <v/>
      </c>
      <c r="J1442" s="205"/>
      <c r="K1442" s="205"/>
    </row>
    <row r="1443" ht="14.25" customHeight="1">
      <c r="A1443" s="55">
        <v>47098.0</v>
      </c>
      <c r="B1443" s="55" t="str">
        <f t="shared" si="10"/>
        <v>Primer dia</v>
      </c>
      <c r="C1443" s="202">
        <f t="shared" si="1"/>
        <v>11</v>
      </c>
      <c r="D1443" s="202" t="str">
        <f t="shared" si="2"/>
        <v> </v>
      </c>
      <c r="E1443" s="202" t="str">
        <f t="shared" si="9"/>
        <v> </v>
      </c>
      <c r="F1443" s="55" t="str">
        <f t="shared" si="4"/>
        <v/>
      </c>
      <c r="G1443" s="202" t="str">
        <f t="shared" si="5"/>
        <v/>
      </c>
      <c r="H1443" s="202" t="str">
        <f t="shared" si="11"/>
        <v> </v>
      </c>
      <c r="I1443" s="205" t="str">
        <f t="shared" si="7"/>
        <v/>
      </c>
      <c r="J1443" s="205"/>
      <c r="K1443" s="205"/>
    </row>
    <row r="1444" ht="14.25" customHeight="1">
      <c r="A1444" s="55">
        <v>47099.0</v>
      </c>
      <c r="B1444" s="55" t="str">
        <f t="shared" si="10"/>
        <v>Primer dia</v>
      </c>
      <c r="C1444" s="202">
        <f t="shared" si="1"/>
        <v>12</v>
      </c>
      <c r="D1444" s="202" t="str">
        <f t="shared" si="2"/>
        <v> </v>
      </c>
      <c r="E1444" s="202" t="str">
        <f t="shared" si="9"/>
        <v> </v>
      </c>
      <c r="F1444" s="55" t="str">
        <f t="shared" si="4"/>
        <v/>
      </c>
      <c r="G1444" s="202" t="str">
        <f t="shared" si="5"/>
        <v/>
      </c>
      <c r="H1444" s="202" t="str">
        <f t="shared" si="11"/>
        <v> </v>
      </c>
      <c r="I1444" s="205" t="str">
        <f t="shared" si="7"/>
        <v/>
      </c>
      <c r="J1444" s="205"/>
      <c r="K1444" s="205"/>
    </row>
    <row r="1445" ht="14.25" customHeight="1">
      <c r="A1445" s="55">
        <v>47100.0</v>
      </c>
      <c r="B1445" s="55" t="str">
        <f t="shared" si="10"/>
        <v>Primer dia</v>
      </c>
      <c r="C1445" s="202">
        <f t="shared" si="1"/>
        <v>13</v>
      </c>
      <c r="D1445" s="202" t="str">
        <f t="shared" si="2"/>
        <v> </v>
      </c>
      <c r="E1445" s="202" t="str">
        <f t="shared" si="9"/>
        <v> </v>
      </c>
      <c r="F1445" s="55" t="str">
        <f t="shared" si="4"/>
        <v/>
      </c>
      <c r="G1445" s="202" t="str">
        <f t="shared" si="5"/>
        <v/>
      </c>
      <c r="H1445" s="202" t="str">
        <f t="shared" si="11"/>
        <v> </v>
      </c>
      <c r="I1445" s="205" t="str">
        <f t="shared" si="7"/>
        <v/>
      </c>
      <c r="J1445" s="205"/>
      <c r="K1445" s="205"/>
    </row>
    <row r="1446" ht="14.25" customHeight="1">
      <c r="A1446" s="55">
        <v>47101.0</v>
      </c>
      <c r="B1446" s="55" t="str">
        <f t="shared" si="10"/>
        <v>Primer dia</v>
      </c>
      <c r="C1446" s="202">
        <f t="shared" si="1"/>
        <v>14</v>
      </c>
      <c r="D1446" s="202" t="str">
        <f t="shared" si="2"/>
        <v> </v>
      </c>
      <c r="E1446" s="202" t="str">
        <f t="shared" si="9"/>
        <v> </v>
      </c>
      <c r="F1446" s="55" t="str">
        <f t="shared" si="4"/>
        <v/>
      </c>
      <c r="G1446" s="202" t="str">
        <f t="shared" si="5"/>
        <v/>
      </c>
      <c r="H1446" s="202" t="str">
        <f t="shared" si="11"/>
        <v> </v>
      </c>
      <c r="I1446" s="205" t="str">
        <f t="shared" si="7"/>
        <v/>
      </c>
      <c r="J1446" s="205"/>
      <c r="K1446" s="205"/>
    </row>
    <row r="1447" ht="14.25" customHeight="1">
      <c r="A1447" s="55">
        <v>47102.0</v>
      </c>
      <c r="B1447" s="55" t="str">
        <f t="shared" si="10"/>
        <v>Primer dia</v>
      </c>
      <c r="C1447" s="202">
        <f t="shared" si="1"/>
        <v>15</v>
      </c>
      <c r="D1447" s="202" t="str">
        <f t="shared" si="2"/>
        <v> </v>
      </c>
      <c r="E1447" s="202" t="str">
        <f t="shared" si="9"/>
        <v> </v>
      </c>
      <c r="F1447" s="55" t="str">
        <f t="shared" si="4"/>
        <v/>
      </c>
      <c r="G1447" s="202" t="str">
        <f t="shared" si="5"/>
        <v/>
      </c>
      <c r="H1447" s="202" t="str">
        <f t="shared" si="11"/>
        <v> </v>
      </c>
      <c r="I1447" s="205" t="str">
        <f t="shared" si="7"/>
        <v/>
      </c>
      <c r="J1447" s="205"/>
      <c r="K1447" s="205"/>
    </row>
    <row r="1448" ht="14.25" customHeight="1">
      <c r="A1448" s="55">
        <v>47103.0</v>
      </c>
      <c r="B1448" s="55" t="str">
        <f t="shared" si="10"/>
        <v>Primer dia</v>
      </c>
      <c r="C1448" s="202">
        <f t="shared" si="1"/>
        <v>16</v>
      </c>
      <c r="D1448" s="202" t="str">
        <f t="shared" si="2"/>
        <v> </v>
      </c>
      <c r="E1448" s="202" t="str">
        <f t="shared" si="9"/>
        <v> </v>
      </c>
      <c r="F1448" s="55" t="str">
        <f t="shared" si="4"/>
        <v/>
      </c>
      <c r="G1448" s="202" t="str">
        <f t="shared" si="5"/>
        <v/>
      </c>
      <c r="H1448" s="202" t="str">
        <f t="shared" si="11"/>
        <v> </v>
      </c>
      <c r="I1448" s="205" t="str">
        <f t="shared" si="7"/>
        <v/>
      </c>
      <c r="J1448" s="205"/>
      <c r="K1448" s="205"/>
    </row>
    <row r="1449" ht="14.25" customHeight="1">
      <c r="A1449" s="55">
        <v>47104.0</v>
      </c>
      <c r="B1449" s="55" t="str">
        <f t="shared" si="10"/>
        <v>Primer dia</v>
      </c>
      <c r="C1449" s="202">
        <f t="shared" si="1"/>
        <v>17</v>
      </c>
      <c r="D1449" s="202" t="str">
        <f t="shared" si="2"/>
        <v> </v>
      </c>
      <c r="E1449" s="202">
        <f t="shared" si="9"/>
        <v>17</v>
      </c>
      <c r="F1449" s="55">
        <f t="shared" si="4"/>
        <v>47104</v>
      </c>
      <c r="G1449" s="202">
        <f t="shared" si="5"/>
        <v>70</v>
      </c>
      <c r="H1449" s="202" t="str">
        <f t="shared" si="11"/>
        <v> </v>
      </c>
      <c r="I1449" s="205" t="str">
        <f t="shared" si="7"/>
        <v/>
      </c>
      <c r="J1449" s="205"/>
      <c r="K1449" s="205"/>
    </row>
    <row r="1450" ht="14.25" customHeight="1">
      <c r="A1450" s="55">
        <v>47105.0</v>
      </c>
      <c r="B1450" s="55" t="str">
        <f t="shared" si="10"/>
        <v>Primer dia</v>
      </c>
      <c r="C1450" s="202">
        <f t="shared" si="1"/>
        <v>18</v>
      </c>
      <c r="D1450" s="202" t="str">
        <f t="shared" si="2"/>
        <v> </v>
      </c>
      <c r="E1450" s="202" t="str">
        <f t="shared" si="9"/>
        <v> </v>
      </c>
      <c r="F1450" s="55" t="str">
        <f t="shared" si="4"/>
        <v/>
      </c>
      <c r="G1450" s="202" t="str">
        <f t="shared" si="5"/>
        <v/>
      </c>
      <c r="H1450" s="202" t="str">
        <f t="shared" si="11"/>
        <v> </v>
      </c>
      <c r="I1450" s="205" t="str">
        <f t="shared" si="7"/>
        <v/>
      </c>
      <c r="J1450" s="205"/>
      <c r="K1450" s="205"/>
    </row>
    <row r="1451" ht="14.25" customHeight="1">
      <c r="A1451" s="55">
        <v>47106.0</v>
      </c>
      <c r="B1451" s="55" t="str">
        <f t="shared" si="10"/>
        <v>Primer dia</v>
      </c>
      <c r="C1451" s="202">
        <f t="shared" si="1"/>
        <v>19</v>
      </c>
      <c r="D1451" s="202" t="str">
        <f t="shared" si="2"/>
        <v> </v>
      </c>
      <c r="E1451" s="202" t="str">
        <f t="shared" si="9"/>
        <v> </v>
      </c>
      <c r="F1451" s="55" t="str">
        <f t="shared" si="4"/>
        <v/>
      </c>
      <c r="G1451" s="202" t="str">
        <f t="shared" si="5"/>
        <v/>
      </c>
      <c r="H1451" s="202" t="str">
        <f t="shared" si="11"/>
        <v> </v>
      </c>
      <c r="I1451" s="205" t="str">
        <f t="shared" si="7"/>
        <v/>
      </c>
      <c r="J1451" s="205"/>
      <c r="K1451" s="205"/>
    </row>
    <row r="1452" ht="14.25" customHeight="1">
      <c r="A1452" s="55">
        <v>47107.0</v>
      </c>
      <c r="B1452" s="55" t="str">
        <f t="shared" si="10"/>
        <v>Primer dia</v>
      </c>
      <c r="C1452" s="202">
        <f t="shared" si="1"/>
        <v>20</v>
      </c>
      <c r="D1452" s="202" t="str">
        <f t="shared" si="2"/>
        <v> </v>
      </c>
      <c r="E1452" s="202" t="str">
        <f t="shared" si="9"/>
        <v> </v>
      </c>
      <c r="F1452" s="55" t="str">
        <f t="shared" si="4"/>
        <v/>
      </c>
      <c r="G1452" s="202" t="str">
        <f t="shared" si="5"/>
        <v/>
      </c>
      <c r="H1452" s="202" t="str">
        <f t="shared" si="11"/>
        <v> </v>
      </c>
      <c r="I1452" s="205" t="str">
        <f t="shared" si="7"/>
        <v/>
      </c>
      <c r="J1452" s="205"/>
      <c r="K1452" s="205"/>
    </row>
    <row r="1453" ht="14.25" customHeight="1">
      <c r="A1453" s="55">
        <v>47108.0</v>
      </c>
      <c r="B1453" s="55" t="str">
        <f t="shared" si="10"/>
        <v>Primer dia</v>
      </c>
      <c r="C1453" s="202">
        <f t="shared" si="1"/>
        <v>21</v>
      </c>
      <c r="D1453" s="202" t="str">
        <f t="shared" si="2"/>
        <v> </v>
      </c>
      <c r="E1453" s="202" t="str">
        <f t="shared" si="9"/>
        <v> </v>
      </c>
      <c r="F1453" s="55" t="str">
        <f t="shared" si="4"/>
        <v/>
      </c>
      <c r="G1453" s="202" t="str">
        <f t="shared" si="5"/>
        <v/>
      </c>
      <c r="H1453" s="202" t="str">
        <f t="shared" si="11"/>
        <v> </v>
      </c>
      <c r="I1453" s="205" t="str">
        <f t="shared" si="7"/>
        <v/>
      </c>
      <c r="J1453" s="205"/>
      <c r="K1453" s="205"/>
    </row>
    <row r="1454" ht="14.25" customHeight="1">
      <c r="A1454" s="55">
        <v>47109.0</v>
      </c>
      <c r="B1454" s="55" t="str">
        <f t="shared" si="10"/>
        <v>Primer dia</v>
      </c>
      <c r="C1454" s="202">
        <f t="shared" si="1"/>
        <v>22</v>
      </c>
      <c r="D1454" s="202" t="str">
        <f t="shared" si="2"/>
        <v> </v>
      </c>
      <c r="E1454" s="202" t="str">
        <f t="shared" si="9"/>
        <v> </v>
      </c>
      <c r="F1454" s="55" t="str">
        <f t="shared" si="4"/>
        <v/>
      </c>
      <c r="G1454" s="202" t="str">
        <f t="shared" si="5"/>
        <v/>
      </c>
      <c r="H1454" s="202" t="str">
        <f t="shared" si="11"/>
        <v> </v>
      </c>
      <c r="I1454" s="205" t="str">
        <f t="shared" si="7"/>
        <v/>
      </c>
      <c r="J1454" s="205"/>
      <c r="K1454" s="205"/>
    </row>
    <row r="1455" ht="14.25" customHeight="1">
      <c r="A1455" s="55">
        <v>47110.0</v>
      </c>
      <c r="B1455" s="55" t="str">
        <f t="shared" si="10"/>
        <v>Primer dia</v>
      </c>
      <c r="C1455" s="202">
        <f t="shared" si="1"/>
        <v>23</v>
      </c>
      <c r="D1455" s="202" t="str">
        <f t="shared" si="2"/>
        <v> </v>
      </c>
      <c r="E1455" s="202" t="str">
        <f t="shared" si="9"/>
        <v> </v>
      </c>
      <c r="F1455" s="55" t="str">
        <f t="shared" si="4"/>
        <v/>
      </c>
      <c r="G1455" s="202" t="str">
        <f t="shared" si="5"/>
        <v/>
      </c>
      <c r="H1455" s="202" t="str">
        <f t="shared" si="11"/>
        <v> </v>
      </c>
      <c r="I1455" s="205" t="str">
        <f t="shared" si="7"/>
        <v/>
      </c>
      <c r="J1455" s="205"/>
      <c r="K1455" s="205"/>
    </row>
    <row r="1456" ht="14.25" customHeight="1">
      <c r="A1456" s="55">
        <v>47111.0</v>
      </c>
      <c r="B1456" s="55" t="str">
        <f t="shared" si="10"/>
        <v>Primer dia</v>
      </c>
      <c r="C1456" s="202">
        <f t="shared" si="1"/>
        <v>24</v>
      </c>
      <c r="D1456" s="202" t="str">
        <f t="shared" si="2"/>
        <v> </v>
      </c>
      <c r="E1456" s="202" t="str">
        <f t="shared" si="9"/>
        <v> </v>
      </c>
      <c r="F1456" s="55" t="str">
        <f t="shared" si="4"/>
        <v/>
      </c>
      <c r="G1456" s="202" t="str">
        <f t="shared" si="5"/>
        <v/>
      </c>
      <c r="H1456" s="202" t="str">
        <f t="shared" si="11"/>
        <v> </v>
      </c>
      <c r="I1456" s="205" t="str">
        <f t="shared" si="7"/>
        <v/>
      </c>
      <c r="J1456" s="205"/>
      <c r="K1456" s="205"/>
    </row>
    <row r="1457" ht="14.25" customHeight="1">
      <c r="A1457" s="55">
        <v>47112.0</v>
      </c>
      <c r="B1457" s="55" t="str">
        <f t="shared" si="10"/>
        <v>Primer dia</v>
      </c>
      <c r="C1457" s="202">
        <f t="shared" si="1"/>
        <v>25</v>
      </c>
      <c r="D1457" s="202" t="str">
        <f t="shared" si="2"/>
        <v> </v>
      </c>
      <c r="E1457" s="202" t="str">
        <f t="shared" si="9"/>
        <v> </v>
      </c>
      <c r="F1457" s="55" t="str">
        <f t="shared" si="4"/>
        <v/>
      </c>
      <c r="G1457" s="202" t="str">
        <f t="shared" si="5"/>
        <v/>
      </c>
      <c r="H1457" s="202" t="str">
        <f t="shared" si="11"/>
        <v> </v>
      </c>
      <c r="I1457" s="205" t="str">
        <f t="shared" si="7"/>
        <v/>
      </c>
      <c r="J1457" s="205"/>
      <c r="K1457" s="205"/>
    </row>
    <row r="1458" ht="14.25" customHeight="1">
      <c r="A1458" s="55">
        <v>47113.0</v>
      </c>
      <c r="B1458" s="55" t="str">
        <f t="shared" si="10"/>
        <v>Primer dia</v>
      </c>
      <c r="C1458" s="202">
        <f t="shared" si="1"/>
        <v>26</v>
      </c>
      <c r="D1458" s="202" t="str">
        <f t="shared" si="2"/>
        <v> </v>
      </c>
      <c r="E1458" s="202" t="str">
        <f t="shared" si="9"/>
        <v> </v>
      </c>
      <c r="F1458" s="55" t="str">
        <f t="shared" si="4"/>
        <v/>
      </c>
      <c r="G1458" s="202" t="str">
        <f t="shared" si="5"/>
        <v/>
      </c>
      <c r="H1458" s="202" t="str">
        <f t="shared" si="11"/>
        <v> </v>
      </c>
      <c r="I1458" s="205" t="str">
        <f t="shared" si="7"/>
        <v/>
      </c>
      <c r="J1458" s="205"/>
      <c r="K1458" s="205"/>
    </row>
    <row r="1459" ht="14.25" customHeight="1">
      <c r="A1459" s="55">
        <v>47114.0</v>
      </c>
      <c r="B1459" s="55" t="str">
        <f t="shared" si="10"/>
        <v>Primer dia</v>
      </c>
      <c r="C1459" s="202">
        <f t="shared" si="1"/>
        <v>27</v>
      </c>
      <c r="D1459" s="202" t="str">
        <f t="shared" si="2"/>
        <v> </v>
      </c>
      <c r="E1459" s="202" t="str">
        <f t="shared" si="9"/>
        <v> </v>
      </c>
      <c r="F1459" s="55" t="str">
        <f t="shared" si="4"/>
        <v/>
      </c>
      <c r="G1459" s="202" t="str">
        <f t="shared" si="5"/>
        <v/>
      </c>
      <c r="H1459" s="202" t="str">
        <f t="shared" si="11"/>
        <v> </v>
      </c>
      <c r="I1459" s="205" t="str">
        <f t="shared" si="7"/>
        <v/>
      </c>
      <c r="J1459" s="205"/>
      <c r="K1459" s="205"/>
    </row>
    <row r="1460" ht="14.25" customHeight="1">
      <c r="A1460" s="55">
        <v>47115.0</v>
      </c>
      <c r="B1460" s="55" t="str">
        <f t="shared" si="10"/>
        <v>Primer dia</v>
      </c>
      <c r="C1460" s="202">
        <f t="shared" si="1"/>
        <v>28</v>
      </c>
      <c r="D1460" s="202" t="str">
        <f t="shared" si="2"/>
        <v> </v>
      </c>
      <c r="E1460" s="202" t="str">
        <f t="shared" si="9"/>
        <v> </v>
      </c>
      <c r="F1460" s="55" t="str">
        <f t="shared" si="4"/>
        <v/>
      </c>
      <c r="G1460" s="202" t="str">
        <f t="shared" si="5"/>
        <v/>
      </c>
      <c r="H1460" s="202" t="str">
        <f t="shared" si="11"/>
        <v> </v>
      </c>
      <c r="I1460" s="205" t="str">
        <f t="shared" si="7"/>
        <v/>
      </c>
      <c r="J1460" s="205"/>
      <c r="K1460" s="205"/>
    </row>
    <row r="1461" ht="14.25" customHeight="1">
      <c r="A1461" s="55">
        <v>47116.0</v>
      </c>
      <c r="B1461" s="55" t="str">
        <f t="shared" si="10"/>
        <v>Primer dia</v>
      </c>
      <c r="C1461" s="202">
        <f t="shared" si="1"/>
        <v>29</v>
      </c>
      <c r="D1461" s="202" t="str">
        <f t="shared" si="2"/>
        <v> </v>
      </c>
      <c r="E1461" s="202" t="str">
        <f t="shared" si="9"/>
        <v> </v>
      </c>
      <c r="F1461" s="55" t="str">
        <f t="shared" si="4"/>
        <v/>
      </c>
      <c r="G1461" s="202" t="str">
        <f t="shared" si="5"/>
        <v/>
      </c>
      <c r="H1461" s="202" t="str">
        <f t="shared" si="11"/>
        <v> </v>
      </c>
      <c r="I1461" s="205" t="str">
        <f t="shared" si="7"/>
        <v/>
      </c>
      <c r="J1461" s="205"/>
      <c r="K1461" s="205"/>
    </row>
    <row r="1462" ht="14.25" customHeight="1">
      <c r="A1462" s="55">
        <v>47117.0</v>
      </c>
      <c r="B1462" s="55" t="str">
        <f t="shared" si="10"/>
        <v>Primer dia</v>
      </c>
      <c r="C1462" s="202">
        <f t="shared" si="1"/>
        <v>30</v>
      </c>
      <c r="D1462" s="202" t="str">
        <f t="shared" si="2"/>
        <v> </v>
      </c>
      <c r="E1462" s="202" t="str">
        <f t="shared" si="9"/>
        <v> </v>
      </c>
      <c r="F1462" s="55" t="str">
        <f t="shared" si="4"/>
        <v/>
      </c>
      <c r="G1462" s="202" t="str">
        <f t="shared" si="5"/>
        <v/>
      </c>
      <c r="H1462" s="202" t="str">
        <f t="shared" si="11"/>
        <v> </v>
      </c>
      <c r="I1462" s="205" t="str">
        <f t="shared" si="7"/>
        <v/>
      </c>
      <c r="J1462" s="205"/>
      <c r="K1462" s="205"/>
    </row>
    <row r="1463" ht="14.25" customHeight="1">
      <c r="A1463" s="55">
        <v>47118.0</v>
      </c>
      <c r="B1463" s="55" t="str">
        <f t="shared" si="10"/>
        <v>Primer dia</v>
      </c>
      <c r="C1463" s="202">
        <f t="shared" si="1"/>
        <v>31</v>
      </c>
      <c r="D1463" s="202" t="str">
        <f t="shared" si="2"/>
        <v> </v>
      </c>
      <c r="E1463" s="202" t="str">
        <f t="shared" si="9"/>
        <v> </v>
      </c>
      <c r="F1463" s="55" t="str">
        <f t="shared" si="4"/>
        <v/>
      </c>
      <c r="G1463" s="202" t="str">
        <f t="shared" si="5"/>
        <v/>
      </c>
      <c r="H1463" s="202" t="str">
        <f t="shared" si="11"/>
        <v> </v>
      </c>
      <c r="I1463" s="205" t="str">
        <f t="shared" si="7"/>
        <v/>
      </c>
      <c r="J1463" s="205"/>
      <c r="K1463" s="205"/>
    </row>
    <row r="1464" ht="14.25" customHeight="1">
      <c r="A1464" s="55">
        <v>47119.0</v>
      </c>
      <c r="B1464" s="55" t="str">
        <f t="shared" si="10"/>
        <v>Primer dia</v>
      </c>
      <c r="C1464" s="202">
        <f t="shared" si="1"/>
        <v>1</v>
      </c>
      <c r="D1464" s="202" t="str">
        <f t="shared" si="2"/>
        <v> </v>
      </c>
      <c r="E1464" s="202" t="str">
        <f t="shared" si="9"/>
        <v> </v>
      </c>
      <c r="F1464" s="55" t="str">
        <f t="shared" si="4"/>
        <v/>
      </c>
      <c r="G1464" s="202" t="str">
        <f t="shared" si="5"/>
        <v/>
      </c>
      <c r="H1464" s="202" t="str">
        <f t="shared" si="11"/>
        <v> </v>
      </c>
      <c r="I1464" s="205" t="str">
        <f t="shared" si="7"/>
        <v/>
      </c>
      <c r="J1464" s="205"/>
      <c r="K1464" s="205"/>
    </row>
    <row r="1465" ht="14.25" customHeight="1">
      <c r="A1465" s="55">
        <v>47120.0</v>
      </c>
      <c r="B1465" s="55" t="str">
        <f t="shared" si="10"/>
        <v>Primer dia</v>
      </c>
      <c r="C1465" s="202">
        <f t="shared" si="1"/>
        <v>2</v>
      </c>
      <c r="D1465" s="202" t="str">
        <f t="shared" si="2"/>
        <v> </v>
      </c>
      <c r="E1465" s="202">
        <f t="shared" si="9"/>
        <v>2</v>
      </c>
      <c r="F1465" s="55">
        <f t="shared" si="4"/>
        <v>47120</v>
      </c>
      <c r="G1465" s="202">
        <f t="shared" si="5"/>
        <v>71</v>
      </c>
      <c r="H1465" s="202" t="str">
        <f t="shared" si="11"/>
        <v> </v>
      </c>
      <c r="I1465" s="205" t="str">
        <f t="shared" si="7"/>
        <v/>
      </c>
      <c r="J1465" s="205"/>
      <c r="K1465" s="205"/>
    </row>
    <row r="1466" ht="14.25" customHeight="1">
      <c r="A1466" s="55">
        <v>47121.0</v>
      </c>
      <c r="B1466" s="55" t="str">
        <f t="shared" si="10"/>
        <v>Primer dia</v>
      </c>
      <c r="C1466" s="202">
        <f t="shared" si="1"/>
        <v>3</v>
      </c>
      <c r="D1466" s="202" t="str">
        <f t="shared" si="2"/>
        <v> </v>
      </c>
      <c r="E1466" s="202" t="str">
        <f t="shared" si="9"/>
        <v> </v>
      </c>
      <c r="F1466" s="55" t="str">
        <f t="shared" si="4"/>
        <v/>
      </c>
      <c r="G1466" s="202" t="str">
        <f t="shared" si="5"/>
        <v/>
      </c>
      <c r="H1466" s="202" t="str">
        <f t="shared" si="11"/>
        <v> </v>
      </c>
      <c r="I1466" s="205" t="str">
        <f t="shared" si="7"/>
        <v/>
      </c>
      <c r="J1466" s="205"/>
      <c r="K1466" s="205"/>
    </row>
    <row r="1467" ht="14.25" customHeight="1">
      <c r="A1467" s="55">
        <v>47122.0</v>
      </c>
      <c r="B1467" s="55" t="str">
        <f t="shared" si="10"/>
        <v>Primer dia</v>
      </c>
      <c r="C1467" s="202">
        <f t="shared" si="1"/>
        <v>4</v>
      </c>
      <c r="D1467" s="202" t="str">
        <f t="shared" si="2"/>
        <v> </v>
      </c>
      <c r="E1467" s="202" t="str">
        <f t="shared" si="9"/>
        <v> </v>
      </c>
      <c r="F1467" s="55" t="str">
        <f t="shared" si="4"/>
        <v/>
      </c>
      <c r="G1467" s="202" t="str">
        <f t="shared" si="5"/>
        <v/>
      </c>
      <c r="H1467" s="202" t="str">
        <f t="shared" si="11"/>
        <v> </v>
      </c>
      <c r="I1467" s="205" t="str">
        <f t="shared" si="7"/>
        <v/>
      </c>
      <c r="J1467" s="205"/>
      <c r="K1467" s="205"/>
    </row>
    <row r="1468" ht="14.25" customHeight="1">
      <c r="A1468" s="55">
        <v>47123.0</v>
      </c>
      <c r="B1468" s="55" t="str">
        <f t="shared" si="10"/>
        <v>Primer dia</v>
      </c>
      <c r="C1468" s="202">
        <f t="shared" si="1"/>
        <v>5</v>
      </c>
      <c r="D1468" s="202" t="str">
        <f t="shared" si="2"/>
        <v> </v>
      </c>
      <c r="E1468" s="202" t="str">
        <f t="shared" si="9"/>
        <v> </v>
      </c>
      <c r="F1468" s="55" t="str">
        <f t="shared" si="4"/>
        <v/>
      </c>
      <c r="G1468" s="202" t="str">
        <f t="shared" si="5"/>
        <v/>
      </c>
      <c r="H1468" s="202" t="str">
        <f t="shared" si="11"/>
        <v> </v>
      </c>
      <c r="I1468" s="205" t="str">
        <f t="shared" si="7"/>
        <v/>
      </c>
      <c r="J1468" s="205"/>
      <c r="K1468" s="205"/>
    </row>
    <row r="1469" ht="14.25" customHeight="1">
      <c r="A1469" s="55">
        <v>47124.0</v>
      </c>
      <c r="B1469" s="55" t="str">
        <f t="shared" si="10"/>
        <v>Primer dia</v>
      </c>
      <c r="C1469" s="202">
        <f t="shared" si="1"/>
        <v>6</v>
      </c>
      <c r="D1469" s="202" t="str">
        <f t="shared" si="2"/>
        <v> </v>
      </c>
      <c r="E1469" s="202" t="str">
        <f t="shared" si="9"/>
        <v> </v>
      </c>
      <c r="F1469" s="55" t="str">
        <f t="shared" si="4"/>
        <v/>
      </c>
      <c r="G1469" s="202" t="str">
        <f t="shared" si="5"/>
        <v/>
      </c>
      <c r="H1469" s="202" t="str">
        <f t="shared" si="11"/>
        <v> </v>
      </c>
      <c r="I1469" s="205" t="str">
        <f t="shared" si="7"/>
        <v/>
      </c>
      <c r="J1469" s="205"/>
      <c r="K1469" s="205"/>
    </row>
    <row r="1470" ht="14.25" customHeight="1">
      <c r="A1470" s="55">
        <v>47125.0</v>
      </c>
      <c r="B1470" s="55" t="str">
        <f t="shared" si="10"/>
        <v>Primer dia</v>
      </c>
      <c r="C1470" s="202">
        <f t="shared" si="1"/>
        <v>7</v>
      </c>
      <c r="D1470" s="202" t="str">
        <f t="shared" si="2"/>
        <v> </v>
      </c>
      <c r="E1470" s="202" t="str">
        <f t="shared" si="9"/>
        <v> </v>
      </c>
      <c r="F1470" s="55" t="str">
        <f t="shared" si="4"/>
        <v/>
      </c>
      <c r="G1470" s="202" t="str">
        <f t="shared" si="5"/>
        <v/>
      </c>
      <c r="H1470" s="202" t="str">
        <f t="shared" si="11"/>
        <v> </v>
      </c>
      <c r="I1470" s="205" t="str">
        <f t="shared" si="7"/>
        <v/>
      </c>
      <c r="J1470" s="205"/>
      <c r="K1470" s="205"/>
    </row>
    <row r="1471" ht="14.25" customHeight="1">
      <c r="A1471" s="55">
        <v>47126.0</v>
      </c>
      <c r="B1471" s="55" t="str">
        <f t="shared" si="10"/>
        <v>Primer dia</v>
      </c>
      <c r="C1471" s="202">
        <f t="shared" si="1"/>
        <v>8</v>
      </c>
      <c r="D1471" s="202" t="str">
        <f t="shared" si="2"/>
        <v> </v>
      </c>
      <c r="E1471" s="202" t="str">
        <f t="shared" si="9"/>
        <v> </v>
      </c>
      <c r="F1471" s="55" t="str">
        <f t="shared" si="4"/>
        <v/>
      </c>
      <c r="G1471" s="202" t="str">
        <f t="shared" si="5"/>
        <v/>
      </c>
      <c r="H1471" s="202" t="str">
        <f t="shared" si="11"/>
        <v> </v>
      </c>
      <c r="I1471" s="205" t="str">
        <f t="shared" si="7"/>
        <v/>
      </c>
      <c r="J1471" s="205"/>
      <c r="K1471" s="205"/>
    </row>
    <row r="1472" ht="14.25" customHeight="1">
      <c r="A1472" s="55">
        <v>47127.0</v>
      </c>
      <c r="B1472" s="55" t="str">
        <f t="shared" si="10"/>
        <v>Primer dia</v>
      </c>
      <c r="C1472" s="202">
        <f t="shared" si="1"/>
        <v>9</v>
      </c>
      <c r="D1472" s="202" t="str">
        <f t="shared" si="2"/>
        <v> </v>
      </c>
      <c r="E1472" s="202" t="str">
        <f t="shared" si="9"/>
        <v> </v>
      </c>
      <c r="F1472" s="55" t="str">
        <f t="shared" si="4"/>
        <v/>
      </c>
      <c r="G1472" s="202" t="str">
        <f t="shared" si="5"/>
        <v/>
      </c>
      <c r="H1472" s="202" t="str">
        <f t="shared" si="11"/>
        <v> </v>
      </c>
      <c r="I1472" s="205" t="str">
        <f t="shared" si="7"/>
        <v/>
      </c>
      <c r="J1472" s="205"/>
      <c r="K1472" s="205"/>
    </row>
    <row r="1473" ht="14.25" customHeight="1">
      <c r="A1473" s="55">
        <v>47128.0</v>
      </c>
      <c r="B1473" s="55" t="str">
        <f t="shared" si="10"/>
        <v>Primer dia</v>
      </c>
      <c r="C1473" s="202">
        <f t="shared" si="1"/>
        <v>10</v>
      </c>
      <c r="D1473" s="202" t="str">
        <f t="shared" si="2"/>
        <v> </v>
      </c>
      <c r="E1473" s="202" t="str">
        <f t="shared" si="9"/>
        <v> </v>
      </c>
      <c r="F1473" s="55" t="str">
        <f t="shared" si="4"/>
        <v/>
      </c>
      <c r="G1473" s="202" t="str">
        <f t="shared" si="5"/>
        <v/>
      </c>
      <c r="H1473" s="202" t="str">
        <f t="shared" si="11"/>
        <v> </v>
      </c>
      <c r="I1473" s="205" t="str">
        <f t="shared" si="7"/>
        <v/>
      </c>
      <c r="J1473" s="205"/>
      <c r="K1473" s="205"/>
    </row>
    <row r="1474" ht="14.25" customHeight="1">
      <c r="A1474" s="55">
        <v>47129.0</v>
      </c>
      <c r="B1474" s="55" t="str">
        <f t="shared" si="10"/>
        <v>Primer dia</v>
      </c>
      <c r="C1474" s="202">
        <f t="shared" si="1"/>
        <v>11</v>
      </c>
      <c r="D1474" s="202" t="str">
        <f t="shared" si="2"/>
        <v> </v>
      </c>
      <c r="E1474" s="202" t="str">
        <f t="shared" si="9"/>
        <v> </v>
      </c>
      <c r="F1474" s="55" t="str">
        <f t="shared" si="4"/>
        <v/>
      </c>
      <c r="G1474" s="202" t="str">
        <f t="shared" si="5"/>
        <v/>
      </c>
      <c r="H1474" s="202" t="str">
        <f t="shared" si="11"/>
        <v> </v>
      </c>
      <c r="I1474" s="205" t="str">
        <f t="shared" si="7"/>
        <v/>
      </c>
      <c r="J1474" s="205"/>
      <c r="K1474" s="205"/>
    </row>
    <row r="1475" ht="14.25" customHeight="1">
      <c r="A1475" s="55">
        <v>47130.0</v>
      </c>
      <c r="B1475" s="55" t="str">
        <f t="shared" si="10"/>
        <v>Primer dia</v>
      </c>
      <c r="C1475" s="202">
        <f t="shared" si="1"/>
        <v>12</v>
      </c>
      <c r="D1475" s="202" t="str">
        <f t="shared" si="2"/>
        <v> </v>
      </c>
      <c r="E1475" s="202" t="str">
        <f t="shared" si="9"/>
        <v> </v>
      </c>
      <c r="F1475" s="55" t="str">
        <f t="shared" si="4"/>
        <v/>
      </c>
      <c r="G1475" s="202" t="str">
        <f t="shared" si="5"/>
        <v/>
      </c>
      <c r="H1475" s="202" t="str">
        <f t="shared" si="11"/>
        <v> </v>
      </c>
      <c r="I1475" s="205" t="str">
        <f t="shared" si="7"/>
        <v/>
      </c>
      <c r="J1475" s="205"/>
      <c r="K1475" s="205"/>
    </row>
    <row r="1476" ht="14.25" customHeight="1">
      <c r="A1476" s="55">
        <v>47131.0</v>
      </c>
      <c r="B1476" s="55" t="str">
        <f t="shared" si="10"/>
        <v>Primer dia</v>
      </c>
      <c r="C1476" s="202">
        <f t="shared" si="1"/>
        <v>13</v>
      </c>
      <c r="D1476" s="202" t="str">
        <f t="shared" si="2"/>
        <v> </v>
      </c>
      <c r="E1476" s="202" t="str">
        <f t="shared" si="9"/>
        <v> </v>
      </c>
      <c r="F1476" s="55" t="str">
        <f t="shared" si="4"/>
        <v/>
      </c>
      <c r="G1476" s="202" t="str">
        <f t="shared" si="5"/>
        <v/>
      </c>
      <c r="H1476" s="202" t="str">
        <f t="shared" si="11"/>
        <v> </v>
      </c>
      <c r="I1476" s="205" t="str">
        <f t="shared" si="7"/>
        <v/>
      </c>
      <c r="J1476" s="205"/>
      <c r="K1476" s="205"/>
    </row>
    <row r="1477" ht="14.25" customHeight="1">
      <c r="A1477" s="55">
        <v>47132.0</v>
      </c>
      <c r="B1477" s="55" t="str">
        <f t="shared" si="10"/>
        <v>Primer dia</v>
      </c>
      <c r="C1477" s="202">
        <f t="shared" si="1"/>
        <v>14</v>
      </c>
      <c r="D1477" s="202" t="str">
        <f t="shared" si="2"/>
        <v> </v>
      </c>
      <c r="E1477" s="202" t="str">
        <f t="shared" si="9"/>
        <v> </v>
      </c>
      <c r="F1477" s="55" t="str">
        <f t="shared" si="4"/>
        <v/>
      </c>
      <c r="G1477" s="202" t="str">
        <f t="shared" si="5"/>
        <v/>
      </c>
      <c r="H1477" s="202" t="str">
        <f t="shared" si="11"/>
        <v> </v>
      </c>
      <c r="I1477" s="205" t="str">
        <f t="shared" si="7"/>
        <v/>
      </c>
      <c r="J1477" s="205"/>
      <c r="K1477" s="205"/>
    </row>
    <row r="1478" ht="14.25" customHeight="1">
      <c r="A1478" s="55">
        <v>47133.0</v>
      </c>
      <c r="B1478" s="55" t="str">
        <f t="shared" si="10"/>
        <v>Primer dia</v>
      </c>
      <c r="C1478" s="202">
        <f t="shared" si="1"/>
        <v>15</v>
      </c>
      <c r="D1478" s="202" t="str">
        <f t="shared" si="2"/>
        <v> </v>
      </c>
      <c r="E1478" s="202" t="str">
        <f t="shared" si="9"/>
        <v> </v>
      </c>
      <c r="F1478" s="55" t="str">
        <f t="shared" si="4"/>
        <v/>
      </c>
      <c r="G1478" s="202" t="str">
        <f t="shared" si="5"/>
        <v/>
      </c>
      <c r="H1478" s="202" t="str">
        <f t="shared" si="11"/>
        <v> </v>
      </c>
      <c r="I1478" s="205" t="str">
        <f t="shared" si="7"/>
        <v/>
      </c>
      <c r="J1478" s="205"/>
      <c r="K1478" s="205"/>
    </row>
    <row r="1479" ht="14.25" customHeight="1">
      <c r="A1479" s="55">
        <v>47134.0</v>
      </c>
      <c r="B1479" s="55" t="str">
        <f t="shared" si="10"/>
        <v>Primer dia</v>
      </c>
      <c r="C1479" s="202">
        <f t="shared" si="1"/>
        <v>16</v>
      </c>
      <c r="D1479" s="202" t="str">
        <f t="shared" si="2"/>
        <v> </v>
      </c>
      <c r="E1479" s="202" t="str">
        <f t="shared" si="9"/>
        <v> </v>
      </c>
      <c r="F1479" s="55" t="str">
        <f t="shared" si="4"/>
        <v/>
      </c>
      <c r="G1479" s="202" t="str">
        <f t="shared" si="5"/>
        <v/>
      </c>
      <c r="H1479" s="202" t="str">
        <f t="shared" si="11"/>
        <v> </v>
      </c>
      <c r="I1479" s="205" t="str">
        <f t="shared" si="7"/>
        <v/>
      </c>
      <c r="J1479" s="205"/>
      <c r="K1479" s="205"/>
    </row>
    <row r="1480" ht="14.25" customHeight="1">
      <c r="A1480" s="55">
        <v>47135.0</v>
      </c>
      <c r="B1480" s="55" t="str">
        <f t="shared" si="10"/>
        <v>Primer dia</v>
      </c>
      <c r="C1480" s="202">
        <f t="shared" si="1"/>
        <v>17</v>
      </c>
      <c r="D1480" s="202" t="str">
        <f t="shared" si="2"/>
        <v> </v>
      </c>
      <c r="E1480" s="202">
        <f t="shared" si="9"/>
        <v>17</v>
      </c>
      <c r="F1480" s="55">
        <f t="shared" si="4"/>
        <v>47135</v>
      </c>
      <c r="G1480" s="202">
        <f t="shared" si="5"/>
        <v>72</v>
      </c>
      <c r="H1480" s="202" t="str">
        <f t="shared" si="11"/>
        <v> </v>
      </c>
      <c r="I1480" s="205" t="str">
        <f t="shared" si="7"/>
        <v/>
      </c>
      <c r="J1480" s="205"/>
      <c r="K1480" s="205"/>
    </row>
    <row r="1481" ht="14.25" customHeight="1">
      <c r="A1481" s="55">
        <v>47136.0</v>
      </c>
      <c r="B1481" s="55" t="str">
        <f t="shared" si="10"/>
        <v>Primer dia</v>
      </c>
      <c r="C1481" s="202">
        <f t="shared" si="1"/>
        <v>18</v>
      </c>
      <c r="D1481" s="202" t="str">
        <f t="shared" si="2"/>
        <v> </v>
      </c>
      <c r="E1481" s="202" t="str">
        <f t="shared" si="9"/>
        <v> </v>
      </c>
      <c r="F1481" s="55" t="str">
        <f t="shared" si="4"/>
        <v/>
      </c>
      <c r="G1481" s="202" t="str">
        <f t="shared" si="5"/>
        <v/>
      </c>
      <c r="H1481" s="202" t="str">
        <f t="shared" si="11"/>
        <v> </v>
      </c>
      <c r="I1481" s="205" t="str">
        <f t="shared" si="7"/>
        <v/>
      </c>
      <c r="J1481" s="205"/>
      <c r="K1481" s="205"/>
    </row>
    <row r="1482" ht="14.25" customHeight="1">
      <c r="A1482" s="55">
        <v>47137.0</v>
      </c>
      <c r="B1482" s="55" t="str">
        <f t="shared" si="10"/>
        <v>Primer dia</v>
      </c>
      <c r="C1482" s="202">
        <f t="shared" si="1"/>
        <v>19</v>
      </c>
      <c r="D1482" s="202" t="str">
        <f t="shared" si="2"/>
        <v> </v>
      </c>
      <c r="E1482" s="202" t="str">
        <f t="shared" si="9"/>
        <v> </v>
      </c>
      <c r="F1482" s="55" t="str">
        <f t="shared" si="4"/>
        <v/>
      </c>
      <c r="G1482" s="202" t="str">
        <f t="shared" si="5"/>
        <v/>
      </c>
      <c r="H1482" s="202" t="str">
        <f t="shared" si="11"/>
        <v> </v>
      </c>
      <c r="I1482" s="205" t="str">
        <f t="shared" si="7"/>
        <v/>
      </c>
      <c r="J1482" s="205"/>
      <c r="K1482" s="205"/>
    </row>
    <row r="1483" ht="14.25" customHeight="1">
      <c r="A1483" s="55">
        <v>47138.0</v>
      </c>
      <c r="B1483" s="55" t="str">
        <f t="shared" si="10"/>
        <v>Primer dia</v>
      </c>
      <c r="C1483" s="202">
        <f t="shared" si="1"/>
        <v>20</v>
      </c>
      <c r="D1483" s="202" t="str">
        <f t="shared" si="2"/>
        <v> </v>
      </c>
      <c r="E1483" s="202" t="str">
        <f t="shared" si="9"/>
        <v> </v>
      </c>
      <c r="F1483" s="55" t="str">
        <f t="shared" si="4"/>
        <v/>
      </c>
      <c r="G1483" s="202" t="str">
        <f t="shared" si="5"/>
        <v/>
      </c>
      <c r="H1483" s="202" t="str">
        <f t="shared" si="11"/>
        <v> </v>
      </c>
      <c r="I1483" s="205" t="str">
        <f t="shared" si="7"/>
        <v/>
      </c>
      <c r="J1483" s="205"/>
      <c r="K1483" s="205"/>
    </row>
    <row r="1484" ht="14.25" customHeight="1">
      <c r="A1484" s="55">
        <v>47139.0</v>
      </c>
      <c r="B1484" s="55" t="str">
        <f t="shared" si="10"/>
        <v>Primer dia</v>
      </c>
      <c r="C1484" s="202">
        <f t="shared" si="1"/>
        <v>21</v>
      </c>
      <c r="D1484" s="202" t="str">
        <f t="shared" si="2"/>
        <v> </v>
      </c>
      <c r="E1484" s="202" t="str">
        <f t="shared" si="9"/>
        <v> </v>
      </c>
      <c r="F1484" s="55" t="str">
        <f t="shared" si="4"/>
        <v/>
      </c>
      <c r="G1484" s="202" t="str">
        <f t="shared" si="5"/>
        <v/>
      </c>
      <c r="H1484" s="202" t="str">
        <f t="shared" si="11"/>
        <v> </v>
      </c>
      <c r="I1484" s="205" t="str">
        <f t="shared" si="7"/>
        <v/>
      </c>
      <c r="J1484" s="205"/>
      <c r="K1484" s="205"/>
    </row>
    <row r="1485" ht="14.25" customHeight="1">
      <c r="A1485" s="55">
        <v>47140.0</v>
      </c>
      <c r="B1485" s="55" t="str">
        <f t="shared" si="10"/>
        <v>Primer dia</v>
      </c>
      <c r="C1485" s="202">
        <f t="shared" si="1"/>
        <v>22</v>
      </c>
      <c r="D1485" s="202" t="str">
        <f t="shared" si="2"/>
        <v> </v>
      </c>
      <c r="E1485" s="202" t="str">
        <f t="shared" si="9"/>
        <v> </v>
      </c>
      <c r="F1485" s="55" t="str">
        <f t="shared" si="4"/>
        <v/>
      </c>
      <c r="G1485" s="202" t="str">
        <f t="shared" si="5"/>
        <v/>
      </c>
      <c r="H1485" s="202" t="str">
        <f t="shared" si="11"/>
        <v> </v>
      </c>
      <c r="I1485" s="205" t="str">
        <f t="shared" si="7"/>
        <v/>
      </c>
      <c r="J1485" s="205"/>
      <c r="K1485" s="205"/>
    </row>
    <row r="1486" ht="14.25" customHeight="1">
      <c r="A1486" s="55">
        <v>47141.0</v>
      </c>
      <c r="B1486" s="55" t="str">
        <f t="shared" si="10"/>
        <v>Primer dia</v>
      </c>
      <c r="C1486" s="202">
        <f t="shared" si="1"/>
        <v>23</v>
      </c>
      <c r="D1486" s="202" t="str">
        <f t="shared" si="2"/>
        <v> </v>
      </c>
      <c r="E1486" s="202" t="str">
        <f t="shared" si="9"/>
        <v> </v>
      </c>
      <c r="F1486" s="55" t="str">
        <f t="shared" si="4"/>
        <v/>
      </c>
      <c r="G1486" s="202" t="str">
        <f t="shared" si="5"/>
        <v/>
      </c>
      <c r="H1486" s="202" t="str">
        <f t="shared" si="11"/>
        <v> </v>
      </c>
      <c r="I1486" s="205" t="str">
        <f t="shared" si="7"/>
        <v/>
      </c>
      <c r="J1486" s="205"/>
      <c r="K1486" s="205"/>
    </row>
    <row r="1487" ht="14.25" customHeight="1">
      <c r="A1487" s="55">
        <v>47142.0</v>
      </c>
      <c r="B1487" s="55" t="str">
        <f t="shared" si="10"/>
        <v>Primer dia</v>
      </c>
      <c r="C1487" s="202">
        <f t="shared" si="1"/>
        <v>24</v>
      </c>
      <c r="D1487" s="202" t="str">
        <f t="shared" si="2"/>
        <v> </v>
      </c>
      <c r="E1487" s="202" t="str">
        <f t="shared" si="9"/>
        <v> </v>
      </c>
      <c r="F1487" s="55" t="str">
        <f t="shared" si="4"/>
        <v/>
      </c>
      <c r="G1487" s="202" t="str">
        <f t="shared" si="5"/>
        <v/>
      </c>
      <c r="H1487" s="202" t="str">
        <f t="shared" si="11"/>
        <v> </v>
      </c>
      <c r="I1487" s="205" t="str">
        <f t="shared" si="7"/>
        <v/>
      </c>
      <c r="J1487" s="205"/>
      <c r="K1487" s="205"/>
    </row>
    <row r="1488" ht="14.25" customHeight="1">
      <c r="A1488" s="55">
        <v>47143.0</v>
      </c>
      <c r="B1488" s="55" t="str">
        <f t="shared" si="10"/>
        <v>Primer dia</v>
      </c>
      <c r="C1488" s="202">
        <f t="shared" si="1"/>
        <v>25</v>
      </c>
      <c r="D1488" s="202" t="str">
        <f t="shared" si="2"/>
        <v> </v>
      </c>
      <c r="E1488" s="202" t="str">
        <f t="shared" si="9"/>
        <v> </v>
      </c>
      <c r="F1488" s="55" t="str">
        <f t="shared" si="4"/>
        <v/>
      </c>
      <c r="G1488" s="202" t="str">
        <f t="shared" si="5"/>
        <v/>
      </c>
      <c r="H1488" s="202" t="str">
        <f t="shared" si="11"/>
        <v> </v>
      </c>
      <c r="I1488" s="205" t="str">
        <f t="shared" si="7"/>
        <v/>
      </c>
      <c r="J1488" s="205"/>
      <c r="K1488" s="205"/>
    </row>
    <row r="1489" ht="14.25" customHeight="1">
      <c r="A1489" s="55">
        <v>47144.0</v>
      </c>
      <c r="B1489" s="55" t="str">
        <f t="shared" si="10"/>
        <v>Primer dia</v>
      </c>
      <c r="C1489" s="202">
        <f t="shared" si="1"/>
        <v>26</v>
      </c>
      <c r="D1489" s="202" t="str">
        <f t="shared" si="2"/>
        <v> </v>
      </c>
      <c r="E1489" s="202" t="str">
        <f t="shared" si="9"/>
        <v> </v>
      </c>
      <c r="F1489" s="55" t="str">
        <f t="shared" si="4"/>
        <v/>
      </c>
      <c r="G1489" s="202" t="str">
        <f t="shared" si="5"/>
        <v/>
      </c>
      <c r="H1489" s="202" t="str">
        <f t="shared" si="11"/>
        <v> </v>
      </c>
      <c r="I1489" s="205" t="str">
        <f t="shared" si="7"/>
        <v/>
      </c>
      <c r="J1489" s="205"/>
      <c r="K1489" s="205"/>
    </row>
    <row r="1490" ht="14.25" customHeight="1">
      <c r="A1490" s="55">
        <v>47145.0</v>
      </c>
      <c r="B1490" s="55" t="str">
        <f t="shared" si="10"/>
        <v>Primer dia</v>
      </c>
      <c r="C1490" s="202">
        <f t="shared" si="1"/>
        <v>27</v>
      </c>
      <c r="D1490" s="202" t="str">
        <f t="shared" si="2"/>
        <v> </v>
      </c>
      <c r="E1490" s="202" t="str">
        <f t="shared" si="9"/>
        <v> </v>
      </c>
      <c r="F1490" s="55" t="str">
        <f t="shared" si="4"/>
        <v/>
      </c>
      <c r="G1490" s="202" t="str">
        <f t="shared" si="5"/>
        <v/>
      </c>
      <c r="H1490" s="202" t="str">
        <f t="shared" si="11"/>
        <v> </v>
      </c>
      <c r="I1490" s="205" t="str">
        <f t="shared" si="7"/>
        <v/>
      </c>
      <c r="J1490" s="205"/>
      <c r="K1490" s="205"/>
    </row>
    <row r="1491" ht="14.25" customHeight="1">
      <c r="A1491" s="55">
        <v>47146.0</v>
      </c>
      <c r="B1491" s="55" t="str">
        <f t="shared" si="10"/>
        <v>Primer dia</v>
      </c>
      <c r="C1491" s="202">
        <f t="shared" si="1"/>
        <v>28</v>
      </c>
      <c r="D1491" s="202" t="str">
        <f t="shared" si="2"/>
        <v> </v>
      </c>
      <c r="E1491" s="202" t="str">
        <f t="shared" si="9"/>
        <v> </v>
      </c>
      <c r="F1491" s="55" t="str">
        <f t="shared" si="4"/>
        <v/>
      </c>
      <c r="G1491" s="202" t="str">
        <f t="shared" si="5"/>
        <v/>
      </c>
      <c r="H1491" s="202" t="str">
        <f t="shared" si="11"/>
        <v> </v>
      </c>
      <c r="I1491" s="205" t="str">
        <f t="shared" si="7"/>
        <v/>
      </c>
      <c r="J1491" s="205"/>
      <c r="K1491" s="205"/>
    </row>
    <row r="1492" ht="14.25" customHeight="1">
      <c r="A1492" s="55">
        <v>47147.0</v>
      </c>
      <c r="B1492" s="55" t="str">
        <f t="shared" si="10"/>
        <v>Primer dia</v>
      </c>
      <c r="C1492" s="202">
        <f t="shared" si="1"/>
        <v>29</v>
      </c>
      <c r="D1492" s="202" t="str">
        <f t="shared" si="2"/>
        <v> </v>
      </c>
      <c r="E1492" s="202" t="str">
        <f t="shared" si="9"/>
        <v> </v>
      </c>
      <c r="F1492" s="55" t="str">
        <f t="shared" si="4"/>
        <v/>
      </c>
      <c r="G1492" s="202" t="str">
        <f t="shared" si="5"/>
        <v/>
      </c>
      <c r="H1492" s="202" t="str">
        <f t="shared" si="11"/>
        <v> </v>
      </c>
      <c r="I1492" s="205" t="str">
        <f t="shared" si="7"/>
        <v/>
      </c>
      <c r="J1492" s="205"/>
      <c r="K1492" s="205"/>
    </row>
    <row r="1493" ht="14.25" customHeight="1">
      <c r="A1493" s="55">
        <v>47148.0</v>
      </c>
      <c r="B1493" s="55" t="str">
        <f t="shared" si="10"/>
        <v>Primer dia</v>
      </c>
      <c r="C1493" s="202">
        <f t="shared" si="1"/>
        <v>30</v>
      </c>
      <c r="D1493" s="202" t="str">
        <f t="shared" si="2"/>
        <v> </v>
      </c>
      <c r="E1493" s="202" t="str">
        <f t="shared" si="9"/>
        <v> </v>
      </c>
      <c r="F1493" s="55" t="str">
        <f t="shared" si="4"/>
        <v/>
      </c>
      <c r="G1493" s="202" t="str">
        <f t="shared" si="5"/>
        <v/>
      </c>
      <c r="H1493" s="202" t="str">
        <f t="shared" si="11"/>
        <v> </v>
      </c>
      <c r="I1493" s="205" t="str">
        <f t="shared" si="7"/>
        <v/>
      </c>
      <c r="J1493" s="205"/>
      <c r="K1493" s="205"/>
    </row>
    <row r="1494" ht="14.25" customHeight="1">
      <c r="A1494" s="55">
        <v>47149.0</v>
      </c>
      <c r="B1494" s="55" t="str">
        <f t="shared" si="10"/>
        <v>Primer dia</v>
      </c>
      <c r="C1494" s="202">
        <f t="shared" si="1"/>
        <v>31</v>
      </c>
      <c r="D1494" s="202" t="str">
        <f t="shared" si="2"/>
        <v> </v>
      </c>
      <c r="E1494" s="202" t="str">
        <f t="shared" si="9"/>
        <v> </v>
      </c>
      <c r="F1494" s="55" t="str">
        <f t="shared" si="4"/>
        <v/>
      </c>
      <c r="G1494" s="202" t="str">
        <f t="shared" si="5"/>
        <v/>
      </c>
      <c r="H1494" s="202" t="str">
        <f t="shared" si="11"/>
        <v> </v>
      </c>
      <c r="I1494" s="205" t="str">
        <f t="shared" si="7"/>
        <v/>
      </c>
      <c r="J1494" s="205"/>
      <c r="K1494" s="205"/>
    </row>
    <row r="1495" ht="14.25" customHeight="1">
      <c r="A1495" s="55">
        <v>47150.0</v>
      </c>
      <c r="B1495" s="55" t="str">
        <f t="shared" si="10"/>
        <v>Primer dia</v>
      </c>
      <c r="C1495" s="202">
        <f t="shared" si="1"/>
        <v>1</v>
      </c>
      <c r="D1495" s="202" t="str">
        <f t="shared" si="2"/>
        <v> </v>
      </c>
      <c r="E1495" s="202" t="str">
        <f t="shared" si="9"/>
        <v> </v>
      </c>
      <c r="F1495" s="55" t="str">
        <f t="shared" si="4"/>
        <v/>
      </c>
      <c r="G1495" s="202" t="str">
        <f t="shared" si="5"/>
        <v/>
      </c>
      <c r="H1495" s="202" t="str">
        <f t="shared" si="11"/>
        <v> </v>
      </c>
      <c r="I1495" s="205" t="str">
        <f t="shared" si="7"/>
        <v/>
      </c>
      <c r="J1495" s="205"/>
      <c r="K1495" s="205"/>
    </row>
    <row r="1496" ht="14.25" customHeight="1">
      <c r="A1496" s="55">
        <v>47151.0</v>
      </c>
      <c r="B1496" s="55" t="str">
        <f t="shared" si="10"/>
        <v>Primer dia</v>
      </c>
      <c r="C1496" s="202">
        <f t="shared" si="1"/>
        <v>2</v>
      </c>
      <c r="D1496" s="202" t="str">
        <f t="shared" si="2"/>
        <v> </v>
      </c>
      <c r="E1496" s="202">
        <f t="shared" si="9"/>
        <v>2</v>
      </c>
      <c r="F1496" s="55">
        <f t="shared" si="4"/>
        <v>47151</v>
      </c>
      <c r="G1496" s="202">
        <f t="shared" si="5"/>
        <v>73</v>
      </c>
      <c r="H1496" s="202" t="str">
        <f t="shared" si="11"/>
        <v> </v>
      </c>
      <c r="I1496" s="205" t="str">
        <f t="shared" si="7"/>
        <v/>
      </c>
      <c r="J1496" s="205"/>
      <c r="K1496" s="205"/>
    </row>
    <row r="1497" ht="14.25" customHeight="1">
      <c r="A1497" s="55">
        <v>47152.0</v>
      </c>
      <c r="B1497" s="55" t="str">
        <f t="shared" si="10"/>
        <v>Primer dia</v>
      </c>
      <c r="C1497" s="202">
        <f t="shared" si="1"/>
        <v>3</v>
      </c>
      <c r="D1497" s="202" t="str">
        <f t="shared" si="2"/>
        <v> </v>
      </c>
      <c r="E1497" s="202" t="str">
        <f t="shared" si="9"/>
        <v> </v>
      </c>
      <c r="F1497" s="55" t="str">
        <f t="shared" si="4"/>
        <v/>
      </c>
      <c r="G1497" s="202" t="str">
        <f t="shared" si="5"/>
        <v/>
      </c>
      <c r="H1497" s="202" t="str">
        <f t="shared" si="11"/>
        <v> </v>
      </c>
      <c r="I1497" s="205" t="str">
        <f t="shared" si="7"/>
        <v/>
      </c>
      <c r="J1497" s="205"/>
      <c r="K1497" s="205"/>
    </row>
    <row r="1498" ht="14.25" customHeight="1">
      <c r="A1498" s="55">
        <v>47153.0</v>
      </c>
      <c r="B1498" s="55" t="str">
        <f t="shared" si="10"/>
        <v>Primer dia</v>
      </c>
      <c r="C1498" s="202">
        <f t="shared" si="1"/>
        <v>4</v>
      </c>
      <c r="D1498" s="202" t="str">
        <f t="shared" si="2"/>
        <v> </v>
      </c>
      <c r="E1498" s="202" t="str">
        <f t="shared" si="9"/>
        <v> </v>
      </c>
      <c r="F1498" s="55" t="str">
        <f t="shared" si="4"/>
        <v/>
      </c>
      <c r="G1498" s="202" t="str">
        <f t="shared" si="5"/>
        <v/>
      </c>
      <c r="H1498" s="202" t="str">
        <f t="shared" si="11"/>
        <v> </v>
      </c>
      <c r="I1498" s="205" t="str">
        <f t="shared" si="7"/>
        <v/>
      </c>
      <c r="J1498" s="205"/>
      <c r="K1498" s="205"/>
    </row>
    <row r="1499" ht="14.25" customHeight="1">
      <c r="A1499" s="55">
        <v>47154.0</v>
      </c>
      <c r="B1499" s="55" t="str">
        <f t="shared" si="10"/>
        <v>Primer dia</v>
      </c>
      <c r="C1499" s="202">
        <f t="shared" si="1"/>
        <v>5</v>
      </c>
      <c r="D1499" s="202" t="str">
        <f t="shared" si="2"/>
        <v> </v>
      </c>
      <c r="E1499" s="202" t="str">
        <f t="shared" si="9"/>
        <v> </v>
      </c>
      <c r="F1499" s="55" t="str">
        <f t="shared" si="4"/>
        <v/>
      </c>
      <c r="G1499" s="202" t="str">
        <f t="shared" si="5"/>
        <v/>
      </c>
      <c r="H1499" s="202" t="str">
        <f t="shared" si="11"/>
        <v> </v>
      </c>
      <c r="I1499" s="205" t="str">
        <f t="shared" si="7"/>
        <v/>
      </c>
      <c r="J1499" s="205"/>
      <c r="K1499" s="205"/>
    </row>
    <row r="1500" ht="14.25" customHeight="1">
      <c r="A1500" s="55">
        <v>47155.0</v>
      </c>
      <c r="B1500" s="55" t="str">
        <f t="shared" si="10"/>
        <v>Primer dia</v>
      </c>
      <c r="C1500" s="202">
        <f t="shared" si="1"/>
        <v>6</v>
      </c>
      <c r="D1500" s="202" t="str">
        <f t="shared" si="2"/>
        <v> </v>
      </c>
      <c r="E1500" s="202" t="str">
        <f t="shared" si="9"/>
        <v> </v>
      </c>
      <c r="F1500" s="55" t="str">
        <f t="shared" si="4"/>
        <v/>
      </c>
      <c r="G1500" s="202" t="str">
        <f t="shared" si="5"/>
        <v/>
      </c>
      <c r="H1500" s="202" t="str">
        <f t="shared" si="11"/>
        <v> </v>
      </c>
      <c r="I1500" s="205" t="str">
        <f t="shared" si="7"/>
        <v/>
      </c>
      <c r="J1500" s="205"/>
      <c r="K1500" s="205"/>
    </row>
    <row r="1501" ht="14.25" customHeight="1">
      <c r="A1501" s="55">
        <v>47156.0</v>
      </c>
      <c r="B1501" s="55" t="str">
        <f t="shared" si="10"/>
        <v>Primer dia</v>
      </c>
      <c r="C1501" s="202">
        <f t="shared" si="1"/>
        <v>7</v>
      </c>
      <c r="D1501" s="202" t="str">
        <f t="shared" si="2"/>
        <v> </v>
      </c>
      <c r="E1501" s="202" t="str">
        <f t="shared" si="9"/>
        <v> </v>
      </c>
      <c r="F1501" s="55" t="str">
        <f t="shared" si="4"/>
        <v/>
      </c>
      <c r="G1501" s="202" t="str">
        <f t="shared" si="5"/>
        <v/>
      </c>
      <c r="H1501" s="202" t="str">
        <f t="shared" si="11"/>
        <v> </v>
      </c>
      <c r="I1501" s="205" t="str">
        <f t="shared" si="7"/>
        <v/>
      </c>
      <c r="J1501" s="205"/>
      <c r="K1501" s="205"/>
    </row>
    <row r="1502" ht="14.25" customHeight="1">
      <c r="A1502" s="55">
        <v>47157.0</v>
      </c>
      <c r="B1502" s="55" t="str">
        <f t="shared" si="10"/>
        <v>Primer dia</v>
      </c>
      <c r="C1502" s="202">
        <f t="shared" si="1"/>
        <v>8</v>
      </c>
      <c r="D1502" s="202" t="str">
        <f t="shared" si="2"/>
        <v> </v>
      </c>
      <c r="E1502" s="202" t="str">
        <f t="shared" si="9"/>
        <v> </v>
      </c>
      <c r="F1502" s="55" t="str">
        <f t="shared" si="4"/>
        <v/>
      </c>
      <c r="G1502" s="202" t="str">
        <f t="shared" si="5"/>
        <v/>
      </c>
      <c r="H1502" s="202" t="str">
        <f t="shared" si="11"/>
        <v> </v>
      </c>
      <c r="I1502" s="205" t="str">
        <f t="shared" si="7"/>
        <v/>
      </c>
      <c r="J1502" s="205"/>
      <c r="K1502" s="205"/>
    </row>
    <row r="1503" ht="14.25" customHeight="1">
      <c r="A1503" s="55">
        <v>47158.0</v>
      </c>
      <c r="B1503" s="55" t="str">
        <f t="shared" si="10"/>
        <v>Primer dia</v>
      </c>
      <c r="C1503" s="202">
        <f t="shared" si="1"/>
        <v>9</v>
      </c>
      <c r="D1503" s="202" t="str">
        <f t="shared" si="2"/>
        <v> </v>
      </c>
      <c r="E1503" s="202" t="str">
        <f t="shared" si="9"/>
        <v> </v>
      </c>
      <c r="F1503" s="55" t="str">
        <f t="shared" si="4"/>
        <v/>
      </c>
      <c r="G1503" s="202" t="str">
        <f t="shared" si="5"/>
        <v/>
      </c>
      <c r="H1503" s="202" t="str">
        <f t="shared" si="11"/>
        <v> </v>
      </c>
      <c r="I1503" s="205" t="str">
        <f t="shared" si="7"/>
        <v/>
      </c>
      <c r="J1503" s="205"/>
      <c r="K1503" s="205"/>
    </row>
    <row r="1504" ht="14.25" customHeight="1">
      <c r="A1504" s="55">
        <v>47159.0</v>
      </c>
      <c r="B1504" s="55" t="str">
        <f t="shared" si="10"/>
        <v>Primer dia</v>
      </c>
      <c r="C1504" s="202">
        <f t="shared" si="1"/>
        <v>10</v>
      </c>
      <c r="D1504" s="202" t="str">
        <f t="shared" si="2"/>
        <v> </v>
      </c>
      <c r="E1504" s="202" t="str">
        <f t="shared" si="9"/>
        <v> </v>
      </c>
      <c r="F1504" s="55" t="str">
        <f t="shared" si="4"/>
        <v/>
      </c>
      <c r="G1504" s="202" t="str">
        <f t="shared" si="5"/>
        <v/>
      </c>
      <c r="H1504" s="202" t="str">
        <f t="shared" si="11"/>
        <v> </v>
      </c>
      <c r="I1504" s="205" t="str">
        <f t="shared" si="7"/>
        <v/>
      </c>
      <c r="J1504" s="205"/>
      <c r="K1504" s="205"/>
    </row>
    <row r="1505" ht="14.25" customHeight="1">
      <c r="A1505" s="55">
        <v>47160.0</v>
      </c>
      <c r="B1505" s="55" t="str">
        <f t="shared" si="10"/>
        <v>Primer dia</v>
      </c>
      <c r="C1505" s="202">
        <f t="shared" si="1"/>
        <v>11</v>
      </c>
      <c r="D1505" s="202" t="str">
        <f t="shared" si="2"/>
        <v> </v>
      </c>
      <c r="E1505" s="202" t="str">
        <f t="shared" si="9"/>
        <v> </v>
      </c>
      <c r="F1505" s="55" t="str">
        <f t="shared" si="4"/>
        <v/>
      </c>
      <c r="G1505" s="202" t="str">
        <f t="shared" si="5"/>
        <v/>
      </c>
      <c r="H1505" s="202" t="str">
        <f t="shared" si="11"/>
        <v> </v>
      </c>
      <c r="I1505" s="205" t="str">
        <f t="shared" si="7"/>
        <v/>
      </c>
      <c r="J1505" s="205"/>
      <c r="K1505" s="205"/>
    </row>
    <row r="1506" ht="14.25" customHeight="1">
      <c r="A1506" s="55">
        <v>47161.0</v>
      </c>
      <c r="B1506" s="55" t="str">
        <f t="shared" si="10"/>
        <v>Primer dia</v>
      </c>
      <c r="C1506" s="202">
        <f t="shared" si="1"/>
        <v>12</v>
      </c>
      <c r="D1506" s="202" t="str">
        <f t="shared" si="2"/>
        <v> </v>
      </c>
      <c r="E1506" s="202" t="str">
        <f t="shared" si="9"/>
        <v> </v>
      </c>
      <c r="F1506" s="55" t="str">
        <f t="shared" si="4"/>
        <v/>
      </c>
      <c r="G1506" s="202" t="str">
        <f t="shared" si="5"/>
        <v/>
      </c>
      <c r="H1506" s="202" t="str">
        <f t="shared" si="11"/>
        <v> </v>
      </c>
      <c r="I1506" s="205" t="str">
        <f t="shared" si="7"/>
        <v/>
      </c>
      <c r="J1506" s="205"/>
      <c r="K1506" s="205"/>
    </row>
    <row r="1507" ht="14.25" customHeight="1">
      <c r="A1507" s="55">
        <v>47162.0</v>
      </c>
      <c r="B1507" s="55" t="str">
        <f t="shared" si="10"/>
        <v>Primer dia</v>
      </c>
      <c r="C1507" s="202">
        <f t="shared" si="1"/>
        <v>13</v>
      </c>
      <c r="D1507" s="202" t="str">
        <f t="shared" si="2"/>
        <v> </v>
      </c>
      <c r="E1507" s="202" t="str">
        <f t="shared" si="9"/>
        <v> </v>
      </c>
      <c r="F1507" s="55" t="str">
        <f t="shared" si="4"/>
        <v/>
      </c>
      <c r="G1507" s="202" t="str">
        <f t="shared" si="5"/>
        <v/>
      </c>
      <c r="H1507" s="202" t="str">
        <f t="shared" si="11"/>
        <v> </v>
      </c>
      <c r="I1507" s="205" t="str">
        <f t="shared" si="7"/>
        <v/>
      </c>
      <c r="J1507" s="205"/>
      <c r="K1507" s="205"/>
    </row>
    <row r="1508" ht="14.25" customHeight="1">
      <c r="A1508" s="55">
        <v>47163.0</v>
      </c>
      <c r="B1508" s="55" t="str">
        <f t="shared" si="10"/>
        <v>Primer dia</v>
      </c>
      <c r="C1508" s="202">
        <f t="shared" si="1"/>
        <v>14</v>
      </c>
      <c r="D1508" s="202" t="str">
        <f t="shared" si="2"/>
        <v> </v>
      </c>
      <c r="E1508" s="202" t="str">
        <f t="shared" si="9"/>
        <v> </v>
      </c>
      <c r="F1508" s="55" t="str">
        <f t="shared" si="4"/>
        <v/>
      </c>
      <c r="G1508" s="202" t="str">
        <f t="shared" si="5"/>
        <v/>
      </c>
      <c r="H1508" s="202" t="str">
        <f t="shared" si="11"/>
        <v> </v>
      </c>
      <c r="I1508" s="205" t="str">
        <f t="shared" si="7"/>
        <v/>
      </c>
      <c r="J1508" s="205"/>
      <c r="K1508" s="205"/>
    </row>
    <row r="1509" ht="14.25" customHeight="1">
      <c r="A1509" s="55">
        <v>47164.0</v>
      </c>
      <c r="B1509" s="55" t="str">
        <f t="shared" si="10"/>
        <v>Primer dia</v>
      </c>
      <c r="C1509" s="202">
        <f t="shared" si="1"/>
        <v>15</v>
      </c>
      <c r="D1509" s="202" t="str">
        <f t="shared" si="2"/>
        <v> </v>
      </c>
      <c r="E1509" s="202" t="str">
        <f t="shared" si="9"/>
        <v> </v>
      </c>
      <c r="F1509" s="55" t="str">
        <f t="shared" si="4"/>
        <v/>
      </c>
      <c r="G1509" s="202" t="str">
        <f t="shared" si="5"/>
        <v/>
      </c>
      <c r="H1509" s="202" t="str">
        <f t="shared" si="11"/>
        <v> </v>
      </c>
      <c r="I1509" s="205" t="str">
        <f t="shared" si="7"/>
        <v/>
      </c>
      <c r="J1509" s="205"/>
      <c r="K1509" s="205"/>
    </row>
    <row r="1510" ht="14.25" customHeight="1">
      <c r="A1510" s="55">
        <v>47165.0</v>
      </c>
      <c r="B1510" s="55" t="str">
        <f t="shared" si="10"/>
        <v>Primer dia</v>
      </c>
      <c r="C1510" s="202">
        <f t="shared" si="1"/>
        <v>16</v>
      </c>
      <c r="D1510" s="202" t="str">
        <f t="shared" si="2"/>
        <v> </v>
      </c>
      <c r="E1510" s="202" t="str">
        <f t="shared" si="9"/>
        <v> </v>
      </c>
      <c r="F1510" s="55" t="str">
        <f t="shared" si="4"/>
        <v/>
      </c>
      <c r="G1510" s="202" t="str">
        <f t="shared" si="5"/>
        <v/>
      </c>
      <c r="H1510" s="202" t="str">
        <f t="shared" si="11"/>
        <v> </v>
      </c>
      <c r="I1510" s="205" t="str">
        <f t="shared" si="7"/>
        <v/>
      </c>
      <c r="J1510" s="205"/>
      <c r="K1510" s="205"/>
    </row>
    <row r="1511" ht="14.25" customHeight="1">
      <c r="A1511" s="55">
        <v>47166.0</v>
      </c>
      <c r="B1511" s="55" t="str">
        <f t="shared" si="10"/>
        <v>Primer dia</v>
      </c>
      <c r="C1511" s="202">
        <f t="shared" si="1"/>
        <v>17</v>
      </c>
      <c r="D1511" s="202" t="str">
        <f t="shared" si="2"/>
        <v> </v>
      </c>
      <c r="E1511" s="202">
        <f t="shared" si="9"/>
        <v>17</v>
      </c>
      <c r="F1511" s="55">
        <f t="shared" si="4"/>
        <v>47166</v>
      </c>
      <c r="G1511" s="202">
        <f t="shared" si="5"/>
        <v>74</v>
      </c>
      <c r="H1511" s="202" t="str">
        <f t="shared" si="11"/>
        <v> </v>
      </c>
      <c r="I1511" s="205" t="str">
        <f t="shared" si="7"/>
        <v/>
      </c>
      <c r="J1511" s="205"/>
      <c r="K1511" s="205"/>
    </row>
    <row r="1512" ht="14.25" customHeight="1">
      <c r="A1512" s="55">
        <v>47167.0</v>
      </c>
      <c r="B1512" s="55" t="str">
        <f t="shared" si="10"/>
        <v>Primer dia</v>
      </c>
      <c r="C1512" s="202">
        <f t="shared" si="1"/>
        <v>18</v>
      </c>
      <c r="D1512" s="202" t="str">
        <f t="shared" si="2"/>
        <v> </v>
      </c>
      <c r="E1512" s="202" t="str">
        <f t="shared" si="9"/>
        <v> </v>
      </c>
      <c r="F1512" s="55" t="str">
        <f t="shared" si="4"/>
        <v/>
      </c>
      <c r="G1512" s="202" t="str">
        <f t="shared" si="5"/>
        <v/>
      </c>
      <c r="H1512" s="202" t="str">
        <f t="shared" si="11"/>
        <v> </v>
      </c>
      <c r="I1512" s="205" t="str">
        <f t="shared" si="7"/>
        <v/>
      </c>
      <c r="J1512" s="205"/>
      <c r="K1512" s="205"/>
    </row>
    <row r="1513" ht="14.25" customHeight="1">
      <c r="A1513" s="55">
        <v>47168.0</v>
      </c>
      <c r="B1513" s="55" t="str">
        <f t="shared" si="10"/>
        <v>Primer dia</v>
      </c>
      <c r="C1513" s="202">
        <f t="shared" si="1"/>
        <v>19</v>
      </c>
      <c r="D1513" s="202" t="str">
        <f t="shared" si="2"/>
        <v> </v>
      </c>
      <c r="E1513" s="202" t="str">
        <f t="shared" si="9"/>
        <v> </v>
      </c>
      <c r="F1513" s="55" t="str">
        <f t="shared" si="4"/>
        <v/>
      </c>
      <c r="G1513" s="202" t="str">
        <f t="shared" si="5"/>
        <v/>
      </c>
      <c r="H1513" s="202" t="str">
        <f t="shared" si="11"/>
        <v> </v>
      </c>
      <c r="I1513" s="205" t="str">
        <f t="shared" si="7"/>
        <v/>
      </c>
      <c r="J1513" s="205"/>
      <c r="K1513" s="205"/>
    </row>
    <row r="1514" ht="14.25" customHeight="1">
      <c r="A1514" s="55">
        <v>47169.0</v>
      </c>
      <c r="B1514" s="55" t="str">
        <f t="shared" si="10"/>
        <v>Primer dia</v>
      </c>
      <c r="C1514" s="202">
        <f t="shared" si="1"/>
        <v>20</v>
      </c>
      <c r="D1514" s="202" t="str">
        <f t="shared" si="2"/>
        <v> </v>
      </c>
      <c r="E1514" s="202" t="str">
        <f t="shared" si="9"/>
        <v> </v>
      </c>
      <c r="F1514" s="55" t="str">
        <f t="shared" si="4"/>
        <v/>
      </c>
      <c r="G1514" s="202" t="str">
        <f t="shared" si="5"/>
        <v/>
      </c>
      <c r="H1514" s="202" t="str">
        <f t="shared" si="11"/>
        <v> </v>
      </c>
      <c r="I1514" s="205" t="str">
        <f t="shared" si="7"/>
        <v/>
      </c>
      <c r="J1514" s="205"/>
      <c r="K1514" s="205"/>
    </row>
    <row r="1515" ht="14.25" customHeight="1">
      <c r="A1515" s="55">
        <v>47170.0</v>
      </c>
      <c r="B1515" s="55" t="str">
        <f t="shared" si="10"/>
        <v>Primer dia</v>
      </c>
      <c r="C1515" s="202">
        <f t="shared" si="1"/>
        <v>21</v>
      </c>
      <c r="D1515" s="202" t="str">
        <f t="shared" si="2"/>
        <v> </v>
      </c>
      <c r="E1515" s="202" t="str">
        <f t="shared" si="9"/>
        <v> </v>
      </c>
      <c r="F1515" s="55" t="str">
        <f t="shared" si="4"/>
        <v/>
      </c>
      <c r="G1515" s="202" t="str">
        <f t="shared" si="5"/>
        <v/>
      </c>
      <c r="H1515" s="202" t="str">
        <f t="shared" si="11"/>
        <v> </v>
      </c>
      <c r="I1515" s="205" t="str">
        <f t="shared" si="7"/>
        <v/>
      </c>
      <c r="J1515" s="205"/>
      <c r="K1515" s="205"/>
    </row>
    <row r="1516" ht="14.25" customHeight="1">
      <c r="A1516" s="55">
        <v>47171.0</v>
      </c>
      <c r="B1516" s="55" t="str">
        <f t="shared" si="10"/>
        <v>Primer dia</v>
      </c>
      <c r="C1516" s="202">
        <f t="shared" si="1"/>
        <v>22</v>
      </c>
      <c r="D1516" s="202" t="str">
        <f t="shared" si="2"/>
        <v> </v>
      </c>
      <c r="E1516" s="202" t="str">
        <f t="shared" si="9"/>
        <v> </v>
      </c>
      <c r="F1516" s="55" t="str">
        <f t="shared" si="4"/>
        <v/>
      </c>
      <c r="G1516" s="202" t="str">
        <f t="shared" si="5"/>
        <v/>
      </c>
      <c r="H1516" s="202" t="str">
        <f t="shared" si="11"/>
        <v> </v>
      </c>
      <c r="I1516" s="205" t="str">
        <f t="shared" si="7"/>
        <v/>
      </c>
      <c r="J1516" s="205"/>
      <c r="K1516" s="205"/>
    </row>
    <row r="1517" ht="14.25" customHeight="1">
      <c r="A1517" s="55">
        <v>47172.0</v>
      </c>
      <c r="B1517" s="55" t="str">
        <f t="shared" si="10"/>
        <v>Primer dia</v>
      </c>
      <c r="C1517" s="202">
        <f t="shared" si="1"/>
        <v>23</v>
      </c>
      <c r="D1517" s="202" t="str">
        <f t="shared" si="2"/>
        <v> </v>
      </c>
      <c r="E1517" s="202" t="str">
        <f t="shared" si="9"/>
        <v> </v>
      </c>
      <c r="F1517" s="55" t="str">
        <f t="shared" si="4"/>
        <v/>
      </c>
      <c r="G1517" s="202" t="str">
        <f t="shared" si="5"/>
        <v/>
      </c>
      <c r="H1517" s="202" t="str">
        <f t="shared" si="11"/>
        <v> </v>
      </c>
      <c r="I1517" s="205" t="str">
        <f t="shared" si="7"/>
        <v/>
      </c>
      <c r="J1517" s="205"/>
      <c r="K1517" s="205"/>
    </row>
    <row r="1518" ht="14.25" customHeight="1">
      <c r="A1518" s="55">
        <v>47173.0</v>
      </c>
      <c r="B1518" s="55" t="str">
        <f t="shared" si="10"/>
        <v>Primer dia</v>
      </c>
      <c r="C1518" s="202">
        <f t="shared" si="1"/>
        <v>24</v>
      </c>
      <c r="D1518" s="202" t="str">
        <f t="shared" si="2"/>
        <v> </v>
      </c>
      <c r="E1518" s="202" t="str">
        <f t="shared" si="9"/>
        <v> </v>
      </c>
      <c r="F1518" s="55" t="str">
        <f t="shared" si="4"/>
        <v/>
      </c>
      <c r="G1518" s="202" t="str">
        <f t="shared" si="5"/>
        <v/>
      </c>
      <c r="H1518" s="202" t="str">
        <f t="shared" si="11"/>
        <v> </v>
      </c>
      <c r="I1518" s="205" t="str">
        <f t="shared" si="7"/>
        <v/>
      </c>
      <c r="J1518" s="205"/>
      <c r="K1518" s="205"/>
    </row>
    <row r="1519" ht="14.25" customHeight="1">
      <c r="A1519" s="55">
        <v>47174.0</v>
      </c>
      <c r="B1519" s="55" t="str">
        <f t="shared" si="10"/>
        <v>Primer dia</v>
      </c>
      <c r="C1519" s="202">
        <f t="shared" si="1"/>
        <v>25</v>
      </c>
      <c r="D1519" s="202" t="str">
        <f t="shared" si="2"/>
        <v> </v>
      </c>
      <c r="E1519" s="202" t="str">
        <f t="shared" si="9"/>
        <v> </v>
      </c>
      <c r="F1519" s="55" t="str">
        <f t="shared" si="4"/>
        <v/>
      </c>
      <c r="G1519" s="202" t="str">
        <f t="shared" si="5"/>
        <v/>
      </c>
      <c r="H1519" s="202" t="str">
        <f t="shared" si="11"/>
        <v> </v>
      </c>
      <c r="I1519" s="205" t="str">
        <f t="shared" si="7"/>
        <v/>
      </c>
      <c r="J1519" s="205"/>
      <c r="K1519" s="205"/>
    </row>
    <row r="1520" ht="14.25" customHeight="1">
      <c r="A1520" s="55">
        <v>47175.0</v>
      </c>
      <c r="B1520" s="55" t="str">
        <f t="shared" si="10"/>
        <v>Primer dia</v>
      </c>
      <c r="C1520" s="202">
        <f t="shared" si="1"/>
        <v>26</v>
      </c>
      <c r="D1520" s="202" t="str">
        <f t="shared" si="2"/>
        <v> </v>
      </c>
      <c r="E1520" s="202" t="str">
        <f t="shared" si="9"/>
        <v> </v>
      </c>
      <c r="F1520" s="55" t="str">
        <f t="shared" si="4"/>
        <v/>
      </c>
      <c r="G1520" s="202" t="str">
        <f t="shared" si="5"/>
        <v/>
      </c>
      <c r="H1520" s="202" t="str">
        <f t="shared" si="11"/>
        <v> </v>
      </c>
      <c r="I1520" s="205" t="str">
        <f t="shared" si="7"/>
        <v/>
      </c>
      <c r="J1520" s="205"/>
      <c r="K1520" s="205"/>
    </row>
    <row r="1521" ht="14.25" customHeight="1">
      <c r="A1521" s="55">
        <v>47176.0</v>
      </c>
      <c r="B1521" s="55" t="str">
        <f t="shared" si="10"/>
        <v>Primer dia</v>
      </c>
      <c r="C1521" s="202">
        <f t="shared" si="1"/>
        <v>27</v>
      </c>
      <c r="D1521" s="202" t="str">
        <f t="shared" si="2"/>
        <v> </v>
      </c>
      <c r="E1521" s="202" t="str">
        <f t="shared" si="9"/>
        <v> </v>
      </c>
      <c r="F1521" s="55" t="str">
        <f t="shared" si="4"/>
        <v/>
      </c>
      <c r="G1521" s="202" t="str">
        <f t="shared" si="5"/>
        <v/>
      </c>
      <c r="H1521" s="202" t="str">
        <f t="shared" si="11"/>
        <v> </v>
      </c>
      <c r="I1521" s="205" t="str">
        <f t="shared" si="7"/>
        <v/>
      </c>
      <c r="J1521" s="205"/>
      <c r="K1521" s="205"/>
    </row>
    <row r="1522" ht="14.25" customHeight="1">
      <c r="A1522" s="55">
        <v>47177.0</v>
      </c>
      <c r="B1522" s="55" t="str">
        <f t="shared" si="10"/>
        <v>Primer dia</v>
      </c>
      <c r="C1522" s="202">
        <f t="shared" si="1"/>
        <v>28</v>
      </c>
      <c r="D1522" s="202" t="str">
        <f t="shared" si="2"/>
        <v> </v>
      </c>
      <c r="E1522" s="202" t="str">
        <f t="shared" si="9"/>
        <v> </v>
      </c>
      <c r="F1522" s="55" t="str">
        <f t="shared" si="4"/>
        <v/>
      </c>
      <c r="G1522" s="202" t="str">
        <f t="shared" si="5"/>
        <v/>
      </c>
      <c r="H1522" s="202" t="str">
        <f t="shared" si="11"/>
        <v> </v>
      </c>
      <c r="I1522" s="205" t="str">
        <f t="shared" si="7"/>
        <v/>
      </c>
      <c r="J1522" s="205"/>
      <c r="K1522" s="205"/>
    </row>
    <row r="1523" ht="14.25" customHeight="1">
      <c r="A1523" s="55">
        <v>47178.0</v>
      </c>
      <c r="B1523" s="55" t="str">
        <f t="shared" si="10"/>
        <v>Primer dia</v>
      </c>
      <c r="C1523" s="202">
        <f t="shared" si="1"/>
        <v>1</v>
      </c>
      <c r="D1523" s="202" t="str">
        <f t="shared" si="2"/>
        <v> </v>
      </c>
      <c r="E1523" s="202" t="str">
        <f t="shared" si="9"/>
        <v> </v>
      </c>
      <c r="F1523" s="55" t="str">
        <f t="shared" si="4"/>
        <v/>
      </c>
      <c r="G1523" s="202" t="str">
        <f t="shared" si="5"/>
        <v/>
      </c>
      <c r="H1523" s="202" t="str">
        <f t="shared" si="11"/>
        <v> </v>
      </c>
      <c r="I1523" s="205" t="str">
        <f t="shared" si="7"/>
        <v/>
      </c>
      <c r="J1523" s="205"/>
      <c r="K1523" s="205"/>
    </row>
    <row r="1524" ht="14.25" customHeight="1">
      <c r="A1524" s="55">
        <v>47179.0</v>
      </c>
      <c r="B1524" s="55" t="str">
        <f t="shared" si="10"/>
        <v>Primer dia</v>
      </c>
      <c r="C1524" s="202">
        <f t="shared" si="1"/>
        <v>2</v>
      </c>
      <c r="D1524" s="202" t="str">
        <f t="shared" si="2"/>
        <v> </v>
      </c>
      <c r="E1524" s="202">
        <f t="shared" si="9"/>
        <v>2</v>
      </c>
      <c r="F1524" s="55">
        <f t="shared" si="4"/>
        <v>47179</v>
      </c>
      <c r="G1524" s="202">
        <f t="shared" si="5"/>
        <v>75</v>
      </c>
      <c r="H1524" s="202" t="str">
        <f t="shared" si="11"/>
        <v> </v>
      </c>
      <c r="I1524" s="205" t="str">
        <f t="shared" si="7"/>
        <v/>
      </c>
      <c r="J1524" s="205"/>
      <c r="K1524" s="205"/>
    </row>
    <row r="1525" ht="14.25" customHeight="1">
      <c r="A1525" s="55">
        <v>47180.0</v>
      </c>
      <c r="B1525" s="55" t="str">
        <f t="shared" si="10"/>
        <v>Primer dia</v>
      </c>
      <c r="C1525" s="202">
        <f t="shared" si="1"/>
        <v>3</v>
      </c>
      <c r="D1525" s="202" t="str">
        <f t="shared" si="2"/>
        <v> </v>
      </c>
      <c r="E1525" s="202" t="str">
        <f t="shared" si="9"/>
        <v> </v>
      </c>
      <c r="F1525" s="55" t="str">
        <f t="shared" si="4"/>
        <v/>
      </c>
      <c r="G1525" s="202" t="str">
        <f t="shared" si="5"/>
        <v/>
      </c>
      <c r="H1525" s="202" t="str">
        <f t="shared" si="11"/>
        <v> </v>
      </c>
      <c r="I1525" s="205" t="str">
        <f t="shared" si="7"/>
        <v/>
      </c>
      <c r="J1525" s="205"/>
      <c r="K1525" s="205"/>
    </row>
    <row r="1526" ht="14.25" customHeight="1">
      <c r="A1526" s="55">
        <v>47181.0</v>
      </c>
      <c r="B1526" s="55" t="str">
        <f t="shared" si="10"/>
        <v>Primer dia</v>
      </c>
      <c r="C1526" s="202">
        <f t="shared" si="1"/>
        <v>4</v>
      </c>
      <c r="D1526" s="202" t="str">
        <f t="shared" si="2"/>
        <v> </v>
      </c>
      <c r="E1526" s="202" t="str">
        <f t="shared" si="9"/>
        <v> </v>
      </c>
      <c r="F1526" s="55" t="str">
        <f t="shared" si="4"/>
        <v/>
      </c>
      <c r="G1526" s="202" t="str">
        <f t="shared" si="5"/>
        <v/>
      </c>
      <c r="H1526" s="202" t="str">
        <f t="shared" si="11"/>
        <v> </v>
      </c>
      <c r="I1526" s="205" t="str">
        <f t="shared" si="7"/>
        <v/>
      </c>
      <c r="J1526" s="205"/>
      <c r="K1526" s="205"/>
    </row>
    <row r="1527" ht="14.25" customHeight="1">
      <c r="A1527" s="55">
        <v>47182.0</v>
      </c>
      <c r="B1527" s="55" t="str">
        <f t="shared" si="10"/>
        <v>Primer dia</v>
      </c>
      <c r="C1527" s="202">
        <f t="shared" si="1"/>
        <v>5</v>
      </c>
      <c r="D1527" s="202" t="str">
        <f t="shared" si="2"/>
        <v> </v>
      </c>
      <c r="E1527" s="202" t="str">
        <f t="shared" si="9"/>
        <v> </v>
      </c>
      <c r="F1527" s="55" t="str">
        <f t="shared" si="4"/>
        <v/>
      </c>
      <c r="G1527" s="202" t="str">
        <f t="shared" si="5"/>
        <v/>
      </c>
      <c r="H1527" s="202" t="str">
        <f t="shared" si="11"/>
        <v> </v>
      </c>
      <c r="I1527" s="205" t="str">
        <f t="shared" si="7"/>
        <v/>
      </c>
      <c r="J1527" s="205"/>
      <c r="K1527" s="205"/>
    </row>
    <row r="1528" ht="14.25" customHeight="1">
      <c r="A1528" s="55">
        <v>47183.0</v>
      </c>
      <c r="B1528" s="55" t="str">
        <f t="shared" si="10"/>
        <v>Primer dia</v>
      </c>
      <c r="C1528" s="202">
        <f t="shared" si="1"/>
        <v>6</v>
      </c>
      <c r="D1528" s="202" t="str">
        <f t="shared" si="2"/>
        <v> </v>
      </c>
      <c r="E1528" s="202" t="str">
        <f t="shared" si="9"/>
        <v> </v>
      </c>
      <c r="F1528" s="55" t="str">
        <f t="shared" si="4"/>
        <v/>
      </c>
      <c r="G1528" s="202" t="str">
        <f t="shared" si="5"/>
        <v/>
      </c>
      <c r="H1528" s="202" t="str">
        <f t="shared" si="11"/>
        <v> </v>
      </c>
      <c r="I1528" s="205" t="str">
        <f t="shared" si="7"/>
        <v/>
      </c>
      <c r="J1528" s="205"/>
      <c r="K1528" s="205"/>
    </row>
    <row r="1529" ht="14.25" customHeight="1">
      <c r="A1529" s="55">
        <v>47184.0</v>
      </c>
      <c r="B1529" s="55" t="str">
        <f t="shared" si="10"/>
        <v>Primer dia</v>
      </c>
      <c r="C1529" s="202">
        <f t="shared" si="1"/>
        <v>7</v>
      </c>
      <c r="D1529" s="202" t="str">
        <f t="shared" si="2"/>
        <v> </v>
      </c>
      <c r="E1529" s="202" t="str">
        <f t="shared" si="9"/>
        <v> </v>
      </c>
      <c r="F1529" s="55" t="str">
        <f t="shared" si="4"/>
        <v/>
      </c>
      <c r="G1529" s="202" t="str">
        <f t="shared" si="5"/>
        <v/>
      </c>
      <c r="H1529" s="202" t="str">
        <f t="shared" si="11"/>
        <v> </v>
      </c>
      <c r="I1529" s="205" t="str">
        <f t="shared" si="7"/>
        <v/>
      </c>
      <c r="J1529" s="205"/>
      <c r="K1529" s="205"/>
    </row>
    <row r="1530" ht="14.25" customHeight="1">
      <c r="A1530" s="55">
        <v>47185.0</v>
      </c>
      <c r="B1530" s="55" t="str">
        <f t="shared" si="10"/>
        <v>Primer dia</v>
      </c>
      <c r="C1530" s="202">
        <f t="shared" si="1"/>
        <v>8</v>
      </c>
      <c r="D1530" s="202" t="str">
        <f t="shared" si="2"/>
        <v> </v>
      </c>
      <c r="E1530" s="202" t="str">
        <f t="shared" si="9"/>
        <v> </v>
      </c>
      <c r="F1530" s="55" t="str">
        <f t="shared" si="4"/>
        <v/>
      </c>
      <c r="G1530" s="202" t="str">
        <f t="shared" si="5"/>
        <v/>
      </c>
      <c r="H1530" s="202" t="str">
        <f t="shared" si="11"/>
        <v> </v>
      </c>
      <c r="I1530" s="205" t="str">
        <f t="shared" si="7"/>
        <v/>
      </c>
      <c r="J1530" s="205"/>
      <c r="K1530" s="205"/>
    </row>
    <row r="1531" ht="14.25" customHeight="1">
      <c r="A1531" s="55">
        <v>47186.0</v>
      </c>
      <c r="B1531" s="55" t="str">
        <f t="shared" si="10"/>
        <v>Primer dia</v>
      </c>
      <c r="C1531" s="202">
        <f t="shared" si="1"/>
        <v>9</v>
      </c>
      <c r="D1531" s="202" t="str">
        <f t="shared" si="2"/>
        <v> </v>
      </c>
      <c r="E1531" s="202" t="str">
        <f t="shared" si="9"/>
        <v> </v>
      </c>
      <c r="F1531" s="55" t="str">
        <f t="shared" si="4"/>
        <v/>
      </c>
      <c r="G1531" s="202" t="str">
        <f t="shared" si="5"/>
        <v/>
      </c>
      <c r="H1531" s="202" t="str">
        <f t="shared" si="11"/>
        <v> </v>
      </c>
      <c r="I1531" s="205" t="str">
        <f t="shared" si="7"/>
        <v/>
      </c>
      <c r="J1531" s="205"/>
      <c r="K1531" s="205"/>
    </row>
    <row r="1532" ht="14.25" customHeight="1">
      <c r="A1532" s="55">
        <v>47187.0</v>
      </c>
      <c r="B1532" s="55" t="str">
        <f t="shared" si="10"/>
        <v>Primer dia</v>
      </c>
      <c r="C1532" s="202">
        <f t="shared" si="1"/>
        <v>10</v>
      </c>
      <c r="D1532" s="202" t="str">
        <f t="shared" si="2"/>
        <v> </v>
      </c>
      <c r="E1532" s="202" t="str">
        <f t="shared" si="9"/>
        <v> </v>
      </c>
      <c r="F1532" s="55" t="str">
        <f t="shared" si="4"/>
        <v/>
      </c>
      <c r="G1532" s="202" t="str">
        <f t="shared" si="5"/>
        <v/>
      </c>
      <c r="H1532" s="202" t="str">
        <f t="shared" si="11"/>
        <v> </v>
      </c>
      <c r="I1532" s="205" t="str">
        <f t="shared" si="7"/>
        <v/>
      </c>
      <c r="J1532" s="205"/>
      <c r="K1532" s="205"/>
    </row>
    <row r="1533" ht="14.25" customHeight="1">
      <c r="A1533" s="55">
        <v>47188.0</v>
      </c>
      <c r="B1533" s="55" t="str">
        <f t="shared" si="10"/>
        <v>Primer dia</v>
      </c>
      <c r="C1533" s="202">
        <f t="shared" si="1"/>
        <v>11</v>
      </c>
      <c r="D1533" s="202" t="str">
        <f t="shared" si="2"/>
        <v> </v>
      </c>
      <c r="E1533" s="202" t="str">
        <f t="shared" si="9"/>
        <v> </v>
      </c>
      <c r="F1533" s="55" t="str">
        <f t="shared" si="4"/>
        <v/>
      </c>
      <c r="G1533" s="202" t="str">
        <f t="shared" si="5"/>
        <v/>
      </c>
      <c r="H1533" s="202" t="str">
        <f t="shared" si="11"/>
        <v> </v>
      </c>
      <c r="I1533" s="205" t="str">
        <f t="shared" si="7"/>
        <v/>
      </c>
      <c r="J1533" s="205"/>
      <c r="K1533" s="205"/>
    </row>
    <row r="1534" ht="14.25" customHeight="1">
      <c r="A1534" s="55">
        <v>47189.0</v>
      </c>
      <c r="B1534" s="55" t="str">
        <f t="shared" si="10"/>
        <v>Primer dia</v>
      </c>
      <c r="C1534" s="202">
        <f t="shared" si="1"/>
        <v>12</v>
      </c>
      <c r="D1534" s="202" t="str">
        <f t="shared" si="2"/>
        <v> </v>
      </c>
      <c r="E1534" s="202" t="str">
        <f t="shared" si="9"/>
        <v> </v>
      </c>
      <c r="F1534" s="55" t="str">
        <f t="shared" si="4"/>
        <v/>
      </c>
      <c r="G1534" s="202" t="str">
        <f t="shared" si="5"/>
        <v/>
      </c>
      <c r="H1534" s="202" t="str">
        <f t="shared" si="11"/>
        <v> </v>
      </c>
      <c r="I1534" s="205" t="str">
        <f t="shared" si="7"/>
        <v/>
      </c>
      <c r="J1534" s="205"/>
      <c r="K1534" s="205"/>
    </row>
    <row r="1535" ht="14.25" customHeight="1">
      <c r="A1535" s="55">
        <v>47190.0</v>
      </c>
      <c r="B1535" s="55" t="str">
        <f t="shared" si="10"/>
        <v>Primer dia</v>
      </c>
      <c r="C1535" s="202">
        <f t="shared" si="1"/>
        <v>13</v>
      </c>
      <c r="D1535" s="202" t="str">
        <f t="shared" si="2"/>
        <v> </v>
      </c>
      <c r="E1535" s="202" t="str">
        <f t="shared" si="9"/>
        <v> </v>
      </c>
      <c r="F1535" s="55" t="str">
        <f t="shared" si="4"/>
        <v/>
      </c>
      <c r="G1535" s="202" t="str">
        <f t="shared" si="5"/>
        <v/>
      </c>
      <c r="H1535" s="202" t="str">
        <f t="shared" si="11"/>
        <v> </v>
      </c>
      <c r="I1535" s="205" t="str">
        <f t="shared" si="7"/>
        <v/>
      </c>
      <c r="J1535" s="205"/>
      <c r="K1535" s="205"/>
    </row>
    <row r="1536" ht="14.25" customHeight="1">
      <c r="A1536" s="55">
        <v>47191.0</v>
      </c>
      <c r="B1536" s="55" t="str">
        <f t="shared" si="10"/>
        <v>Primer dia</v>
      </c>
      <c r="C1536" s="202">
        <f t="shared" si="1"/>
        <v>14</v>
      </c>
      <c r="D1536" s="202" t="str">
        <f t="shared" si="2"/>
        <v> </v>
      </c>
      <c r="E1536" s="202" t="str">
        <f t="shared" si="9"/>
        <v> </v>
      </c>
      <c r="F1536" s="55" t="str">
        <f t="shared" si="4"/>
        <v/>
      </c>
      <c r="G1536" s="202" t="str">
        <f t="shared" si="5"/>
        <v/>
      </c>
      <c r="H1536" s="202" t="str">
        <f t="shared" si="11"/>
        <v> </v>
      </c>
      <c r="I1536" s="205" t="str">
        <f t="shared" si="7"/>
        <v/>
      </c>
      <c r="J1536" s="205"/>
      <c r="K1536" s="205"/>
    </row>
    <row r="1537" ht="14.25" customHeight="1">
      <c r="A1537" s="55">
        <v>47192.0</v>
      </c>
      <c r="B1537" s="55" t="str">
        <f t="shared" si="10"/>
        <v>Primer dia</v>
      </c>
      <c r="C1537" s="202">
        <f t="shared" si="1"/>
        <v>15</v>
      </c>
      <c r="D1537" s="202" t="str">
        <f t="shared" si="2"/>
        <v> </v>
      </c>
      <c r="E1537" s="202" t="str">
        <f t="shared" si="9"/>
        <v> </v>
      </c>
      <c r="F1537" s="55" t="str">
        <f t="shared" si="4"/>
        <v/>
      </c>
      <c r="G1537" s="202" t="str">
        <f t="shared" si="5"/>
        <v/>
      </c>
      <c r="H1537" s="202" t="str">
        <f t="shared" si="11"/>
        <v> </v>
      </c>
      <c r="I1537" s="205" t="str">
        <f t="shared" si="7"/>
        <v/>
      </c>
      <c r="J1537" s="205"/>
      <c r="K1537" s="205"/>
    </row>
    <row r="1538" ht="14.25" customHeight="1">
      <c r="A1538" s="55">
        <v>47193.0</v>
      </c>
      <c r="B1538" s="55" t="str">
        <f t="shared" si="10"/>
        <v>Primer dia</v>
      </c>
      <c r="C1538" s="202">
        <f t="shared" si="1"/>
        <v>16</v>
      </c>
      <c r="D1538" s="202" t="str">
        <f t="shared" si="2"/>
        <v> </v>
      </c>
      <c r="E1538" s="202" t="str">
        <f t="shared" si="9"/>
        <v> </v>
      </c>
      <c r="F1538" s="55" t="str">
        <f t="shared" si="4"/>
        <v/>
      </c>
      <c r="G1538" s="202" t="str">
        <f t="shared" si="5"/>
        <v/>
      </c>
      <c r="H1538" s="202" t="str">
        <f t="shared" si="11"/>
        <v> </v>
      </c>
      <c r="I1538" s="205" t="str">
        <f t="shared" si="7"/>
        <v/>
      </c>
      <c r="J1538" s="205"/>
      <c r="K1538" s="205"/>
    </row>
    <row r="1539" ht="14.25" customHeight="1">
      <c r="A1539" s="55">
        <v>47194.0</v>
      </c>
      <c r="B1539" s="55" t="str">
        <f t="shared" si="10"/>
        <v>Primer dia</v>
      </c>
      <c r="C1539" s="202">
        <f t="shared" si="1"/>
        <v>17</v>
      </c>
      <c r="D1539" s="202" t="str">
        <f t="shared" si="2"/>
        <v> </v>
      </c>
      <c r="E1539" s="202">
        <f t="shared" si="9"/>
        <v>17</v>
      </c>
      <c r="F1539" s="55">
        <f t="shared" si="4"/>
        <v>47194</v>
      </c>
      <c r="G1539" s="202">
        <f t="shared" si="5"/>
        <v>76</v>
      </c>
      <c r="H1539" s="202" t="str">
        <f t="shared" si="11"/>
        <v> </v>
      </c>
      <c r="I1539" s="205" t="str">
        <f t="shared" si="7"/>
        <v/>
      </c>
      <c r="J1539" s="205"/>
      <c r="K1539" s="205"/>
    </row>
    <row r="1540" ht="14.25" customHeight="1">
      <c r="A1540" s="55">
        <v>47195.0</v>
      </c>
      <c r="B1540" s="55" t="str">
        <f t="shared" si="10"/>
        <v>Primer dia</v>
      </c>
      <c r="C1540" s="202">
        <f t="shared" si="1"/>
        <v>18</v>
      </c>
      <c r="D1540" s="202" t="str">
        <f t="shared" si="2"/>
        <v> </v>
      </c>
      <c r="E1540" s="202" t="str">
        <f t="shared" si="9"/>
        <v> </v>
      </c>
      <c r="F1540" s="55" t="str">
        <f t="shared" si="4"/>
        <v/>
      </c>
      <c r="G1540" s="202" t="str">
        <f t="shared" si="5"/>
        <v/>
      </c>
      <c r="H1540" s="202" t="str">
        <f t="shared" si="11"/>
        <v> </v>
      </c>
      <c r="I1540" s="205" t="str">
        <f t="shared" si="7"/>
        <v/>
      </c>
      <c r="J1540" s="205"/>
      <c r="K1540" s="205"/>
    </row>
    <row r="1541" ht="14.25" customHeight="1">
      <c r="A1541" s="55">
        <v>47196.0</v>
      </c>
      <c r="B1541" s="55" t="str">
        <f t="shared" si="10"/>
        <v>Primer dia</v>
      </c>
      <c r="C1541" s="202">
        <f t="shared" si="1"/>
        <v>19</v>
      </c>
      <c r="D1541" s="202" t="str">
        <f t="shared" si="2"/>
        <v> </v>
      </c>
      <c r="E1541" s="202" t="str">
        <f t="shared" si="9"/>
        <v> </v>
      </c>
      <c r="F1541" s="55" t="str">
        <f t="shared" si="4"/>
        <v/>
      </c>
      <c r="G1541" s="202" t="str">
        <f t="shared" si="5"/>
        <v/>
      </c>
      <c r="H1541" s="202" t="str">
        <f t="shared" si="11"/>
        <v> </v>
      </c>
      <c r="I1541" s="205" t="str">
        <f t="shared" si="7"/>
        <v/>
      </c>
      <c r="J1541" s="205"/>
      <c r="K1541" s="205"/>
    </row>
    <row r="1542" ht="14.25" customHeight="1">
      <c r="A1542" s="55">
        <v>47197.0</v>
      </c>
      <c r="B1542" s="55" t="str">
        <f t="shared" si="10"/>
        <v>Primer dia</v>
      </c>
      <c r="C1542" s="202">
        <f t="shared" si="1"/>
        <v>20</v>
      </c>
      <c r="D1542" s="202" t="str">
        <f t="shared" si="2"/>
        <v> </v>
      </c>
      <c r="E1542" s="202" t="str">
        <f t="shared" si="9"/>
        <v> </v>
      </c>
      <c r="F1542" s="55" t="str">
        <f t="shared" si="4"/>
        <v/>
      </c>
      <c r="G1542" s="202" t="str">
        <f t="shared" si="5"/>
        <v/>
      </c>
      <c r="H1542" s="202" t="str">
        <f t="shared" si="11"/>
        <v> </v>
      </c>
      <c r="I1542" s="205" t="str">
        <f t="shared" si="7"/>
        <v/>
      </c>
      <c r="J1542" s="205"/>
      <c r="K1542" s="205"/>
    </row>
    <row r="1543" ht="14.25" customHeight="1">
      <c r="A1543" s="55">
        <v>47198.0</v>
      </c>
      <c r="B1543" s="55" t="str">
        <f t="shared" si="10"/>
        <v>Primer dia</v>
      </c>
      <c r="C1543" s="202">
        <f t="shared" si="1"/>
        <v>21</v>
      </c>
      <c r="D1543" s="202" t="str">
        <f t="shared" si="2"/>
        <v> </v>
      </c>
      <c r="E1543" s="202" t="str">
        <f t="shared" si="9"/>
        <v> </v>
      </c>
      <c r="F1543" s="55" t="str">
        <f t="shared" si="4"/>
        <v/>
      </c>
      <c r="G1543" s="202" t="str">
        <f t="shared" si="5"/>
        <v/>
      </c>
      <c r="H1543" s="202" t="str">
        <f t="shared" si="11"/>
        <v> </v>
      </c>
      <c r="I1543" s="205" t="str">
        <f t="shared" si="7"/>
        <v/>
      </c>
      <c r="J1543" s="205"/>
      <c r="K1543" s="205"/>
    </row>
    <row r="1544" ht="14.25" customHeight="1">
      <c r="A1544" s="55">
        <v>47199.0</v>
      </c>
      <c r="B1544" s="55" t="str">
        <f t="shared" si="10"/>
        <v>Primer dia</v>
      </c>
      <c r="C1544" s="202">
        <f t="shared" si="1"/>
        <v>22</v>
      </c>
      <c r="D1544" s="202" t="str">
        <f t="shared" si="2"/>
        <v> </v>
      </c>
      <c r="E1544" s="202" t="str">
        <f t="shared" si="9"/>
        <v> </v>
      </c>
      <c r="F1544" s="55" t="str">
        <f t="shared" si="4"/>
        <v/>
      </c>
      <c r="G1544" s="202" t="str">
        <f t="shared" si="5"/>
        <v/>
      </c>
      <c r="H1544" s="202" t="str">
        <f t="shared" si="11"/>
        <v> </v>
      </c>
      <c r="I1544" s="205" t="str">
        <f t="shared" si="7"/>
        <v/>
      </c>
      <c r="J1544" s="205"/>
      <c r="K1544" s="205"/>
    </row>
    <row r="1545" ht="14.25" customHeight="1">
      <c r="A1545" s="55">
        <v>47200.0</v>
      </c>
      <c r="B1545" s="55" t="str">
        <f t="shared" si="10"/>
        <v>Primer dia</v>
      </c>
      <c r="C1545" s="202">
        <f t="shared" si="1"/>
        <v>23</v>
      </c>
      <c r="D1545" s="202" t="str">
        <f t="shared" si="2"/>
        <v> </v>
      </c>
      <c r="E1545" s="202" t="str">
        <f t="shared" si="9"/>
        <v> </v>
      </c>
      <c r="F1545" s="55" t="str">
        <f t="shared" si="4"/>
        <v/>
      </c>
      <c r="G1545" s="202" t="str">
        <f t="shared" si="5"/>
        <v/>
      </c>
      <c r="H1545" s="202" t="str">
        <f t="shared" si="11"/>
        <v> </v>
      </c>
      <c r="I1545" s="205" t="str">
        <f t="shared" si="7"/>
        <v/>
      </c>
      <c r="J1545" s="205"/>
      <c r="K1545" s="205"/>
    </row>
    <row r="1546" ht="14.25" customHeight="1">
      <c r="A1546" s="55">
        <v>47201.0</v>
      </c>
      <c r="B1546" s="55" t="str">
        <f t="shared" si="10"/>
        <v>Primer dia</v>
      </c>
      <c r="C1546" s="202">
        <f t="shared" si="1"/>
        <v>24</v>
      </c>
      <c r="D1546" s="202" t="str">
        <f t="shared" si="2"/>
        <v> </v>
      </c>
      <c r="E1546" s="202" t="str">
        <f t="shared" si="9"/>
        <v> </v>
      </c>
      <c r="F1546" s="55" t="str">
        <f t="shared" si="4"/>
        <v/>
      </c>
      <c r="G1546" s="202" t="str">
        <f t="shared" si="5"/>
        <v/>
      </c>
      <c r="H1546" s="202" t="str">
        <f t="shared" si="11"/>
        <v> </v>
      </c>
      <c r="I1546" s="205" t="str">
        <f t="shared" si="7"/>
        <v/>
      </c>
      <c r="J1546" s="205"/>
      <c r="K1546" s="205"/>
    </row>
    <row r="1547" ht="14.25" customHeight="1">
      <c r="A1547" s="55">
        <v>47202.0</v>
      </c>
      <c r="B1547" s="55" t="str">
        <f t="shared" si="10"/>
        <v>Primer dia</v>
      </c>
      <c r="C1547" s="202">
        <f t="shared" si="1"/>
        <v>25</v>
      </c>
      <c r="D1547" s="202" t="str">
        <f t="shared" si="2"/>
        <v> </v>
      </c>
      <c r="E1547" s="202" t="str">
        <f t="shared" si="9"/>
        <v> </v>
      </c>
      <c r="F1547" s="55" t="str">
        <f t="shared" si="4"/>
        <v/>
      </c>
      <c r="G1547" s="202" t="str">
        <f t="shared" si="5"/>
        <v/>
      </c>
      <c r="H1547" s="202" t="str">
        <f t="shared" si="11"/>
        <v> </v>
      </c>
      <c r="I1547" s="205" t="str">
        <f t="shared" si="7"/>
        <v/>
      </c>
      <c r="J1547" s="205"/>
      <c r="K1547" s="205"/>
    </row>
    <row r="1548" ht="14.25" customHeight="1">
      <c r="A1548" s="55">
        <v>47203.0</v>
      </c>
      <c r="B1548" s="55" t="str">
        <f t="shared" si="10"/>
        <v>Primer dia</v>
      </c>
      <c r="C1548" s="202">
        <f t="shared" si="1"/>
        <v>26</v>
      </c>
      <c r="D1548" s="202" t="str">
        <f t="shared" si="2"/>
        <v> </v>
      </c>
      <c r="E1548" s="202" t="str">
        <f t="shared" si="9"/>
        <v> </v>
      </c>
      <c r="F1548" s="55" t="str">
        <f t="shared" si="4"/>
        <v/>
      </c>
      <c r="G1548" s="202" t="str">
        <f t="shared" si="5"/>
        <v/>
      </c>
      <c r="H1548" s="202" t="str">
        <f t="shared" si="11"/>
        <v> </v>
      </c>
      <c r="I1548" s="205" t="str">
        <f t="shared" si="7"/>
        <v/>
      </c>
      <c r="J1548" s="205"/>
      <c r="K1548" s="205"/>
    </row>
    <row r="1549" ht="14.25" customHeight="1">
      <c r="A1549" s="55">
        <v>47204.0</v>
      </c>
      <c r="B1549" s="55" t="str">
        <f t="shared" si="10"/>
        <v>Primer dia</v>
      </c>
      <c r="C1549" s="202">
        <f t="shared" si="1"/>
        <v>27</v>
      </c>
      <c r="D1549" s="202" t="str">
        <f t="shared" si="2"/>
        <v> </v>
      </c>
      <c r="E1549" s="202" t="str">
        <f t="shared" si="9"/>
        <v> </v>
      </c>
      <c r="F1549" s="55" t="str">
        <f t="shared" si="4"/>
        <v/>
      </c>
      <c r="G1549" s="202" t="str">
        <f t="shared" si="5"/>
        <v/>
      </c>
      <c r="H1549" s="202" t="str">
        <f t="shared" si="11"/>
        <v> </v>
      </c>
      <c r="I1549" s="205" t="str">
        <f t="shared" si="7"/>
        <v/>
      </c>
      <c r="J1549" s="205"/>
      <c r="K1549" s="205"/>
    </row>
    <row r="1550" ht="14.25" customHeight="1">
      <c r="A1550" s="55">
        <v>47205.0</v>
      </c>
      <c r="B1550" s="55" t="str">
        <f t="shared" si="10"/>
        <v>Primer dia</v>
      </c>
      <c r="C1550" s="202">
        <f t="shared" si="1"/>
        <v>28</v>
      </c>
      <c r="D1550" s="202" t="str">
        <f t="shared" si="2"/>
        <v> </v>
      </c>
      <c r="E1550" s="202" t="str">
        <f t="shared" si="9"/>
        <v> </v>
      </c>
      <c r="F1550" s="55" t="str">
        <f t="shared" si="4"/>
        <v/>
      </c>
      <c r="G1550" s="202" t="str">
        <f t="shared" si="5"/>
        <v/>
      </c>
      <c r="H1550" s="202" t="str">
        <f t="shared" si="11"/>
        <v> </v>
      </c>
      <c r="I1550" s="205" t="str">
        <f t="shared" si="7"/>
        <v/>
      </c>
      <c r="J1550" s="205"/>
      <c r="K1550" s="205"/>
    </row>
    <row r="1551" ht="14.25" customHeight="1">
      <c r="A1551" s="55">
        <v>47206.0</v>
      </c>
      <c r="B1551" s="55" t="str">
        <f t="shared" si="10"/>
        <v>Primer dia</v>
      </c>
      <c r="C1551" s="202">
        <f t="shared" si="1"/>
        <v>29</v>
      </c>
      <c r="D1551" s="202" t="str">
        <f t="shared" si="2"/>
        <v> </v>
      </c>
      <c r="E1551" s="202" t="str">
        <f t="shared" si="9"/>
        <v> </v>
      </c>
      <c r="F1551" s="55" t="str">
        <f t="shared" si="4"/>
        <v/>
      </c>
      <c r="G1551" s="202" t="str">
        <f t="shared" si="5"/>
        <v/>
      </c>
      <c r="H1551" s="202" t="str">
        <f t="shared" si="11"/>
        <v> </v>
      </c>
      <c r="I1551" s="205" t="str">
        <f t="shared" si="7"/>
        <v/>
      </c>
      <c r="J1551" s="205"/>
      <c r="K1551" s="205"/>
    </row>
    <row r="1552" ht="14.25" customHeight="1">
      <c r="A1552" s="55">
        <v>47207.0</v>
      </c>
      <c r="B1552" s="55" t="str">
        <f t="shared" si="10"/>
        <v>Primer dia</v>
      </c>
      <c r="C1552" s="202">
        <f t="shared" si="1"/>
        <v>30</v>
      </c>
      <c r="D1552" s="202" t="str">
        <f t="shared" si="2"/>
        <v> </v>
      </c>
      <c r="E1552" s="202" t="str">
        <f t="shared" si="9"/>
        <v> </v>
      </c>
      <c r="F1552" s="55" t="str">
        <f t="shared" si="4"/>
        <v/>
      </c>
      <c r="G1552" s="202" t="str">
        <f t="shared" si="5"/>
        <v/>
      </c>
      <c r="H1552" s="202" t="str">
        <f t="shared" si="11"/>
        <v> </v>
      </c>
      <c r="I1552" s="205" t="str">
        <f t="shared" si="7"/>
        <v/>
      </c>
      <c r="J1552" s="205"/>
      <c r="K1552" s="205"/>
    </row>
    <row r="1553" ht="14.25" customHeight="1">
      <c r="A1553" s="55">
        <v>47208.0</v>
      </c>
      <c r="B1553" s="55" t="str">
        <f t="shared" si="10"/>
        <v>Primer dia</v>
      </c>
      <c r="C1553" s="202">
        <f t="shared" si="1"/>
        <v>31</v>
      </c>
      <c r="D1553" s="202" t="str">
        <f t="shared" si="2"/>
        <v> </v>
      </c>
      <c r="E1553" s="202" t="str">
        <f t="shared" si="9"/>
        <v> </v>
      </c>
      <c r="F1553" s="55" t="str">
        <f t="shared" si="4"/>
        <v/>
      </c>
      <c r="G1553" s="202" t="str">
        <f t="shared" si="5"/>
        <v/>
      </c>
      <c r="H1553" s="202" t="str">
        <f t="shared" si="11"/>
        <v> </v>
      </c>
      <c r="I1553" s="205" t="str">
        <f t="shared" si="7"/>
        <v/>
      </c>
      <c r="J1553" s="205"/>
      <c r="K1553" s="205"/>
    </row>
    <row r="1554" ht="14.25" customHeight="1">
      <c r="A1554" s="55">
        <v>47209.0</v>
      </c>
      <c r="B1554" s="55" t="str">
        <f t="shared" si="10"/>
        <v>Primer dia</v>
      </c>
      <c r="C1554" s="202">
        <f t="shared" si="1"/>
        <v>1</v>
      </c>
      <c r="D1554" s="202" t="str">
        <f t="shared" si="2"/>
        <v> </v>
      </c>
      <c r="E1554" s="202" t="str">
        <f t="shared" si="9"/>
        <v> </v>
      </c>
      <c r="F1554" s="55" t="str">
        <f t="shared" si="4"/>
        <v/>
      </c>
      <c r="G1554" s="202" t="str">
        <f t="shared" si="5"/>
        <v/>
      </c>
      <c r="H1554" s="202" t="str">
        <f t="shared" si="11"/>
        <v> </v>
      </c>
      <c r="I1554" s="205" t="str">
        <f t="shared" si="7"/>
        <v/>
      </c>
      <c r="J1554" s="205"/>
      <c r="K1554" s="205"/>
    </row>
    <row r="1555" ht="14.25" customHeight="1">
      <c r="A1555" s="55">
        <v>47210.0</v>
      </c>
      <c r="B1555" s="55" t="str">
        <f t="shared" si="10"/>
        <v>Primer dia</v>
      </c>
      <c r="C1555" s="202">
        <f t="shared" si="1"/>
        <v>2</v>
      </c>
      <c r="D1555" s="202" t="str">
        <f t="shared" si="2"/>
        <v> </v>
      </c>
      <c r="E1555" s="202">
        <f t="shared" si="9"/>
        <v>2</v>
      </c>
      <c r="F1555" s="55">
        <f t="shared" si="4"/>
        <v>47210</v>
      </c>
      <c r="G1555" s="202">
        <f t="shared" si="5"/>
        <v>77</v>
      </c>
      <c r="H1555" s="202" t="str">
        <f t="shared" si="11"/>
        <v> </v>
      </c>
      <c r="I1555" s="205" t="str">
        <f t="shared" si="7"/>
        <v/>
      </c>
      <c r="J1555" s="205"/>
      <c r="K1555" s="205"/>
    </row>
    <row r="1556" ht="14.25" customHeight="1">
      <c r="A1556" s="55">
        <v>47211.0</v>
      </c>
      <c r="B1556" s="55" t="str">
        <f t="shared" si="10"/>
        <v>Primer dia</v>
      </c>
      <c r="C1556" s="202">
        <f t="shared" si="1"/>
        <v>3</v>
      </c>
      <c r="D1556" s="202" t="str">
        <f t="shared" si="2"/>
        <v> </v>
      </c>
      <c r="E1556" s="202" t="str">
        <f t="shared" si="9"/>
        <v> </v>
      </c>
      <c r="F1556" s="55" t="str">
        <f t="shared" si="4"/>
        <v/>
      </c>
      <c r="G1556" s="202" t="str">
        <f t="shared" si="5"/>
        <v/>
      </c>
      <c r="H1556" s="202" t="str">
        <f t="shared" si="11"/>
        <v> </v>
      </c>
      <c r="I1556" s="205" t="str">
        <f t="shared" si="7"/>
        <v/>
      </c>
      <c r="J1556" s="205"/>
      <c r="K1556" s="205"/>
    </row>
    <row r="1557" ht="14.25" customHeight="1">
      <c r="A1557" s="55">
        <v>47212.0</v>
      </c>
      <c r="B1557" s="55" t="str">
        <f t="shared" si="10"/>
        <v>Primer dia</v>
      </c>
      <c r="C1557" s="202">
        <f t="shared" si="1"/>
        <v>4</v>
      </c>
      <c r="D1557" s="202" t="str">
        <f t="shared" si="2"/>
        <v> </v>
      </c>
      <c r="E1557" s="202" t="str">
        <f t="shared" si="9"/>
        <v> </v>
      </c>
      <c r="F1557" s="55" t="str">
        <f t="shared" si="4"/>
        <v/>
      </c>
      <c r="G1557" s="202" t="str">
        <f t="shared" si="5"/>
        <v/>
      </c>
      <c r="H1557" s="202" t="str">
        <f t="shared" si="11"/>
        <v> </v>
      </c>
      <c r="I1557" s="205" t="str">
        <f t="shared" si="7"/>
        <v/>
      </c>
      <c r="J1557" s="205"/>
      <c r="K1557" s="205"/>
    </row>
    <row r="1558" ht="14.25" customHeight="1">
      <c r="A1558" s="55">
        <v>47213.0</v>
      </c>
      <c r="B1558" s="55" t="str">
        <f t="shared" si="10"/>
        <v>Primer dia</v>
      </c>
      <c r="C1558" s="202">
        <f t="shared" si="1"/>
        <v>5</v>
      </c>
      <c r="D1558" s="202" t="str">
        <f t="shared" si="2"/>
        <v> </v>
      </c>
      <c r="E1558" s="202" t="str">
        <f t="shared" si="9"/>
        <v> </v>
      </c>
      <c r="F1558" s="55" t="str">
        <f t="shared" si="4"/>
        <v/>
      </c>
      <c r="G1558" s="202" t="str">
        <f t="shared" si="5"/>
        <v/>
      </c>
      <c r="H1558" s="202" t="str">
        <f t="shared" si="11"/>
        <v> </v>
      </c>
      <c r="I1558" s="205" t="str">
        <f t="shared" si="7"/>
        <v/>
      </c>
      <c r="J1558" s="205"/>
      <c r="K1558" s="205"/>
    </row>
    <row r="1559" ht="14.25" customHeight="1">
      <c r="A1559" s="55">
        <v>47214.0</v>
      </c>
      <c r="B1559" s="55" t="str">
        <f t="shared" si="10"/>
        <v>Primer dia</v>
      </c>
      <c r="C1559" s="202">
        <f t="shared" si="1"/>
        <v>6</v>
      </c>
      <c r="D1559" s="202" t="str">
        <f t="shared" si="2"/>
        <v> </v>
      </c>
      <c r="E1559" s="202" t="str">
        <f t="shared" si="9"/>
        <v> </v>
      </c>
      <c r="F1559" s="55" t="str">
        <f t="shared" si="4"/>
        <v/>
      </c>
      <c r="G1559" s="202" t="str">
        <f t="shared" si="5"/>
        <v/>
      </c>
      <c r="H1559" s="202" t="str">
        <f t="shared" si="11"/>
        <v> </v>
      </c>
      <c r="I1559" s="205" t="str">
        <f t="shared" si="7"/>
        <v/>
      </c>
      <c r="J1559" s="205"/>
      <c r="K1559" s="205"/>
    </row>
    <row r="1560" ht="14.25" customHeight="1">
      <c r="A1560" s="55">
        <v>47215.0</v>
      </c>
      <c r="B1560" s="55" t="str">
        <f t="shared" si="10"/>
        <v>Primer dia</v>
      </c>
      <c r="C1560" s="202">
        <f t="shared" si="1"/>
        <v>7</v>
      </c>
      <c r="D1560" s="202" t="str">
        <f t="shared" si="2"/>
        <v> </v>
      </c>
      <c r="E1560" s="202" t="str">
        <f t="shared" si="9"/>
        <v> </v>
      </c>
      <c r="F1560" s="55" t="str">
        <f t="shared" si="4"/>
        <v/>
      </c>
      <c r="G1560" s="202" t="str">
        <f t="shared" si="5"/>
        <v/>
      </c>
      <c r="H1560" s="202" t="str">
        <f t="shared" si="11"/>
        <v> </v>
      </c>
      <c r="I1560" s="205" t="str">
        <f t="shared" si="7"/>
        <v/>
      </c>
      <c r="J1560" s="205"/>
      <c r="K1560" s="205"/>
    </row>
    <row r="1561" ht="14.25" customHeight="1">
      <c r="A1561" s="55">
        <v>47216.0</v>
      </c>
      <c r="B1561" s="55" t="str">
        <f t="shared" si="10"/>
        <v>Primer dia</v>
      </c>
      <c r="C1561" s="202">
        <f t="shared" si="1"/>
        <v>8</v>
      </c>
      <c r="D1561" s="202" t="str">
        <f t="shared" si="2"/>
        <v> </v>
      </c>
      <c r="E1561" s="202" t="str">
        <f t="shared" si="9"/>
        <v> </v>
      </c>
      <c r="F1561" s="55" t="str">
        <f t="shared" si="4"/>
        <v/>
      </c>
      <c r="G1561" s="202" t="str">
        <f t="shared" si="5"/>
        <v/>
      </c>
      <c r="H1561" s="202" t="str">
        <f t="shared" si="11"/>
        <v> </v>
      </c>
      <c r="I1561" s="205" t="str">
        <f t="shared" si="7"/>
        <v/>
      </c>
      <c r="J1561" s="205"/>
      <c r="K1561" s="205"/>
    </row>
    <row r="1562" ht="14.25" customHeight="1">
      <c r="A1562" s="55">
        <v>47217.0</v>
      </c>
      <c r="B1562" s="55" t="str">
        <f t="shared" si="10"/>
        <v>Primer dia</v>
      </c>
      <c r="C1562" s="202">
        <f t="shared" si="1"/>
        <v>9</v>
      </c>
      <c r="D1562" s="202" t="str">
        <f t="shared" si="2"/>
        <v> </v>
      </c>
      <c r="E1562" s="202" t="str">
        <f t="shared" si="9"/>
        <v> </v>
      </c>
      <c r="F1562" s="55" t="str">
        <f t="shared" si="4"/>
        <v/>
      </c>
      <c r="G1562" s="202" t="str">
        <f t="shared" si="5"/>
        <v/>
      </c>
      <c r="H1562" s="202" t="str">
        <f t="shared" si="11"/>
        <v> </v>
      </c>
      <c r="I1562" s="205" t="str">
        <f t="shared" si="7"/>
        <v/>
      </c>
      <c r="J1562" s="205"/>
      <c r="K1562" s="205"/>
    </row>
    <row r="1563" ht="14.25" customHeight="1">
      <c r="A1563" s="55">
        <v>47218.0</v>
      </c>
      <c r="B1563" s="55" t="str">
        <f t="shared" si="10"/>
        <v>Primer dia</v>
      </c>
      <c r="C1563" s="202">
        <f t="shared" si="1"/>
        <v>10</v>
      </c>
      <c r="D1563" s="202" t="str">
        <f t="shared" si="2"/>
        <v> </v>
      </c>
      <c r="E1563" s="202" t="str">
        <f t="shared" si="9"/>
        <v> </v>
      </c>
      <c r="F1563" s="55" t="str">
        <f t="shared" si="4"/>
        <v/>
      </c>
      <c r="G1563" s="202" t="str">
        <f t="shared" si="5"/>
        <v/>
      </c>
      <c r="H1563" s="202" t="str">
        <f t="shared" si="11"/>
        <v> </v>
      </c>
      <c r="I1563" s="205" t="str">
        <f t="shared" si="7"/>
        <v/>
      </c>
      <c r="J1563" s="205"/>
      <c r="K1563" s="205"/>
    </row>
    <row r="1564" ht="14.25" customHeight="1">
      <c r="A1564" s="55">
        <v>47219.0</v>
      </c>
      <c r="B1564" s="55" t="str">
        <f t="shared" si="10"/>
        <v>Primer dia</v>
      </c>
      <c r="C1564" s="202">
        <f t="shared" si="1"/>
        <v>11</v>
      </c>
      <c r="D1564" s="202" t="str">
        <f t="shared" si="2"/>
        <v> </v>
      </c>
      <c r="E1564" s="202" t="str">
        <f t="shared" si="9"/>
        <v> </v>
      </c>
      <c r="F1564" s="55" t="str">
        <f t="shared" si="4"/>
        <v/>
      </c>
      <c r="G1564" s="202" t="str">
        <f t="shared" si="5"/>
        <v/>
      </c>
      <c r="H1564" s="202" t="str">
        <f t="shared" si="11"/>
        <v> </v>
      </c>
      <c r="I1564" s="205" t="str">
        <f t="shared" si="7"/>
        <v/>
      </c>
      <c r="J1564" s="205"/>
      <c r="K1564" s="205"/>
    </row>
    <row r="1565" ht="14.25" customHeight="1">
      <c r="A1565" s="55">
        <v>47220.0</v>
      </c>
      <c r="B1565" s="55" t="str">
        <f t="shared" si="10"/>
        <v>Primer dia</v>
      </c>
      <c r="C1565" s="202">
        <f t="shared" si="1"/>
        <v>12</v>
      </c>
      <c r="D1565" s="202" t="str">
        <f t="shared" si="2"/>
        <v> </v>
      </c>
      <c r="E1565" s="202" t="str">
        <f t="shared" si="9"/>
        <v> </v>
      </c>
      <c r="F1565" s="55" t="str">
        <f t="shared" si="4"/>
        <v/>
      </c>
      <c r="G1565" s="202" t="str">
        <f t="shared" si="5"/>
        <v/>
      </c>
      <c r="H1565" s="202" t="str">
        <f t="shared" si="11"/>
        <v> </v>
      </c>
      <c r="I1565" s="205" t="str">
        <f t="shared" si="7"/>
        <v/>
      </c>
      <c r="J1565" s="205"/>
      <c r="K1565" s="205"/>
    </row>
    <row r="1566" ht="14.25" customHeight="1">
      <c r="A1566" s="55">
        <v>47221.0</v>
      </c>
      <c r="B1566" s="55" t="str">
        <f t="shared" si="10"/>
        <v>Primer dia</v>
      </c>
      <c r="C1566" s="202">
        <f t="shared" si="1"/>
        <v>13</v>
      </c>
      <c r="D1566" s="202" t="str">
        <f t="shared" si="2"/>
        <v> </v>
      </c>
      <c r="E1566" s="202" t="str">
        <f t="shared" si="9"/>
        <v> </v>
      </c>
      <c r="F1566" s="55" t="str">
        <f t="shared" si="4"/>
        <v/>
      </c>
      <c r="G1566" s="202" t="str">
        <f t="shared" si="5"/>
        <v/>
      </c>
      <c r="H1566" s="202" t="str">
        <f t="shared" si="11"/>
        <v> </v>
      </c>
      <c r="I1566" s="205" t="str">
        <f t="shared" si="7"/>
        <v/>
      </c>
      <c r="J1566" s="205"/>
      <c r="K1566" s="205"/>
    </row>
    <row r="1567" ht="14.25" customHeight="1">
      <c r="A1567" s="55">
        <v>47222.0</v>
      </c>
      <c r="B1567" s="55" t="str">
        <f t="shared" si="10"/>
        <v>Primer dia</v>
      </c>
      <c r="C1567" s="202">
        <f t="shared" si="1"/>
        <v>14</v>
      </c>
      <c r="D1567" s="202" t="str">
        <f t="shared" si="2"/>
        <v> </v>
      </c>
      <c r="E1567" s="202" t="str">
        <f t="shared" si="9"/>
        <v> </v>
      </c>
      <c r="F1567" s="55" t="str">
        <f t="shared" si="4"/>
        <v/>
      </c>
      <c r="G1567" s="202" t="str">
        <f t="shared" si="5"/>
        <v/>
      </c>
      <c r="H1567" s="202" t="str">
        <f t="shared" si="11"/>
        <v> </v>
      </c>
      <c r="I1567" s="205" t="str">
        <f t="shared" si="7"/>
        <v/>
      </c>
      <c r="J1567" s="205"/>
      <c r="K1567" s="205"/>
    </row>
    <row r="1568" ht="14.25" customHeight="1">
      <c r="A1568" s="55">
        <v>47223.0</v>
      </c>
      <c r="B1568" s="55" t="str">
        <f t="shared" si="10"/>
        <v>Primer dia</v>
      </c>
      <c r="C1568" s="202">
        <f t="shared" si="1"/>
        <v>15</v>
      </c>
      <c r="D1568" s="202" t="str">
        <f t="shared" si="2"/>
        <v> </v>
      </c>
      <c r="E1568" s="202" t="str">
        <f t="shared" si="9"/>
        <v> </v>
      </c>
      <c r="F1568" s="55" t="str">
        <f t="shared" si="4"/>
        <v/>
      </c>
      <c r="G1568" s="202" t="str">
        <f t="shared" si="5"/>
        <v/>
      </c>
      <c r="H1568" s="202" t="str">
        <f t="shared" si="11"/>
        <v> </v>
      </c>
      <c r="I1568" s="205" t="str">
        <f t="shared" si="7"/>
        <v/>
      </c>
      <c r="J1568" s="205"/>
      <c r="K1568" s="205"/>
    </row>
    <row r="1569" ht="14.25" customHeight="1">
      <c r="A1569" s="55">
        <v>47224.0</v>
      </c>
      <c r="B1569" s="55" t="str">
        <f t="shared" si="10"/>
        <v>Primer dia</v>
      </c>
      <c r="C1569" s="202">
        <f t="shared" si="1"/>
        <v>16</v>
      </c>
      <c r="D1569" s="202" t="str">
        <f t="shared" si="2"/>
        <v> </v>
      </c>
      <c r="E1569" s="202" t="str">
        <f t="shared" si="9"/>
        <v> </v>
      </c>
      <c r="F1569" s="55" t="str">
        <f t="shared" si="4"/>
        <v/>
      </c>
      <c r="G1569" s="202" t="str">
        <f t="shared" si="5"/>
        <v/>
      </c>
      <c r="H1569" s="202" t="str">
        <f t="shared" si="11"/>
        <v> </v>
      </c>
      <c r="I1569" s="205" t="str">
        <f t="shared" si="7"/>
        <v/>
      </c>
      <c r="J1569" s="205"/>
      <c r="K1569" s="205"/>
    </row>
    <row r="1570" ht="14.25" customHeight="1">
      <c r="A1570" s="55">
        <v>47225.0</v>
      </c>
      <c r="B1570" s="55" t="str">
        <f t="shared" si="10"/>
        <v>Primer dia</v>
      </c>
      <c r="C1570" s="202">
        <f t="shared" si="1"/>
        <v>17</v>
      </c>
      <c r="D1570" s="202" t="str">
        <f t="shared" si="2"/>
        <v> </v>
      </c>
      <c r="E1570" s="202">
        <f t="shared" si="9"/>
        <v>17</v>
      </c>
      <c r="F1570" s="55">
        <f t="shared" si="4"/>
        <v>47225</v>
      </c>
      <c r="G1570" s="202">
        <f t="shared" si="5"/>
        <v>78</v>
      </c>
      <c r="H1570" s="202" t="str">
        <f t="shared" si="11"/>
        <v> </v>
      </c>
      <c r="I1570" s="205" t="str">
        <f t="shared" si="7"/>
        <v/>
      </c>
      <c r="J1570" s="205"/>
      <c r="K1570" s="205"/>
    </row>
    <row r="1571" ht="14.25" customHeight="1">
      <c r="A1571" s="55">
        <v>47226.0</v>
      </c>
      <c r="B1571" s="55" t="str">
        <f t="shared" si="10"/>
        <v>Primer dia</v>
      </c>
      <c r="C1571" s="202">
        <f t="shared" si="1"/>
        <v>18</v>
      </c>
      <c r="D1571" s="202" t="str">
        <f t="shared" si="2"/>
        <v> </v>
      </c>
      <c r="E1571" s="202" t="str">
        <f t="shared" si="9"/>
        <v> </v>
      </c>
      <c r="F1571" s="55" t="str">
        <f t="shared" si="4"/>
        <v/>
      </c>
      <c r="G1571" s="202" t="str">
        <f t="shared" si="5"/>
        <v/>
      </c>
      <c r="H1571" s="202" t="str">
        <f t="shared" si="11"/>
        <v> </v>
      </c>
      <c r="I1571" s="205" t="str">
        <f t="shared" si="7"/>
        <v/>
      </c>
      <c r="J1571" s="205"/>
      <c r="K1571" s="205"/>
    </row>
    <row r="1572" ht="14.25" customHeight="1">
      <c r="A1572" s="55">
        <v>47227.0</v>
      </c>
      <c r="B1572" s="55" t="str">
        <f t="shared" si="10"/>
        <v>Primer dia</v>
      </c>
      <c r="C1572" s="202">
        <f t="shared" si="1"/>
        <v>19</v>
      </c>
      <c r="D1572" s="202" t="str">
        <f t="shared" si="2"/>
        <v> </v>
      </c>
      <c r="E1572" s="202" t="str">
        <f t="shared" si="9"/>
        <v> </v>
      </c>
      <c r="F1572" s="55" t="str">
        <f t="shared" si="4"/>
        <v/>
      </c>
      <c r="G1572" s="202" t="str">
        <f t="shared" si="5"/>
        <v/>
      </c>
      <c r="H1572" s="202" t="str">
        <f t="shared" si="11"/>
        <v> </v>
      </c>
      <c r="I1572" s="205" t="str">
        <f t="shared" si="7"/>
        <v/>
      </c>
      <c r="J1572" s="205"/>
      <c r="K1572" s="205"/>
    </row>
    <row r="1573" ht="14.25" customHeight="1">
      <c r="A1573" s="55">
        <v>47228.0</v>
      </c>
      <c r="B1573" s="55" t="str">
        <f t="shared" si="10"/>
        <v>Primer dia</v>
      </c>
      <c r="C1573" s="202">
        <f t="shared" si="1"/>
        <v>20</v>
      </c>
      <c r="D1573" s="202" t="str">
        <f t="shared" si="2"/>
        <v> </v>
      </c>
      <c r="E1573" s="202" t="str">
        <f t="shared" si="9"/>
        <v> </v>
      </c>
      <c r="F1573" s="55" t="str">
        <f t="shared" si="4"/>
        <v/>
      </c>
      <c r="G1573" s="202" t="str">
        <f t="shared" si="5"/>
        <v/>
      </c>
      <c r="H1573" s="202" t="str">
        <f t="shared" si="11"/>
        <v> </v>
      </c>
      <c r="I1573" s="205" t="str">
        <f t="shared" si="7"/>
        <v/>
      </c>
      <c r="J1573" s="205"/>
      <c r="K1573" s="205"/>
    </row>
    <row r="1574" ht="14.25" customHeight="1">
      <c r="A1574" s="55">
        <v>47229.0</v>
      </c>
      <c r="B1574" s="55" t="str">
        <f t="shared" si="10"/>
        <v>Primer dia</v>
      </c>
      <c r="C1574" s="202">
        <f t="shared" si="1"/>
        <v>21</v>
      </c>
      <c r="D1574" s="202" t="str">
        <f t="shared" si="2"/>
        <v> </v>
      </c>
      <c r="E1574" s="202" t="str">
        <f t="shared" si="9"/>
        <v> </v>
      </c>
      <c r="F1574" s="55" t="str">
        <f t="shared" si="4"/>
        <v/>
      </c>
      <c r="G1574" s="202" t="str">
        <f t="shared" si="5"/>
        <v/>
      </c>
      <c r="H1574" s="202" t="str">
        <f t="shared" si="11"/>
        <v> </v>
      </c>
      <c r="I1574" s="205" t="str">
        <f t="shared" si="7"/>
        <v/>
      </c>
      <c r="J1574" s="205"/>
      <c r="K1574" s="205"/>
    </row>
    <row r="1575" ht="14.25" customHeight="1">
      <c r="A1575" s="55">
        <v>47230.0</v>
      </c>
      <c r="B1575" s="55" t="str">
        <f t="shared" si="10"/>
        <v>Primer dia</v>
      </c>
      <c r="C1575" s="202">
        <f t="shared" si="1"/>
        <v>22</v>
      </c>
      <c r="D1575" s="202" t="str">
        <f t="shared" si="2"/>
        <v> </v>
      </c>
      <c r="E1575" s="202" t="str">
        <f t="shared" si="9"/>
        <v> </v>
      </c>
      <c r="F1575" s="55" t="str">
        <f t="shared" si="4"/>
        <v/>
      </c>
      <c r="G1575" s="202" t="str">
        <f t="shared" si="5"/>
        <v/>
      </c>
      <c r="H1575" s="202" t="str">
        <f t="shared" si="11"/>
        <v> </v>
      </c>
      <c r="I1575" s="205" t="str">
        <f t="shared" si="7"/>
        <v/>
      </c>
      <c r="J1575" s="205"/>
      <c r="K1575" s="205"/>
    </row>
    <row r="1576" ht="14.25" customHeight="1">
      <c r="A1576" s="55">
        <v>47231.0</v>
      </c>
      <c r="B1576" s="55" t="str">
        <f t="shared" si="10"/>
        <v>Primer dia</v>
      </c>
      <c r="C1576" s="202">
        <f t="shared" si="1"/>
        <v>23</v>
      </c>
      <c r="D1576" s="202" t="str">
        <f t="shared" si="2"/>
        <v> </v>
      </c>
      <c r="E1576" s="202" t="str">
        <f t="shared" si="9"/>
        <v> </v>
      </c>
      <c r="F1576" s="55" t="str">
        <f t="shared" si="4"/>
        <v/>
      </c>
      <c r="G1576" s="202" t="str">
        <f t="shared" si="5"/>
        <v/>
      </c>
      <c r="H1576" s="202" t="str">
        <f t="shared" si="11"/>
        <v> </v>
      </c>
      <c r="I1576" s="205" t="str">
        <f t="shared" si="7"/>
        <v/>
      </c>
      <c r="J1576" s="205"/>
      <c r="K1576" s="205"/>
    </row>
    <row r="1577" ht="14.25" customHeight="1">
      <c r="A1577" s="55">
        <v>47232.0</v>
      </c>
      <c r="B1577" s="55" t="str">
        <f t="shared" si="10"/>
        <v>Primer dia</v>
      </c>
      <c r="C1577" s="202">
        <f t="shared" si="1"/>
        <v>24</v>
      </c>
      <c r="D1577" s="202" t="str">
        <f t="shared" si="2"/>
        <v> </v>
      </c>
      <c r="E1577" s="202" t="str">
        <f t="shared" si="9"/>
        <v> </v>
      </c>
      <c r="F1577" s="55" t="str">
        <f t="shared" si="4"/>
        <v/>
      </c>
      <c r="G1577" s="202" t="str">
        <f t="shared" si="5"/>
        <v/>
      </c>
      <c r="H1577" s="202" t="str">
        <f t="shared" si="11"/>
        <v> </v>
      </c>
      <c r="I1577" s="205" t="str">
        <f t="shared" si="7"/>
        <v/>
      </c>
      <c r="J1577" s="205"/>
      <c r="K1577" s="205"/>
    </row>
    <row r="1578" ht="14.25" customHeight="1">
      <c r="A1578" s="55">
        <v>47233.0</v>
      </c>
      <c r="B1578" s="55" t="str">
        <f t="shared" si="10"/>
        <v>Primer dia</v>
      </c>
      <c r="C1578" s="202">
        <f t="shared" si="1"/>
        <v>25</v>
      </c>
      <c r="D1578" s="202" t="str">
        <f t="shared" si="2"/>
        <v> </v>
      </c>
      <c r="E1578" s="202" t="str">
        <f t="shared" si="9"/>
        <v> </v>
      </c>
      <c r="F1578" s="55" t="str">
        <f t="shared" si="4"/>
        <v/>
      </c>
      <c r="G1578" s="202" t="str">
        <f t="shared" si="5"/>
        <v/>
      </c>
      <c r="H1578" s="202" t="str">
        <f t="shared" si="11"/>
        <v> </v>
      </c>
      <c r="I1578" s="205" t="str">
        <f t="shared" si="7"/>
        <v/>
      </c>
      <c r="J1578" s="205"/>
      <c r="K1578" s="205"/>
    </row>
    <row r="1579" ht="14.25" customHeight="1">
      <c r="A1579" s="55">
        <v>47234.0</v>
      </c>
      <c r="B1579" s="55" t="str">
        <f t="shared" si="10"/>
        <v>Primer dia</v>
      </c>
      <c r="C1579" s="202">
        <f t="shared" si="1"/>
        <v>26</v>
      </c>
      <c r="D1579" s="202" t="str">
        <f t="shared" si="2"/>
        <v> </v>
      </c>
      <c r="E1579" s="202" t="str">
        <f t="shared" si="9"/>
        <v> </v>
      </c>
      <c r="F1579" s="55" t="str">
        <f t="shared" si="4"/>
        <v/>
      </c>
      <c r="G1579" s="202" t="str">
        <f t="shared" si="5"/>
        <v/>
      </c>
      <c r="H1579" s="202" t="str">
        <f t="shared" si="11"/>
        <v> </v>
      </c>
      <c r="I1579" s="205" t="str">
        <f t="shared" si="7"/>
        <v/>
      </c>
      <c r="J1579" s="205"/>
      <c r="K1579" s="205"/>
    </row>
    <row r="1580" ht="14.25" customHeight="1">
      <c r="A1580" s="55">
        <v>47235.0</v>
      </c>
      <c r="B1580" s="55" t="str">
        <f t="shared" si="10"/>
        <v>Primer dia</v>
      </c>
      <c r="C1580" s="202">
        <f t="shared" si="1"/>
        <v>27</v>
      </c>
      <c r="D1580" s="202" t="str">
        <f t="shared" si="2"/>
        <v> </v>
      </c>
      <c r="E1580" s="202" t="str">
        <f t="shared" si="9"/>
        <v> </v>
      </c>
      <c r="F1580" s="55" t="str">
        <f t="shared" si="4"/>
        <v/>
      </c>
      <c r="G1580" s="202" t="str">
        <f t="shared" si="5"/>
        <v/>
      </c>
      <c r="H1580" s="202" t="str">
        <f t="shared" si="11"/>
        <v> </v>
      </c>
      <c r="I1580" s="205" t="str">
        <f t="shared" si="7"/>
        <v/>
      </c>
      <c r="J1580" s="205"/>
      <c r="K1580" s="205"/>
    </row>
    <row r="1581" ht="14.25" customHeight="1">
      <c r="A1581" s="55">
        <v>47236.0</v>
      </c>
      <c r="B1581" s="55" t="str">
        <f t="shared" si="10"/>
        <v>Primer dia</v>
      </c>
      <c r="C1581" s="202">
        <f t="shared" si="1"/>
        <v>28</v>
      </c>
      <c r="D1581" s="202" t="str">
        <f t="shared" si="2"/>
        <v> </v>
      </c>
      <c r="E1581" s="202" t="str">
        <f t="shared" si="9"/>
        <v> </v>
      </c>
      <c r="F1581" s="55" t="str">
        <f t="shared" si="4"/>
        <v/>
      </c>
      <c r="G1581" s="202" t="str">
        <f t="shared" si="5"/>
        <v/>
      </c>
      <c r="H1581" s="202" t="str">
        <f t="shared" si="11"/>
        <v> </v>
      </c>
      <c r="I1581" s="205" t="str">
        <f t="shared" si="7"/>
        <v/>
      </c>
      <c r="J1581" s="205"/>
      <c r="K1581" s="205"/>
    </row>
    <row r="1582" ht="14.25" customHeight="1">
      <c r="A1582" s="55">
        <v>47237.0</v>
      </c>
      <c r="B1582" s="55" t="str">
        <f t="shared" si="10"/>
        <v>Primer dia</v>
      </c>
      <c r="C1582" s="202">
        <f t="shared" si="1"/>
        <v>29</v>
      </c>
      <c r="D1582" s="202" t="str">
        <f t="shared" si="2"/>
        <v> </v>
      </c>
      <c r="E1582" s="202" t="str">
        <f t="shared" si="9"/>
        <v> </v>
      </c>
      <c r="F1582" s="55" t="str">
        <f t="shared" si="4"/>
        <v/>
      </c>
      <c r="G1582" s="202" t="str">
        <f t="shared" si="5"/>
        <v/>
      </c>
      <c r="H1582" s="202" t="str">
        <f t="shared" si="11"/>
        <v> </v>
      </c>
      <c r="I1582" s="205" t="str">
        <f t="shared" si="7"/>
        <v/>
      </c>
      <c r="J1582" s="205"/>
      <c r="K1582" s="205"/>
    </row>
    <row r="1583" ht="14.25" customHeight="1">
      <c r="A1583" s="55">
        <v>47238.0</v>
      </c>
      <c r="B1583" s="55" t="str">
        <f t="shared" si="10"/>
        <v>Primer dia</v>
      </c>
      <c r="C1583" s="202">
        <f t="shared" si="1"/>
        <v>30</v>
      </c>
      <c r="D1583" s="202" t="str">
        <f t="shared" si="2"/>
        <v> </v>
      </c>
      <c r="E1583" s="202" t="str">
        <f t="shared" si="9"/>
        <v> </v>
      </c>
      <c r="F1583" s="55" t="str">
        <f t="shared" si="4"/>
        <v/>
      </c>
      <c r="G1583" s="202" t="str">
        <f t="shared" si="5"/>
        <v/>
      </c>
      <c r="H1583" s="202" t="str">
        <f t="shared" si="11"/>
        <v> </v>
      </c>
      <c r="I1583" s="205" t="str">
        <f t="shared" si="7"/>
        <v/>
      </c>
      <c r="J1583" s="205"/>
      <c r="K1583" s="205"/>
    </row>
    <row r="1584" ht="14.25" customHeight="1">
      <c r="A1584" s="55">
        <v>47239.0</v>
      </c>
      <c r="B1584" s="55" t="str">
        <f t="shared" si="10"/>
        <v>Primer dia</v>
      </c>
      <c r="C1584" s="202">
        <f t="shared" si="1"/>
        <v>1</v>
      </c>
      <c r="D1584" s="202" t="str">
        <f t="shared" si="2"/>
        <v> </v>
      </c>
      <c r="E1584" s="202" t="str">
        <f t="shared" si="9"/>
        <v> </v>
      </c>
      <c r="F1584" s="55" t="str">
        <f t="shared" si="4"/>
        <v/>
      </c>
      <c r="G1584" s="202" t="str">
        <f t="shared" si="5"/>
        <v/>
      </c>
      <c r="H1584" s="202" t="str">
        <f t="shared" si="11"/>
        <v> </v>
      </c>
      <c r="I1584" s="205" t="str">
        <f t="shared" si="7"/>
        <v/>
      </c>
      <c r="J1584" s="205"/>
      <c r="K1584" s="205"/>
    </row>
    <row r="1585" ht="14.25" customHeight="1">
      <c r="A1585" s="55">
        <v>47240.0</v>
      </c>
      <c r="B1585" s="55" t="str">
        <f t="shared" si="10"/>
        <v>Primer dia</v>
      </c>
      <c r="C1585" s="202">
        <f t="shared" si="1"/>
        <v>2</v>
      </c>
      <c r="D1585" s="202" t="str">
        <f t="shared" si="2"/>
        <v> </v>
      </c>
      <c r="E1585" s="202">
        <f t="shared" si="9"/>
        <v>2</v>
      </c>
      <c r="F1585" s="55">
        <f t="shared" si="4"/>
        <v>47240</v>
      </c>
      <c r="G1585" s="202">
        <f t="shared" si="5"/>
        <v>79</v>
      </c>
      <c r="H1585" s="202" t="str">
        <f t="shared" si="11"/>
        <v> </v>
      </c>
      <c r="I1585" s="205" t="str">
        <f t="shared" si="7"/>
        <v/>
      </c>
      <c r="J1585" s="205"/>
      <c r="K1585" s="205"/>
    </row>
    <row r="1586" ht="14.25" customHeight="1">
      <c r="A1586" s="55">
        <v>47241.0</v>
      </c>
      <c r="B1586" s="55" t="str">
        <f t="shared" si="10"/>
        <v>Primer dia</v>
      </c>
      <c r="C1586" s="202">
        <f t="shared" si="1"/>
        <v>3</v>
      </c>
      <c r="D1586" s="202" t="str">
        <f t="shared" si="2"/>
        <v> </v>
      </c>
      <c r="E1586" s="202" t="str">
        <f t="shared" si="9"/>
        <v> </v>
      </c>
      <c r="F1586" s="55" t="str">
        <f t="shared" si="4"/>
        <v/>
      </c>
      <c r="G1586" s="202" t="str">
        <f t="shared" si="5"/>
        <v/>
      </c>
      <c r="H1586" s="202" t="str">
        <f t="shared" si="11"/>
        <v> </v>
      </c>
      <c r="I1586" s="205" t="str">
        <f t="shared" si="7"/>
        <v/>
      </c>
      <c r="J1586" s="205"/>
      <c r="K1586" s="205"/>
    </row>
    <row r="1587" ht="14.25" customHeight="1">
      <c r="A1587" s="55">
        <v>47242.0</v>
      </c>
      <c r="B1587" s="55" t="str">
        <f t="shared" si="10"/>
        <v>Primer dia</v>
      </c>
      <c r="C1587" s="202">
        <f t="shared" si="1"/>
        <v>4</v>
      </c>
      <c r="D1587" s="202" t="str">
        <f t="shared" si="2"/>
        <v> </v>
      </c>
      <c r="E1587" s="202" t="str">
        <f t="shared" si="9"/>
        <v> </v>
      </c>
      <c r="F1587" s="55" t="str">
        <f t="shared" si="4"/>
        <v/>
      </c>
      <c r="G1587" s="202" t="str">
        <f t="shared" si="5"/>
        <v/>
      </c>
      <c r="H1587" s="202" t="str">
        <f t="shared" si="11"/>
        <v> </v>
      </c>
      <c r="I1587" s="205" t="str">
        <f t="shared" si="7"/>
        <v/>
      </c>
      <c r="J1587" s="205"/>
      <c r="K1587" s="205"/>
    </row>
    <row r="1588" ht="14.25" customHeight="1">
      <c r="A1588" s="55">
        <v>47243.0</v>
      </c>
      <c r="B1588" s="55" t="str">
        <f t="shared" si="10"/>
        <v>Primer dia</v>
      </c>
      <c r="C1588" s="202">
        <f t="shared" si="1"/>
        <v>5</v>
      </c>
      <c r="D1588" s="202" t="str">
        <f t="shared" si="2"/>
        <v> </v>
      </c>
      <c r="E1588" s="202" t="str">
        <f t="shared" si="9"/>
        <v> </v>
      </c>
      <c r="F1588" s="55" t="str">
        <f t="shared" si="4"/>
        <v/>
      </c>
      <c r="G1588" s="202" t="str">
        <f t="shared" si="5"/>
        <v/>
      </c>
      <c r="H1588" s="202" t="str">
        <f t="shared" si="11"/>
        <v> </v>
      </c>
      <c r="I1588" s="205" t="str">
        <f t="shared" si="7"/>
        <v/>
      </c>
      <c r="J1588" s="205"/>
      <c r="K1588" s="205"/>
    </row>
    <row r="1589" ht="14.25" customHeight="1">
      <c r="A1589" s="55">
        <v>47244.0</v>
      </c>
      <c r="B1589" s="55" t="str">
        <f t="shared" si="10"/>
        <v>Primer dia</v>
      </c>
      <c r="C1589" s="202">
        <f t="shared" si="1"/>
        <v>6</v>
      </c>
      <c r="D1589" s="202" t="str">
        <f t="shared" si="2"/>
        <v> </v>
      </c>
      <c r="E1589" s="202" t="str">
        <f t="shared" si="9"/>
        <v> </v>
      </c>
      <c r="F1589" s="55" t="str">
        <f t="shared" si="4"/>
        <v/>
      </c>
      <c r="G1589" s="202" t="str">
        <f t="shared" si="5"/>
        <v/>
      </c>
      <c r="H1589" s="202" t="str">
        <f t="shared" si="11"/>
        <v> </v>
      </c>
      <c r="I1589" s="205" t="str">
        <f t="shared" si="7"/>
        <v/>
      </c>
      <c r="J1589" s="205"/>
      <c r="K1589" s="205"/>
    </row>
    <row r="1590" ht="14.25" customHeight="1">
      <c r="A1590" s="55">
        <v>47245.0</v>
      </c>
      <c r="B1590" s="55" t="str">
        <f t="shared" si="10"/>
        <v>Primer dia</v>
      </c>
      <c r="C1590" s="202">
        <f t="shared" si="1"/>
        <v>7</v>
      </c>
      <c r="D1590" s="202" t="str">
        <f t="shared" si="2"/>
        <v> </v>
      </c>
      <c r="E1590" s="202" t="str">
        <f t="shared" si="9"/>
        <v> </v>
      </c>
      <c r="F1590" s="55" t="str">
        <f t="shared" si="4"/>
        <v/>
      </c>
      <c r="G1590" s="202" t="str">
        <f t="shared" si="5"/>
        <v/>
      </c>
      <c r="H1590" s="202" t="str">
        <f t="shared" si="11"/>
        <v> </v>
      </c>
      <c r="I1590" s="205" t="str">
        <f t="shared" si="7"/>
        <v/>
      </c>
      <c r="J1590" s="205"/>
      <c r="K1590" s="205"/>
    </row>
    <row r="1591" ht="14.25" customHeight="1">
      <c r="A1591" s="55">
        <v>47246.0</v>
      </c>
      <c r="B1591" s="55" t="str">
        <f t="shared" si="10"/>
        <v>Primer dia</v>
      </c>
      <c r="C1591" s="202">
        <f t="shared" si="1"/>
        <v>8</v>
      </c>
      <c r="D1591" s="202" t="str">
        <f t="shared" si="2"/>
        <v> </v>
      </c>
      <c r="E1591" s="202" t="str">
        <f t="shared" si="9"/>
        <v> </v>
      </c>
      <c r="F1591" s="55" t="str">
        <f t="shared" si="4"/>
        <v/>
      </c>
      <c r="G1591" s="202" t="str">
        <f t="shared" si="5"/>
        <v/>
      </c>
      <c r="H1591" s="202" t="str">
        <f t="shared" si="11"/>
        <v> </v>
      </c>
      <c r="I1591" s="205" t="str">
        <f t="shared" si="7"/>
        <v/>
      </c>
      <c r="J1591" s="205"/>
      <c r="K1591" s="205"/>
    </row>
    <row r="1592" ht="14.25" customHeight="1">
      <c r="A1592" s="55">
        <v>47247.0</v>
      </c>
      <c r="B1592" s="55" t="str">
        <f t="shared" si="10"/>
        <v>Primer dia</v>
      </c>
      <c r="C1592" s="202">
        <f t="shared" si="1"/>
        <v>9</v>
      </c>
      <c r="D1592" s="202" t="str">
        <f t="shared" si="2"/>
        <v> </v>
      </c>
      <c r="E1592" s="202" t="str">
        <f t="shared" si="9"/>
        <v> </v>
      </c>
      <c r="F1592" s="55" t="str">
        <f t="shared" si="4"/>
        <v/>
      </c>
      <c r="G1592" s="202" t="str">
        <f t="shared" si="5"/>
        <v/>
      </c>
      <c r="H1592" s="202" t="str">
        <f t="shared" si="11"/>
        <v> </v>
      </c>
      <c r="I1592" s="205" t="str">
        <f t="shared" si="7"/>
        <v/>
      </c>
      <c r="J1592" s="205"/>
      <c r="K1592" s="205"/>
    </row>
    <row r="1593" ht="14.25" customHeight="1">
      <c r="A1593" s="55">
        <v>47248.0</v>
      </c>
      <c r="B1593" s="55" t="str">
        <f t="shared" si="10"/>
        <v>Primer dia</v>
      </c>
      <c r="C1593" s="202">
        <f t="shared" si="1"/>
        <v>10</v>
      </c>
      <c r="D1593" s="202" t="str">
        <f t="shared" si="2"/>
        <v> </v>
      </c>
      <c r="E1593" s="202" t="str">
        <f t="shared" si="9"/>
        <v> </v>
      </c>
      <c r="F1593" s="55" t="str">
        <f t="shared" si="4"/>
        <v/>
      </c>
      <c r="G1593" s="202" t="str">
        <f t="shared" si="5"/>
        <v/>
      </c>
      <c r="H1593" s="202" t="str">
        <f t="shared" si="11"/>
        <v> </v>
      </c>
      <c r="I1593" s="205" t="str">
        <f t="shared" si="7"/>
        <v/>
      </c>
      <c r="J1593" s="205"/>
      <c r="K1593" s="205"/>
    </row>
    <row r="1594" ht="14.25" customHeight="1">
      <c r="A1594" s="55">
        <v>47249.0</v>
      </c>
      <c r="B1594" s="55" t="str">
        <f t="shared" si="10"/>
        <v>Primer dia</v>
      </c>
      <c r="C1594" s="202">
        <f t="shared" si="1"/>
        <v>11</v>
      </c>
      <c r="D1594" s="202" t="str">
        <f t="shared" si="2"/>
        <v> </v>
      </c>
      <c r="E1594" s="202" t="str">
        <f t="shared" si="9"/>
        <v> </v>
      </c>
      <c r="F1594" s="55" t="str">
        <f t="shared" si="4"/>
        <v/>
      </c>
      <c r="G1594" s="202" t="str">
        <f t="shared" si="5"/>
        <v/>
      </c>
      <c r="H1594" s="202" t="str">
        <f t="shared" si="11"/>
        <v> </v>
      </c>
      <c r="I1594" s="205" t="str">
        <f t="shared" si="7"/>
        <v/>
      </c>
      <c r="J1594" s="205"/>
      <c r="K1594" s="205"/>
    </row>
    <row r="1595" ht="14.25" customHeight="1">
      <c r="A1595" s="55">
        <v>47250.0</v>
      </c>
      <c r="B1595" s="55" t="str">
        <f t="shared" si="10"/>
        <v>Primer dia</v>
      </c>
      <c r="C1595" s="202">
        <f t="shared" si="1"/>
        <v>12</v>
      </c>
      <c r="D1595" s="202" t="str">
        <f t="shared" si="2"/>
        <v> </v>
      </c>
      <c r="E1595" s="202" t="str">
        <f t="shared" si="9"/>
        <v> </v>
      </c>
      <c r="F1595" s="55" t="str">
        <f t="shared" si="4"/>
        <v/>
      </c>
      <c r="G1595" s="202" t="str">
        <f t="shared" si="5"/>
        <v/>
      </c>
      <c r="H1595" s="202" t="str">
        <f t="shared" si="11"/>
        <v> </v>
      </c>
      <c r="I1595" s="205" t="str">
        <f t="shared" si="7"/>
        <v/>
      </c>
      <c r="J1595" s="205"/>
      <c r="K1595" s="205"/>
    </row>
    <row r="1596" ht="14.25" customHeight="1">
      <c r="A1596" s="55">
        <v>47251.0</v>
      </c>
      <c r="B1596" s="55" t="str">
        <f t="shared" si="10"/>
        <v>Primer dia</v>
      </c>
      <c r="C1596" s="202">
        <f t="shared" si="1"/>
        <v>13</v>
      </c>
      <c r="D1596" s="202" t="str">
        <f t="shared" si="2"/>
        <v> </v>
      </c>
      <c r="E1596" s="202" t="str">
        <f t="shared" si="9"/>
        <v> </v>
      </c>
      <c r="F1596" s="55" t="str">
        <f t="shared" si="4"/>
        <v/>
      </c>
      <c r="G1596" s="202" t="str">
        <f t="shared" si="5"/>
        <v/>
      </c>
      <c r="H1596" s="202" t="str">
        <f t="shared" si="11"/>
        <v> </v>
      </c>
      <c r="I1596" s="205" t="str">
        <f t="shared" si="7"/>
        <v/>
      </c>
      <c r="J1596" s="205"/>
      <c r="K1596" s="205"/>
    </row>
    <row r="1597" ht="14.25" customHeight="1">
      <c r="A1597" s="55">
        <v>47252.0</v>
      </c>
      <c r="B1597" s="55" t="str">
        <f t="shared" si="10"/>
        <v>Primer dia</v>
      </c>
      <c r="C1597" s="202">
        <f t="shared" si="1"/>
        <v>14</v>
      </c>
      <c r="D1597" s="202" t="str">
        <f t="shared" si="2"/>
        <v> </v>
      </c>
      <c r="E1597" s="202" t="str">
        <f t="shared" si="9"/>
        <v> </v>
      </c>
      <c r="F1597" s="55" t="str">
        <f t="shared" si="4"/>
        <v/>
      </c>
      <c r="G1597" s="202" t="str">
        <f t="shared" si="5"/>
        <v/>
      </c>
      <c r="H1597" s="202" t="str">
        <f t="shared" si="11"/>
        <v> </v>
      </c>
      <c r="I1597" s="205" t="str">
        <f t="shared" si="7"/>
        <v/>
      </c>
      <c r="J1597" s="205"/>
      <c r="K1597" s="205"/>
    </row>
    <row r="1598" ht="14.25" customHeight="1">
      <c r="A1598" s="55">
        <v>47253.0</v>
      </c>
      <c r="B1598" s="55" t="str">
        <f t="shared" si="10"/>
        <v>Primer dia</v>
      </c>
      <c r="C1598" s="202">
        <f t="shared" si="1"/>
        <v>15</v>
      </c>
      <c r="D1598" s="202" t="str">
        <f t="shared" si="2"/>
        <v> </v>
      </c>
      <c r="E1598" s="202" t="str">
        <f t="shared" si="9"/>
        <v> </v>
      </c>
      <c r="F1598" s="55" t="str">
        <f t="shared" si="4"/>
        <v/>
      </c>
      <c r="G1598" s="202" t="str">
        <f t="shared" si="5"/>
        <v/>
      </c>
      <c r="H1598" s="202" t="str">
        <f t="shared" si="11"/>
        <v> </v>
      </c>
      <c r="I1598" s="205" t="str">
        <f t="shared" si="7"/>
        <v/>
      </c>
      <c r="J1598" s="205"/>
      <c r="K1598" s="205"/>
    </row>
    <row r="1599" ht="14.25" customHeight="1">
      <c r="A1599" s="55">
        <v>47254.0</v>
      </c>
      <c r="B1599" s="55" t="str">
        <f t="shared" si="10"/>
        <v>Primer dia</v>
      </c>
      <c r="C1599" s="202">
        <f t="shared" si="1"/>
        <v>16</v>
      </c>
      <c r="D1599" s="202" t="str">
        <f t="shared" si="2"/>
        <v> </v>
      </c>
      <c r="E1599" s="202" t="str">
        <f t="shared" si="9"/>
        <v> </v>
      </c>
      <c r="F1599" s="55" t="str">
        <f t="shared" si="4"/>
        <v/>
      </c>
      <c r="G1599" s="202" t="str">
        <f t="shared" si="5"/>
        <v/>
      </c>
      <c r="H1599" s="202" t="str">
        <f t="shared" si="11"/>
        <v> </v>
      </c>
      <c r="I1599" s="205" t="str">
        <f t="shared" si="7"/>
        <v/>
      </c>
      <c r="J1599" s="205"/>
      <c r="K1599" s="205"/>
    </row>
    <row r="1600" ht="14.25" customHeight="1">
      <c r="A1600" s="55">
        <v>47255.0</v>
      </c>
      <c r="B1600" s="55" t="str">
        <f t="shared" si="10"/>
        <v>Primer dia</v>
      </c>
      <c r="C1600" s="202">
        <f t="shared" si="1"/>
        <v>17</v>
      </c>
      <c r="D1600" s="202" t="str">
        <f t="shared" si="2"/>
        <v> </v>
      </c>
      <c r="E1600" s="202">
        <f t="shared" si="9"/>
        <v>17</v>
      </c>
      <c r="F1600" s="55">
        <f t="shared" si="4"/>
        <v>47255</v>
      </c>
      <c r="G1600" s="202">
        <f t="shared" si="5"/>
        <v>80</v>
      </c>
      <c r="H1600" s="202" t="str">
        <f t="shared" si="11"/>
        <v> </v>
      </c>
      <c r="I1600" s="205" t="str">
        <f t="shared" si="7"/>
        <v/>
      </c>
      <c r="J1600" s="205"/>
      <c r="K1600" s="205"/>
    </row>
    <row r="1601" ht="14.25" customHeight="1">
      <c r="A1601" s="55">
        <v>47256.0</v>
      </c>
      <c r="B1601" s="55" t="str">
        <f t="shared" si="10"/>
        <v>Primer dia</v>
      </c>
      <c r="C1601" s="202">
        <f t="shared" si="1"/>
        <v>18</v>
      </c>
      <c r="D1601" s="202" t="str">
        <f t="shared" si="2"/>
        <v> </v>
      </c>
      <c r="E1601" s="202" t="str">
        <f t="shared" si="9"/>
        <v> </v>
      </c>
      <c r="F1601" s="55" t="str">
        <f t="shared" si="4"/>
        <v/>
      </c>
      <c r="G1601" s="202" t="str">
        <f t="shared" si="5"/>
        <v/>
      </c>
      <c r="H1601" s="202" t="str">
        <f t="shared" si="11"/>
        <v> </v>
      </c>
      <c r="I1601" s="205" t="str">
        <f t="shared" si="7"/>
        <v/>
      </c>
      <c r="J1601" s="205"/>
      <c r="K1601" s="205"/>
    </row>
    <row r="1602" ht="14.25" customHeight="1">
      <c r="A1602" s="55">
        <v>47257.0</v>
      </c>
      <c r="B1602" s="55" t="str">
        <f t="shared" si="10"/>
        <v>Primer dia</v>
      </c>
      <c r="C1602" s="202">
        <f t="shared" si="1"/>
        <v>19</v>
      </c>
      <c r="D1602" s="202" t="str">
        <f t="shared" si="2"/>
        <v> </v>
      </c>
      <c r="E1602" s="202" t="str">
        <f t="shared" si="9"/>
        <v> </v>
      </c>
      <c r="F1602" s="55" t="str">
        <f t="shared" si="4"/>
        <v/>
      </c>
      <c r="G1602" s="202" t="str">
        <f t="shared" si="5"/>
        <v/>
      </c>
      <c r="H1602" s="202" t="str">
        <f t="shared" si="11"/>
        <v> </v>
      </c>
      <c r="I1602" s="205" t="str">
        <f t="shared" si="7"/>
        <v/>
      </c>
      <c r="J1602" s="205"/>
      <c r="K1602" s="205"/>
    </row>
    <row r="1603" ht="14.25" customHeight="1">
      <c r="A1603" s="55">
        <v>47258.0</v>
      </c>
      <c r="B1603" s="55" t="str">
        <f t="shared" si="10"/>
        <v>Primer dia</v>
      </c>
      <c r="C1603" s="202">
        <f t="shared" si="1"/>
        <v>20</v>
      </c>
      <c r="D1603" s="202" t="str">
        <f t="shared" si="2"/>
        <v> </v>
      </c>
      <c r="E1603" s="202" t="str">
        <f t="shared" si="9"/>
        <v> </v>
      </c>
      <c r="F1603" s="55" t="str">
        <f t="shared" si="4"/>
        <v/>
      </c>
      <c r="G1603" s="202" t="str">
        <f t="shared" si="5"/>
        <v/>
      </c>
      <c r="H1603" s="202" t="str">
        <f t="shared" si="11"/>
        <v> </v>
      </c>
      <c r="I1603" s="205" t="str">
        <f t="shared" si="7"/>
        <v/>
      </c>
      <c r="J1603" s="205"/>
      <c r="K1603" s="205"/>
    </row>
    <row r="1604" ht="14.25" customHeight="1">
      <c r="A1604" s="55">
        <v>47259.0</v>
      </c>
      <c r="B1604" s="55" t="str">
        <f t="shared" si="10"/>
        <v>Primer dia</v>
      </c>
      <c r="C1604" s="202">
        <f t="shared" si="1"/>
        <v>21</v>
      </c>
      <c r="D1604" s="202" t="str">
        <f t="shared" si="2"/>
        <v> </v>
      </c>
      <c r="E1604" s="202" t="str">
        <f t="shared" si="9"/>
        <v> </v>
      </c>
      <c r="F1604" s="55" t="str">
        <f t="shared" si="4"/>
        <v/>
      </c>
      <c r="G1604" s="202" t="str">
        <f t="shared" si="5"/>
        <v/>
      </c>
      <c r="H1604" s="202" t="str">
        <f t="shared" si="11"/>
        <v> </v>
      </c>
      <c r="I1604" s="205" t="str">
        <f t="shared" si="7"/>
        <v/>
      </c>
      <c r="J1604" s="205"/>
      <c r="K1604" s="205"/>
    </row>
    <row r="1605" ht="14.25" customHeight="1">
      <c r="A1605" s="55">
        <v>47260.0</v>
      </c>
      <c r="B1605" s="55" t="str">
        <f t="shared" si="10"/>
        <v>Primer dia</v>
      </c>
      <c r="C1605" s="202">
        <f t="shared" si="1"/>
        <v>22</v>
      </c>
      <c r="D1605" s="202" t="str">
        <f t="shared" si="2"/>
        <v> </v>
      </c>
      <c r="E1605" s="202" t="str">
        <f t="shared" si="9"/>
        <v> </v>
      </c>
      <c r="F1605" s="55" t="str">
        <f t="shared" si="4"/>
        <v/>
      </c>
      <c r="G1605" s="202" t="str">
        <f t="shared" si="5"/>
        <v/>
      </c>
      <c r="H1605" s="202" t="str">
        <f t="shared" si="11"/>
        <v> </v>
      </c>
      <c r="I1605" s="205" t="str">
        <f t="shared" si="7"/>
        <v/>
      </c>
      <c r="J1605" s="205"/>
      <c r="K1605" s="205"/>
    </row>
    <row r="1606" ht="14.25" customHeight="1">
      <c r="A1606" s="55">
        <v>47261.0</v>
      </c>
      <c r="B1606" s="55" t="str">
        <f t="shared" si="10"/>
        <v>Primer dia</v>
      </c>
      <c r="C1606" s="202">
        <f t="shared" si="1"/>
        <v>23</v>
      </c>
      <c r="D1606" s="202" t="str">
        <f t="shared" si="2"/>
        <v> </v>
      </c>
      <c r="E1606" s="202" t="str">
        <f t="shared" si="9"/>
        <v> </v>
      </c>
      <c r="F1606" s="55" t="str">
        <f t="shared" si="4"/>
        <v/>
      </c>
      <c r="G1606" s="202" t="str">
        <f t="shared" si="5"/>
        <v/>
      </c>
      <c r="H1606" s="202" t="str">
        <f t="shared" si="11"/>
        <v> </v>
      </c>
      <c r="I1606" s="205" t="str">
        <f t="shared" si="7"/>
        <v/>
      </c>
      <c r="J1606" s="205"/>
      <c r="K1606" s="205"/>
    </row>
    <row r="1607" ht="14.25" customHeight="1">
      <c r="A1607" s="55">
        <v>47262.0</v>
      </c>
      <c r="B1607" s="55" t="str">
        <f t="shared" si="10"/>
        <v>Primer dia</v>
      </c>
      <c r="C1607" s="202">
        <f t="shared" si="1"/>
        <v>24</v>
      </c>
      <c r="D1607" s="202" t="str">
        <f t="shared" si="2"/>
        <v> </v>
      </c>
      <c r="E1607" s="202" t="str">
        <f t="shared" si="9"/>
        <v> </v>
      </c>
      <c r="F1607" s="55" t="str">
        <f t="shared" si="4"/>
        <v/>
      </c>
      <c r="G1607" s="202" t="str">
        <f t="shared" si="5"/>
        <v/>
      </c>
      <c r="H1607" s="202" t="str">
        <f t="shared" si="11"/>
        <v> </v>
      </c>
      <c r="I1607" s="205" t="str">
        <f t="shared" si="7"/>
        <v/>
      </c>
      <c r="J1607" s="205"/>
      <c r="K1607" s="205"/>
    </row>
    <row r="1608" ht="14.25" customHeight="1">
      <c r="A1608" s="55">
        <v>47263.0</v>
      </c>
      <c r="B1608" s="55" t="str">
        <f t="shared" si="10"/>
        <v>Primer dia</v>
      </c>
      <c r="C1608" s="202">
        <f t="shared" si="1"/>
        <v>25</v>
      </c>
      <c r="D1608" s="202" t="str">
        <f t="shared" si="2"/>
        <v> </v>
      </c>
      <c r="E1608" s="202" t="str">
        <f t="shared" si="9"/>
        <v> </v>
      </c>
      <c r="F1608" s="55" t="str">
        <f t="shared" si="4"/>
        <v/>
      </c>
      <c r="G1608" s="202" t="str">
        <f t="shared" si="5"/>
        <v/>
      </c>
      <c r="H1608" s="202" t="str">
        <f t="shared" si="11"/>
        <v> </v>
      </c>
      <c r="I1608" s="205" t="str">
        <f t="shared" si="7"/>
        <v/>
      </c>
      <c r="J1608" s="205"/>
      <c r="K1608" s="205"/>
    </row>
    <row r="1609" ht="14.25" customHeight="1">
      <c r="A1609" s="55">
        <v>47264.0</v>
      </c>
      <c r="B1609" s="55" t="str">
        <f t="shared" si="10"/>
        <v>Primer dia</v>
      </c>
      <c r="C1609" s="202">
        <f t="shared" si="1"/>
        <v>26</v>
      </c>
      <c r="D1609" s="202" t="str">
        <f t="shared" si="2"/>
        <v> </v>
      </c>
      <c r="E1609" s="202" t="str">
        <f t="shared" si="9"/>
        <v> </v>
      </c>
      <c r="F1609" s="55" t="str">
        <f t="shared" si="4"/>
        <v/>
      </c>
      <c r="G1609" s="202" t="str">
        <f t="shared" si="5"/>
        <v/>
      </c>
      <c r="H1609" s="202" t="str">
        <f t="shared" si="11"/>
        <v> </v>
      </c>
      <c r="I1609" s="205" t="str">
        <f t="shared" si="7"/>
        <v/>
      </c>
      <c r="J1609" s="205"/>
      <c r="K1609" s="205"/>
    </row>
    <row r="1610" ht="14.25" customHeight="1">
      <c r="A1610" s="55">
        <v>47265.0</v>
      </c>
      <c r="B1610" s="55" t="str">
        <f t="shared" si="10"/>
        <v>Primer dia</v>
      </c>
      <c r="C1610" s="202">
        <f t="shared" si="1"/>
        <v>27</v>
      </c>
      <c r="D1610" s="202" t="str">
        <f t="shared" si="2"/>
        <v> </v>
      </c>
      <c r="E1610" s="202" t="str">
        <f t="shared" si="9"/>
        <v> </v>
      </c>
      <c r="F1610" s="55" t="str">
        <f t="shared" si="4"/>
        <v/>
      </c>
      <c r="G1610" s="202" t="str">
        <f t="shared" si="5"/>
        <v/>
      </c>
      <c r="H1610" s="202" t="str">
        <f t="shared" si="11"/>
        <v> </v>
      </c>
      <c r="I1610" s="205" t="str">
        <f t="shared" si="7"/>
        <v/>
      </c>
      <c r="J1610" s="205"/>
      <c r="K1610" s="205"/>
    </row>
    <row r="1611" ht="14.25" customHeight="1">
      <c r="A1611" s="55">
        <v>47266.0</v>
      </c>
      <c r="B1611" s="55" t="str">
        <f t="shared" si="10"/>
        <v>Primer dia</v>
      </c>
      <c r="C1611" s="202">
        <f t="shared" si="1"/>
        <v>28</v>
      </c>
      <c r="D1611" s="202" t="str">
        <f t="shared" si="2"/>
        <v> </v>
      </c>
      <c r="E1611" s="202" t="str">
        <f t="shared" si="9"/>
        <v> </v>
      </c>
      <c r="F1611" s="55" t="str">
        <f t="shared" si="4"/>
        <v/>
      </c>
      <c r="G1611" s="202" t="str">
        <f t="shared" si="5"/>
        <v/>
      </c>
      <c r="H1611" s="202" t="str">
        <f t="shared" si="11"/>
        <v> </v>
      </c>
      <c r="I1611" s="205" t="str">
        <f t="shared" si="7"/>
        <v/>
      </c>
      <c r="J1611" s="205"/>
      <c r="K1611" s="205"/>
    </row>
    <row r="1612" ht="14.25" customHeight="1">
      <c r="A1612" s="55">
        <v>47267.0</v>
      </c>
      <c r="B1612" s="55" t="str">
        <f t="shared" si="10"/>
        <v>Primer dia</v>
      </c>
      <c r="C1612" s="202">
        <f t="shared" si="1"/>
        <v>29</v>
      </c>
      <c r="D1612" s="202" t="str">
        <f t="shared" si="2"/>
        <v> </v>
      </c>
      <c r="E1612" s="202" t="str">
        <f t="shared" si="9"/>
        <v> </v>
      </c>
      <c r="F1612" s="55" t="str">
        <f t="shared" si="4"/>
        <v/>
      </c>
      <c r="G1612" s="202" t="str">
        <f t="shared" si="5"/>
        <v/>
      </c>
      <c r="H1612" s="202" t="str">
        <f t="shared" si="11"/>
        <v> </v>
      </c>
      <c r="I1612" s="205" t="str">
        <f t="shared" si="7"/>
        <v/>
      </c>
      <c r="J1612" s="205"/>
      <c r="K1612" s="205"/>
    </row>
    <row r="1613" ht="14.25" customHeight="1">
      <c r="A1613" s="55">
        <v>47268.0</v>
      </c>
      <c r="B1613" s="55" t="str">
        <f t="shared" si="10"/>
        <v>Primer dia</v>
      </c>
      <c r="C1613" s="202">
        <f t="shared" si="1"/>
        <v>30</v>
      </c>
      <c r="D1613" s="202" t="str">
        <f t="shared" si="2"/>
        <v> </v>
      </c>
      <c r="E1613" s="202" t="str">
        <f t="shared" si="9"/>
        <v> </v>
      </c>
      <c r="F1613" s="55" t="str">
        <f t="shared" si="4"/>
        <v/>
      </c>
      <c r="G1613" s="202" t="str">
        <f t="shared" si="5"/>
        <v/>
      </c>
      <c r="H1613" s="202" t="str">
        <f t="shared" si="11"/>
        <v> </v>
      </c>
      <c r="I1613" s="205" t="str">
        <f t="shared" si="7"/>
        <v/>
      </c>
      <c r="J1613" s="205"/>
      <c r="K1613" s="205"/>
    </row>
    <row r="1614" ht="14.25" customHeight="1">
      <c r="A1614" s="55">
        <v>47269.0</v>
      </c>
      <c r="B1614" s="55" t="str">
        <f t="shared" si="10"/>
        <v>Primer dia</v>
      </c>
      <c r="C1614" s="202">
        <f t="shared" si="1"/>
        <v>31</v>
      </c>
      <c r="D1614" s="202" t="str">
        <f t="shared" si="2"/>
        <v> </v>
      </c>
      <c r="E1614" s="202" t="str">
        <f t="shared" si="9"/>
        <v> </v>
      </c>
      <c r="F1614" s="55" t="str">
        <f t="shared" si="4"/>
        <v/>
      </c>
      <c r="G1614" s="202" t="str">
        <f t="shared" si="5"/>
        <v/>
      </c>
      <c r="H1614" s="202" t="str">
        <f t="shared" si="11"/>
        <v> </v>
      </c>
      <c r="I1614" s="205" t="str">
        <f t="shared" si="7"/>
        <v/>
      </c>
      <c r="J1614" s="205"/>
      <c r="K1614" s="205"/>
    </row>
    <row r="1615" ht="14.25" customHeight="1">
      <c r="A1615" s="55">
        <v>47270.0</v>
      </c>
      <c r="B1615" s="55" t="str">
        <f t="shared" si="10"/>
        <v>Primer dia</v>
      </c>
      <c r="C1615" s="202">
        <f t="shared" si="1"/>
        <v>1</v>
      </c>
      <c r="D1615" s="202" t="str">
        <f t="shared" si="2"/>
        <v> </v>
      </c>
      <c r="E1615" s="202" t="str">
        <f t="shared" si="9"/>
        <v> </v>
      </c>
      <c r="F1615" s="55" t="str">
        <f t="shared" si="4"/>
        <v/>
      </c>
      <c r="G1615" s="202" t="str">
        <f t="shared" si="5"/>
        <v/>
      </c>
      <c r="H1615" s="202" t="str">
        <f t="shared" si="11"/>
        <v> </v>
      </c>
      <c r="I1615" s="205" t="str">
        <f t="shared" si="7"/>
        <v/>
      </c>
      <c r="J1615" s="205"/>
      <c r="K1615" s="205"/>
    </row>
    <row r="1616" ht="14.25" customHeight="1">
      <c r="A1616" s="55">
        <v>47271.0</v>
      </c>
      <c r="B1616" s="55" t="str">
        <f t="shared" si="10"/>
        <v>Primer dia</v>
      </c>
      <c r="C1616" s="202">
        <f t="shared" si="1"/>
        <v>2</v>
      </c>
      <c r="D1616" s="202" t="str">
        <f t="shared" si="2"/>
        <v> </v>
      </c>
      <c r="E1616" s="202">
        <f t="shared" si="9"/>
        <v>2</v>
      </c>
      <c r="F1616" s="55">
        <f t="shared" si="4"/>
        <v>47271</v>
      </c>
      <c r="G1616" s="202">
        <f t="shared" si="5"/>
        <v>81</v>
      </c>
      <c r="H1616" s="202" t="str">
        <f t="shared" si="11"/>
        <v> </v>
      </c>
      <c r="I1616" s="205" t="str">
        <f t="shared" si="7"/>
        <v/>
      </c>
      <c r="J1616" s="205"/>
      <c r="K1616" s="205"/>
    </row>
    <row r="1617" ht="14.25" customHeight="1">
      <c r="A1617" s="55">
        <v>47272.0</v>
      </c>
      <c r="B1617" s="55" t="str">
        <f t="shared" si="10"/>
        <v>Primer dia</v>
      </c>
      <c r="C1617" s="202">
        <f t="shared" si="1"/>
        <v>3</v>
      </c>
      <c r="D1617" s="202" t="str">
        <f t="shared" si="2"/>
        <v> </v>
      </c>
      <c r="E1617" s="202" t="str">
        <f t="shared" si="9"/>
        <v> </v>
      </c>
      <c r="F1617" s="55" t="str">
        <f t="shared" si="4"/>
        <v/>
      </c>
      <c r="G1617" s="202" t="str">
        <f t="shared" si="5"/>
        <v/>
      </c>
      <c r="H1617" s="202" t="str">
        <f t="shared" si="11"/>
        <v> </v>
      </c>
      <c r="I1617" s="205" t="str">
        <f t="shared" si="7"/>
        <v/>
      </c>
      <c r="J1617" s="205"/>
      <c r="K1617" s="205"/>
    </row>
    <row r="1618" ht="14.25" customHeight="1">
      <c r="A1618" s="55">
        <v>47273.0</v>
      </c>
      <c r="B1618" s="55" t="str">
        <f t="shared" si="10"/>
        <v>Primer dia</v>
      </c>
      <c r="C1618" s="202">
        <f t="shared" si="1"/>
        <v>4</v>
      </c>
      <c r="D1618" s="202" t="str">
        <f t="shared" si="2"/>
        <v> </v>
      </c>
      <c r="E1618" s="202" t="str">
        <f t="shared" si="9"/>
        <v> </v>
      </c>
      <c r="F1618" s="55" t="str">
        <f t="shared" si="4"/>
        <v/>
      </c>
      <c r="G1618" s="202" t="str">
        <f t="shared" si="5"/>
        <v/>
      </c>
      <c r="H1618" s="202" t="str">
        <f t="shared" si="11"/>
        <v> </v>
      </c>
      <c r="I1618" s="205" t="str">
        <f t="shared" si="7"/>
        <v/>
      </c>
      <c r="J1618" s="205"/>
      <c r="K1618" s="205"/>
    </row>
    <row r="1619" ht="14.25" customHeight="1">
      <c r="A1619" s="55">
        <v>47274.0</v>
      </c>
      <c r="B1619" s="55" t="str">
        <f t="shared" si="10"/>
        <v>Primer dia</v>
      </c>
      <c r="C1619" s="202">
        <f t="shared" si="1"/>
        <v>5</v>
      </c>
      <c r="D1619" s="202" t="str">
        <f t="shared" si="2"/>
        <v> </v>
      </c>
      <c r="E1619" s="202" t="str">
        <f t="shared" si="9"/>
        <v> </v>
      </c>
      <c r="F1619" s="55" t="str">
        <f t="shared" si="4"/>
        <v/>
      </c>
      <c r="G1619" s="202" t="str">
        <f t="shared" si="5"/>
        <v/>
      </c>
      <c r="H1619" s="202" t="str">
        <f t="shared" si="11"/>
        <v> </v>
      </c>
      <c r="I1619" s="205" t="str">
        <f t="shared" si="7"/>
        <v/>
      </c>
      <c r="J1619" s="205"/>
      <c r="K1619" s="205"/>
    </row>
    <row r="1620" ht="14.25" customHeight="1">
      <c r="A1620" s="55">
        <v>47275.0</v>
      </c>
      <c r="B1620" s="55" t="str">
        <f t="shared" si="10"/>
        <v>Primer dia</v>
      </c>
      <c r="C1620" s="202">
        <f t="shared" si="1"/>
        <v>6</v>
      </c>
      <c r="D1620" s="202" t="str">
        <f t="shared" si="2"/>
        <v> </v>
      </c>
      <c r="E1620" s="202" t="str">
        <f t="shared" si="9"/>
        <v> </v>
      </c>
      <c r="F1620" s="55" t="str">
        <f t="shared" si="4"/>
        <v/>
      </c>
      <c r="G1620" s="202" t="str">
        <f t="shared" si="5"/>
        <v/>
      </c>
      <c r="H1620" s="202" t="str">
        <f t="shared" si="11"/>
        <v> </v>
      </c>
      <c r="I1620" s="205" t="str">
        <f t="shared" si="7"/>
        <v/>
      </c>
      <c r="J1620" s="205"/>
      <c r="K1620" s="205"/>
    </row>
    <row r="1621" ht="14.25" customHeight="1">
      <c r="A1621" s="55">
        <v>47276.0</v>
      </c>
      <c r="B1621" s="55" t="str">
        <f t="shared" si="10"/>
        <v>Primer dia</v>
      </c>
      <c r="C1621" s="202">
        <f t="shared" si="1"/>
        <v>7</v>
      </c>
      <c r="D1621" s="202" t="str">
        <f t="shared" si="2"/>
        <v> </v>
      </c>
      <c r="E1621" s="202" t="str">
        <f t="shared" si="9"/>
        <v> </v>
      </c>
      <c r="F1621" s="55" t="str">
        <f t="shared" si="4"/>
        <v/>
      </c>
      <c r="G1621" s="202" t="str">
        <f t="shared" si="5"/>
        <v/>
      </c>
      <c r="H1621" s="202" t="str">
        <f t="shared" si="11"/>
        <v> </v>
      </c>
      <c r="I1621" s="205" t="str">
        <f t="shared" si="7"/>
        <v/>
      </c>
      <c r="J1621" s="205"/>
      <c r="K1621" s="205"/>
    </row>
    <row r="1622" ht="14.25" customHeight="1">
      <c r="A1622" s="55">
        <v>47277.0</v>
      </c>
      <c r="B1622" s="55" t="str">
        <f t="shared" si="10"/>
        <v>Primer dia</v>
      </c>
      <c r="C1622" s="202">
        <f t="shared" si="1"/>
        <v>8</v>
      </c>
      <c r="D1622" s="202" t="str">
        <f t="shared" si="2"/>
        <v> </v>
      </c>
      <c r="E1622" s="202" t="str">
        <f t="shared" si="9"/>
        <v> </v>
      </c>
      <c r="F1622" s="55" t="str">
        <f t="shared" si="4"/>
        <v/>
      </c>
      <c r="G1622" s="202" t="str">
        <f t="shared" si="5"/>
        <v/>
      </c>
      <c r="H1622" s="202" t="str">
        <f t="shared" si="11"/>
        <v> </v>
      </c>
      <c r="I1622" s="205" t="str">
        <f t="shared" si="7"/>
        <v/>
      </c>
      <c r="J1622" s="205"/>
      <c r="K1622" s="205"/>
    </row>
    <row r="1623" ht="14.25" customHeight="1">
      <c r="A1623" s="55">
        <v>47278.0</v>
      </c>
      <c r="B1623" s="55" t="str">
        <f t="shared" si="10"/>
        <v>Primer dia</v>
      </c>
      <c r="C1623" s="202">
        <f t="shared" si="1"/>
        <v>9</v>
      </c>
      <c r="D1623" s="202" t="str">
        <f t="shared" si="2"/>
        <v> </v>
      </c>
      <c r="E1623" s="202" t="str">
        <f t="shared" si="9"/>
        <v> </v>
      </c>
      <c r="F1623" s="55" t="str">
        <f t="shared" si="4"/>
        <v/>
      </c>
      <c r="G1623" s="202" t="str">
        <f t="shared" si="5"/>
        <v/>
      </c>
      <c r="H1623" s="202" t="str">
        <f t="shared" si="11"/>
        <v> </v>
      </c>
      <c r="I1623" s="205" t="str">
        <f t="shared" si="7"/>
        <v/>
      </c>
      <c r="J1623" s="205"/>
      <c r="K1623" s="205"/>
    </row>
    <row r="1624" ht="14.25" customHeight="1">
      <c r="A1624" s="55">
        <v>47279.0</v>
      </c>
      <c r="B1624" s="55" t="str">
        <f t="shared" si="10"/>
        <v>Primer dia</v>
      </c>
      <c r="C1624" s="202">
        <f t="shared" si="1"/>
        <v>10</v>
      </c>
      <c r="D1624" s="202" t="str">
        <f t="shared" si="2"/>
        <v> </v>
      </c>
      <c r="E1624" s="202" t="str">
        <f t="shared" si="9"/>
        <v> </v>
      </c>
      <c r="F1624" s="55" t="str">
        <f t="shared" si="4"/>
        <v/>
      </c>
      <c r="G1624" s="202" t="str">
        <f t="shared" si="5"/>
        <v/>
      </c>
      <c r="H1624" s="202" t="str">
        <f t="shared" si="11"/>
        <v> </v>
      </c>
      <c r="I1624" s="205" t="str">
        <f t="shared" si="7"/>
        <v/>
      </c>
      <c r="J1624" s="205"/>
      <c r="K1624" s="205"/>
    </row>
    <row r="1625" ht="14.25" customHeight="1">
      <c r="A1625" s="55">
        <v>47280.0</v>
      </c>
      <c r="B1625" s="55" t="str">
        <f t="shared" si="10"/>
        <v>Primer dia</v>
      </c>
      <c r="C1625" s="202">
        <f t="shared" si="1"/>
        <v>11</v>
      </c>
      <c r="D1625" s="202" t="str">
        <f t="shared" si="2"/>
        <v> </v>
      </c>
      <c r="E1625" s="202" t="str">
        <f t="shared" si="9"/>
        <v> </v>
      </c>
      <c r="F1625" s="55" t="str">
        <f t="shared" si="4"/>
        <v/>
      </c>
      <c r="G1625" s="202" t="str">
        <f t="shared" si="5"/>
        <v/>
      </c>
      <c r="H1625" s="202" t="str">
        <f t="shared" si="11"/>
        <v> </v>
      </c>
      <c r="I1625" s="205" t="str">
        <f t="shared" si="7"/>
        <v/>
      </c>
      <c r="J1625" s="205"/>
      <c r="K1625" s="205"/>
    </row>
    <row r="1626" ht="14.25" customHeight="1">
      <c r="A1626" s="55">
        <v>47281.0</v>
      </c>
      <c r="B1626" s="55" t="str">
        <f t="shared" si="10"/>
        <v>Primer dia</v>
      </c>
      <c r="C1626" s="202">
        <f t="shared" si="1"/>
        <v>12</v>
      </c>
      <c r="D1626" s="202" t="str">
        <f t="shared" si="2"/>
        <v> </v>
      </c>
      <c r="E1626" s="202" t="str">
        <f t="shared" si="9"/>
        <v> </v>
      </c>
      <c r="F1626" s="55" t="str">
        <f t="shared" si="4"/>
        <v/>
      </c>
      <c r="G1626" s="202" t="str">
        <f t="shared" si="5"/>
        <v/>
      </c>
      <c r="H1626" s="202" t="str">
        <f t="shared" si="11"/>
        <v> </v>
      </c>
      <c r="I1626" s="205" t="str">
        <f t="shared" si="7"/>
        <v/>
      </c>
      <c r="J1626" s="205"/>
      <c r="K1626" s="205"/>
    </row>
    <row r="1627" ht="14.25" customHeight="1">
      <c r="A1627" s="55">
        <v>47282.0</v>
      </c>
      <c r="B1627" s="55" t="str">
        <f t="shared" si="10"/>
        <v>Primer dia</v>
      </c>
      <c r="C1627" s="202">
        <f t="shared" si="1"/>
        <v>13</v>
      </c>
      <c r="D1627" s="202" t="str">
        <f t="shared" si="2"/>
        <v> </v>
      </c>
      <c r="E1627" s="202" t="str">
        <f t="shared" si="9"/>
        <v> </v>
      </c>
      <c r="F1627" s="55" t="str">
        <f t="shared" si="4"/>
        <v/>
      </c>
      <c r="G1627" s="202" t="str">
        <f t="shared" si="5"/>
        <v/>
      </c>
      <c r="H1627" s="202" t="str">
        <f t="shared" si="11"/>
        <v> </v>
      </c>
      <c r="I1627" s="205" t="str">
        <f t="shared" si="7"/>
        <v/>
      </c>
      <c r="J1627" s="205"/>
      <c r="K1627" s="205"/>
    </row>
    <row r="1628" ht="14.25" customHeight="1">
      <c r="A1628" s="55">
        <v>47283.0</v>
      </c>
      <c r="B1628" s="55" t="str">
        <f t="shared" si="10"/>
        <v>Primer dia</v>
      </c>
      <c r="C1628" s="202">
        <f t="shared" si="1"/>
        <v>14</v>
      </c>
      <c r="D1628" s="202" t="str">
        <f t="shared" si="2"/>
        <v> </v>
      </c>
      <c r="E1628" s="202" t="str">
        <f t="shared" si="9"/>
        <v> </v>
      </c>
      <c r="F1628" s="55" t="str">
        <f t="shared" si="4"/>
        <v/>
      </c>
      <c r="G1628" s="202" t="str">
        <f t="shared" si="5"/>
        <v/>
      </c>
      <c r="H1628" s="202" t="str">
        <f t="shared" si="11"/>
        <v> </v>
      </c>
      <c r="I1628" s="205" t="str">
        <f t="shared" si="7"/>
        <v/>
      </c>
      <c r="J1628" s="205"/>
      <c r="K1628" s="205"/>
    </row>
    <row r="1629" ht="14.25" customHeight="1">
      <c r="A1629" s="55">
        <v>47284.0</v>
      </c>
      <c r="B1629" s="55" t="str">
        <f t="shared" si="10"/>
        <v>Primer dia</v>
      </c>
      <c r="C1629" s="202">
        <f t="shared" si="1"/>
        <v>15</v>
      </c>
      <c r="D1629" s="202" t="str">
        <f t="shared" si="2"/>
        <v> </v>
      </c>
      <c r="E1629" s="202" t="str">
        <f t="shared" si="9"/>
        <v> </v>
      </c>
      <c r="F1629" s="55" t="str">
        <f t="shared" si="4"/>
        <v/>
      </c>
      <c r="G1629" s="202" t="str">
        <f t="shared" si="5"/>
        <v/>
      </c>
      <c r="H1629" s="202" t="str">
        <f t="shared" si="11"/>
        <v> </v>
      </c>
      <c r="I1629" s="205" t="str">
        <f t="shared" si="7"/>
        <v/>
      </c>
      <c r="J1629" s="205"/>
      <c r="K1629" s="205"/>
    </row>
    <row r="1630" ht="14.25" customHeight="1">
      <c r="A1630" s="55">
        <v>47285.0</v>
      </c>
      <c r="B1630" s="55" t="str">
        <f t="shared" si="10"/>
        <v>Primer dia</v>
      </c>
      <c r="C1630" s="202">
        <f t="shared" si="1"/>
        <v>16</v>
      </c>
      <c r="D1630" s="202" t="str">
        <f t="shared" si="2"/>
        <v> </v>
      </c>
      <c r="E1630" s="202" t="str">
        <f t="shared" si="9"/>
        <v> </v>
      </c>
      <c r="F1630" s="55" t="str">
        <f t="shared" si="4"/>
        <v/>
      </c>
      <c r="G1630" s="202" t="str">
        <f t="shared" si="5"/>
        <v/>
      </c>
      <c r="H1630" s="202" t="str">
        <f t="shared" si="11"/>
        <v> </v>
      </c>
      <c r="I1630" s="205" t="str">
        <f t="shared" si="7"/>
        <v/>
      </c>
      <c r="J1630" s="205"/>
      <c r="K1630" s="205"/>
    </row>
    <row r="1631" ht="14.25" customHeight="1">
      <c r="A1631" s="55">
        <v>47286.0</v>
      </c>
      <c r="B1631" s="55" t="str">
        <f t="shared" si="10"/>
        <v>Primer dia</v>
      </c>
      <c r="C1631" s="202">
        <f t="shared" si="1"/>
        <v>17</v>
      </c>
      <c r="D1631" s="202" t="str">
        <f t="shared" si="2"/>
        <v> </v>
      </c>
      <c r="E1631" s="202">
        <f t="shared" si="9"/>
        <v>17</v>
      </c>
      <c r="F1631" s="55">
        <f t="shared" si="4"/>
        <v>47286</v>
      </c>
      <c r="G1631" s="202">
        <f t="shared" si="5"/>
        <v>82</v>
      </c>
      <c r="H1631" s="202" t="str">
        <f t="shared" si="11"/>
        <v> </v>
      </c>
      <c r="I1631" s="205" t="str">
        <f t="shared" si="7"/>
        <v/>
      </c>
      <c r="J1631" s="205"/>
      <c r="K1631" s="205"/>
    </row>
    <row r="1632" ht="14.25" customHeight="1">
      <c r="A1632" s="55">
        <v>47287.0</v>
      </c>
      <c r="B1632" s="55" t="str">
        <f t="shared" si="10"/>
        <v>Primer dia</v>
      </c>
      <c r="C1632" s="202">
        <f t="shared" si="1"/>
        <v>18</v>
      </c>
      <c r="D1632" s="202" t="str">
        <f t="shared" si="2"/>
        <v> </v>
      </c>
      <c r="E1632" s="202" t="str">
        <f t="shared" si="9"/>
        <v> </v>
      </c>
      <c r="F1632" s="55" t="str">
        <f t="shared" si="4"/>
        <v/>
      </c>
      <c r="G1632" s="202" t="str">
        <f t="shared" si="5"/>
        <v/>
      </c>
      <c r="H1632" s="202" t="str">
        <f t="shared" si="11"/>
        <v> </v>
      </c>
      <c r="I1632" s="205" t="str">
        <f t="shared" si="7"/>
        <v/>
      </c>
      <c r="J1632" s="205"/>
      <c r="K1632" s="205"/>
    </row>
    <row r="1633" ht="14.25" customHeight="1">
      <c r="A1633" s="55">
        <v>47288.0</v>
      </c>
      <c r="B1633" s="55" t="str">
        <f t="shared" si="10"/>
        <v>Primer dia</v>
      </c>
      <c r="C1633" s="202">
        <f t="shared" si="1"/>
        <v>19</v>
      </c>
      <c r="D1633" s="202" t="str">
        <f t="shared" si="2"/>
        <v> </v>
      </c>
      <c r="E1633" s="202" t="str">
        <f t="shared" si="9"/>
        <v> </v>
      </c>
      <c r="F1633" s="55" t="str">
        <f t="shared" si="4"/>
        <v/>
      </c>
      <c r="G1633" s="202" t="str">
        <f t="shared" si="5"/>
        <v/>
      </c>
      <c r="H1633" s="202" t="str">
        <f t="shared" si="11"/>
        <v> </v>
      </c>
      <c r="I1633" s="205" t="str">
        <f t="shared" si="7"/>
        <v/>
      </c>
      <c r="J1633" s="205"/>
      <c r="K1633" s="205"/>
    </row>
    <row r="1634" ht="14.25" customHeight="1">
      <c r="A1634" s="55">
        <v>47289.0</v>
      </c>
      <c r="B1634" s="55" t="str">
        <f t="shared" si="10"/>
        <v>Primer dia</v>
      </c>
      <c r="C1634" s="202">
        <f t="shared" si="1"/>
        <v>20</v>
      </c>
      <c r="D1634" s="202" t="str">
        <f t="shared" si="2"/>
        <v> </v>
      </c>
      <c r="E1634" s="202" t="str">
        <f t="shared" si="9"/>
        <v> </v>
      </c>
      <c r="F1634" s="55" t="str">
        <f t="shared" si="4"/>
        <v/>
      </c>
      <c r="G1634" s="202" t="str">
        <f t="shared" si="5"/>
        <v/>
      </c>
      <c r="H1634" s="202" t="str">
        <f t="shared" si="11"/>
        <v> </v>
      </c>
      <c r="I1634" s="205" t="str">
        <f t="shared" si="7"/>
        <v/>
      </c>
      <c r="J1634" s="205"/>
      <c r="K1634" s="205"/>
    </row>
    <row r="1635" ht="14.25" customHeight="1">
      <c r="A1635" s="55">
        <v>47290.0</v>
      </c>
      <c r="B1635" s="55" t="str">
        <f t="shared" si="10"/>
        <v>Primer dia</v>
      </c>
      <c r="C1635" s="202">
        <f t="shared" si="1"/>
        <v>21</v>
      </c>
      <c r="D1635" s="202" t="str">
        <f t="shared" si="2"/>
        <v> </v>
      </c>
      <c r="E1635" s="202" t="str">
        <f t="shared" si="9"/>
        <v> </v>
      </c>
      <c r="F1635" s="55" t="str">
        <f t="shared" si="4"/>
        <v/>
      </c>
      <c r="G1635" s="202" t="str">
        <f t="shared" si="5"/>
        <v/>
      </c>
      <c r="H1635" s="202" t="str">
        <f t="shared" si="11"/>
        <v> </v>
      </c>
      <c r="I1635" s="205" t="str">
        <f t="shared" si="7"/>
        <v/>
      </c>
      <c r="J1635" s="205"/>
      <c r="K1635" s="205"/>
    </row>
    <row r="1636" ht="14.25" customHeight="1">
      <c r="A1636" s="55">
        <v>47291.0</v>
      </c>
      <c r="B1636" s="55" t="str">
        <f t="shared" si="10"/>
        <v>Primer dia</v>
      </c>
      <c r="C1636" s="202">
        <f t="shared" si="1"/>
        <v>22</v>
      </c>
      <c r="D1636" s="202" t="str">
        <f t="shared" si="2"/>
        <v> </v>
      </c>
      <c r="E1636" s="202" t="str">
        <f t="shared" si="9"/>
        <v> </v>
      </c>
      <c r="F1636" s="55" t="str">
        <f t="shared" si="4"/>
        <v/>
      </c>
      <c r="G1636" s="202" t="str">
        <f t="shared" si="5"/>
        <v/>
      </c>
      <c r="H1636" s="202" t="str">
        <f t="shared" si="11"/>
        <v> </v>
      </c>
      <c r="I1636" s="205" t="str">
        <f t="shared" si="7"/>
        <v/>
      </c>
      <c r="J1636" s="205"/>
      <c r="K1636" s="205"/>
    </row>
    <row r="1637" ht="14.25" customHeight="1">
      <c r="A1637" s="55">
        <v>47292.0</v>
      </c>
      <c r="B1637" s="55" t="str">
        <f t="shared" si="10"/>
        <v>Primer dia</v>
      </c>
      <c r="C1637" s="202">
        <f t="shared" si="1"/>
        <v>23</v>
      </c>
      <c r="D1637" s="202" t="str">
        <f t="shared" si="2"/>
        <v> </v>
      </c>
      <c r="E1637" s="202" t="str">
        <f t="shared" si="9"/>
        <v> </v>
      </c>
      <c r="F1637" s="55" t="str">
        <f t="shared" si="4"/>
        <v/>
      </c>
      <c r="G1637" s="202" t="str">
        <f t="shared" si="5"/>
        <v/>
      </c>
      <c r="H1637" s="202" t="str">
        <f t="shared" si="11"/>
        <v> </v>
      </c>
      <c r="I1637" s="205" t="str">
        <f t="shared" si="7"/>
        <v/>
      </c>
      <c r="J1637" s="205"/>
      <c r="K1637" s="205"/>
    </row>
    <row r="1638" ht="14.25" customHeight="1">
      <c r="A1638" s="55">
        <v>47293.0</v>
      </c>
      <c r="B1638" s="55" t="str">
        <f t="shared" si="10"/>
        <v>Primer dia</v>
      </c>
      <c r="C1638" s="202">
        <f t="shared" si="1"/>
        <v>24</v>
      </c>
      <c r="D1638" s="202" t="str">
        <f t="shared" si="2"/>
        <v> </v>
      </c>
      <c r="E1638" s="202" t="str">
        <f t="shared" si="9"/>
        <v> </v>
      </c>
      <c r="F1638" s="55" t="str">
        <f t="shared" si="4"/>
        <v/>
      </c>
      <c r="G1638" s="202" t="str">
        <f t="shared" si="5"/>
        <v/>
      </c>
      <c r="H1638" s="202" t="str">
        <f t="shared" si="11"/>
        <v> </v>
      </c>
      <c r="I1638" s="205" t="str">
        <f t="shared" si="7"/>
        <v/>
      </c>
      <c r="J1638" s="205"/>
      <c r="K1638" s="205"/>
    </row>
    <row r="1639" ht="14.25" customHeight="1">
      <c r="A1639" s="55">
        <v>47294.0</v>
      </c>
      <c r="B1639" s="55" t="str">
        <f t="shared" si="10"/>
        <v>Primer dia</v>
      </c>
      <c r="C1639" s="202">
        <f t="shared" si="1"/>
        <v>25</v>
      </c>
      <c r="D1639" s="202" t="str">
        <f t="shared" si="2"/>
        <v> </v>
      </c>
      <c r="E1639" s="202" t="str">
        <f t="shared" si="9"/>
        <v> </v>
      </c>
      <c r="F1639" s="55" t="str">
        <f t="shared" si="4"/>
        <v/>
      </c>
      <c r="G1639" s="202" t="str">
        <f t="shared" si="5"/>
        <v/>
      </c>
      <c r="H1639" s="202" t="str">
        <f t="shared" si="11"/>
        <v> </v>
      </c>
      <c r="I1639" s="205" t="str">
        <f t="shared" si="7"/>
        <v/>
      </c>
      <c r="J1639" s="205"/>
      <c r="K1639" s="205"/>
    </row>
    <row r="1640" ht="14.25" customHeight="1">
      <c r="A1640" s="55">
        <v>47295.0</v>
      </c>
      <c r="B1640" s="55" t="str">
        <f t="shared" si="10"/>
        <v>Primer dia</v>
      </c>
      <c r="C1640" s="202">
        <f t="shared" si="1"/>
        <v>26</v>
      </c>
      <c r="D1640" s="202" t="str">
        <f t="shared" si="2"/>
        <v> </v>
      </c>
      <c r="E1640" s="202" t="str">
        <f t="shared" si="9"/>
        <v> </v>
      </c>
      <c r="F1640" s="55" t="str">
        <f t="shared" si="4"/>
        <v/>
      </c>
      <c r="G1640" s="202" t="str">
        <f t="shared" si="5"/>
        <v/>
      </c>
      <c r="H1640" s="202" t="str">
        <f t="shared" si="11"/>
        <v> </v>
      </c>
      <c r="I1640" s="205" t="str">
        <f t="shared" si="7"/>
        <v/>
      </c>
      <c r="J1640" s="205"/>
      <c r="K1640" s="205"/>
    </row>
    <row r="1641" ht="14.25" customHeight="1">
      <c r="A1641" s="55">
        <v>47296.0</v>
      </c>
      <c r="B1641" s="55" t="str">
        <f t="shared" si="10"/>
        <v>Primer dia</v>
      </c>
      <c r="C1641" s="202">
        <f t="shared" si="1"/>
        <v>27</v>
      </c>
      <c r="D1641" s="202" t="str">
        <f t="shared" si="2"/>
        <v> </v>
      </c>
      <c r="E1641" s="202" t="str">
        <f t="shared" si="9"/>
        <v> </v>
      </c>
      <c r="F1641" s="55" t="str">
        <f t="shared" si="4"/>
        <v/>
      </c>
      <c r="G1641" s="202" t="str">
        <f t="shared" si="5"/>
        <v/>
      </c>
      <c r="H1641" s="202" t="str">
        <f t="shared" si="11"/>
        <v> </v>
      </c>
      <c r="I1641" s="205" t="str">
        <f t="shared" si="7"/>
        <v/>
      </c>
      <c r="J1641" s="205"/>
      <c r="K1641" s="205"/>
    </row>
    <row r="1642" ht="14.25" customHeight="1">
      <c r="A1642" s="55">
        <v>47297.0</v>
      </c>
      <c r="B1642" s="55" t="str">
        <f t="shared" si="10"/>
        <v>Primer dia</v>
      </c>
      <c r="C1642" s="202">
        <f t="shared" si="1"/>
        <v>28</v>
      </c>
      <c r="D1642" s="202" t="str">
        <f t="shared" si="2"/>
        <v> </v>
      </c>
      <c r="E1642" s="202" t="str">
        <f t="shared" si="9"/>
        <v> </v>
      </c>
      <c r="F1642" s="55" t="str">
        <f t="shared" si="4"/>
        <v/>
      </c>
      <c r="G1642" s="202" t="str">
        <f t="shared" si="5"/>
        <v/>
      </c>
      <c r="H1642" s="202" t="str">
        <f t="shared" si="11"/>
        <v> </v>
      </c>
      <c r="I1642" s="205" t="str">
        <f t="shared" si="7"/>
        <v/>
      </c>
      <c r="J1642" s="205"/>
      <c r="K1642" s="205"/>
    </row>
    <row r="1643" ht="14.25" customHeight="1">
      <c r="A1643" s="55">
        <v>47298.0</v>
      </c>
      <c r="B1643" s="55" t="str">
        <f t="shared" si="10"/>
        <v>Primer dia</v>
      </c>
      <c r="C1643" s="202">
        <f t="shared" si="1"/>
        <v>29</v>
      </c>
      <c r="D1643" s="202" t="str">
        <f t="shared" si="2"/>
        <v> </v>
      </c>
      <c r="E1643" s="202" t="str">
        <f t="shared" si="9"/>
        <v> </v>
      </c>
      <c r="F1643" s="55" t="str">
        <f t="shared" si="4"/>
        <v/>
      </c>
      <c r="G1643" s="202" t="str">
        <f t="shared" si="5"/>
        <v/>
      </c>
      <c r="H1643" s="202" t="str">
        <f t="shared" si="11"/>
        <v> </v>
      </c>
      <c r="I1643" s="205" t="str">
        <f t="shared" si="7"/>
        <v/>
      </c>
      <c r="J1643" s="205"/>
      <c r="K1643" s="205"/>
    </row>
    <row r="1644" ht="14.25" customHeight="1">
      <c r="A1644" s="55">
        <v>47299.0</v>
      </c>
      <c r="B1644" s="55" t="str">
        <f t="shared" si="10"/>
        <v>Primer dia</v>
      </c>
      <c r="C1644" s="202">
        <f t="shared" si="1"/>
        <v>30</v>
      </c>
      <c r="D1644" s="202" t="str">
        <f t="shared" si="2"/>
        <v> </v>
      </c>
      <c r="E1644" s="202" t="str">
        <f t="shared" si="9"/>
        <v> </v>
      </c>
      <c r="F1644" s="55" t="str">
        <f t="shared" si="4"/>
        <v/>
      </c>
      <c r="G1644" s="202" t="str">
        <f t="shared" si="5"/>
        <v/>
      </c>
      <c r="H1644" s="202" t="str">
        <f t="shared" si="11"/>
        <v> </v>
      </c>
      <c r="I1644" s="205" t="str">
        <f t="shared" si="7"/>
        <v/>
      </c>
      <c r="J1644" s="205"/>
      <c r="K1644" s="205"/>
    </row>
    <row r="1645" ht="14.25" customHeight="1">
      <c r="A1645" s="55">
        <v>47300.0</v>
      </c>
      <c r="B1645" s="55" t="str">
        <f t="shared" si="10"/>
        <v>Primer dia</v>
      </c>
      <c r="C1645" s="202">
        <f t="shared" si="1"/>
        <v>1</v>
      </c>
      <c r="D1645" s="202" t="str">
        <f t="shared" si="2"/>
        <v> </v>
      </c>
      <c r="E1645" s="202" t="str">
        <f t="shared" si="9"/>
        <v> </v>
      </c>
      <c r="F1645" s="55" t="str">
        <f t="shared" si="4"/>
        <v/>
      </c>
      <c r="G1645" s="202" t="str">
        <f t="shared" si="5"/>
        <v/>
      </c>
      <c r="H1645" s="202" t="str">
        <f t="shared" si="11"/>
        <v> </v>
      </c>
      <c r="I1645" s="205" t="str">
        <f t="shared" si="7"/>
        <v/>
      </c>
      <c r="J1645" s="205"/>
      <c r="K1645" s="205"/>
    </row>
    <row r="1646" ht="14.25" customHeight="1">
      <c r="A1646" s="55">
        <v>47301.0</v>
      </c>
      <c r="B1646" s="55" t="str">
        <f t="shared" si="10"/>
        <v>Primer dia</v>
      </c>
      <c r="C1646" s="202">
        <f t="shared" si="1"/>
        <v>2</v>
      </c>
      <c r="D1646" s="202" t="str">
        <f t="shared" si="2"/>
        <v> </v>
      </c>
      <c r="E1646" s="202">
        <f t="shared" si="9"/>
        <v>2</v>
      </c>
      <c r="F1646" s="55">
        <f t="shared" si="4"/>
        <v>47301</v>
      </c>
      <c r="G1646" s="202">
        <f t="shared" si="5"/>
        <v>83</v>
      </c>
      <c r="H1646" s="202" t="str">
        <f t="shared" si="11"/>
        <v> </v>
      </c>
      <c r="I1646" s="205" t="str">
        <f t="shared" si="7"/>
        <v/>
      </c>
      <c r="J1646" s="205"/>
      <c r="K1646" s="205"/>
    </row>
    <row r="1647" ht="14.25" customHeight="1">
      <c r="A1647" s="55">
        <v>47302.0</v>
      </c>
      <c r="B1647" s="55" t="str">
        <f t="shared" si="10"/>
        <v>Primer dia</v>
      </c>
      <c r="C1647" s="202">
        <f t="shared" si="1"/>
        <v>3</v>
      </c>
      <c r="D1647" s="202" t="str">
        <f t="shared" si="2"/>
        <v> </v>
      </c>
      <c r="E1647" s="202" t="str">
        <f t="shared" si="9"/>
        <v> </v>
      </c>
      <c r="F1647" s="55" t="str">
        <f t="shared" si="4"/>
        <v/>
      </c>
      <c r="G1647" s="202" t="str">
        <f t="shared" si="5"/>
        <v/>
      </c>
      <c r="H1647" s="202" t="str">
        <f t="shared" si="11"/>
        <v> </v>
      </c>
      <c r="I1647" s="205" t="str">
        <f t="shared" si="7"/>
        <v/>
      </c>
      <c r="J1647" s="205"/>
      <c r="K1647" s="205"/>
    </row>
    <row r="1648" ht="14.25" customHeight="1">
      <c r="A1648" s="55">
        <v>47303.0</v>
      </c>
      <c r="B1648" s="55" t="str">
        <f t="shared" si="10"/>
        <v>Primer dia</v>
      </c>
      <c r="C1648" s="202">
        <f t="shared" si="1"/>
        <v>4</v>
      </c>
      <c r="D1648" s="202" t="str">
        <f t="shared" si="2"/>
        <v> </v>
      </c>
      <c r="E1648" s="202" t="str">
        <f t="shared" si="9"/>
        <v> </v>
      </c>
      <c r="F1648" s="55" t="str">
        <f t="shared" si="4"/>
        <v/>
      </c>
      <c r="G1648" s="202" t="str">
        <f t="shared" si="5"/>
        <v/>
      </c>
      <c r="H1648" s="202" t="str">
        <f t="shared" si="11"/>
        <v> </v>
      </c>
      <c r="I1648" s="205" t="str">
        <f t="shared" si="7"/>
        <v/>
      </c>
      <c r="J1648" s="205"/>
      <c r="K1648" s="205"/>
    </row>
    <row r="1649" ht="14.25" customHeight="1">
      <c r="A1649" s="55">
        <v>47304.0</v>
      </c>
      <c r="B1649" s="55" t="str">
        <f t="shared" si="10"/>
        <v>Primer dia</v>
      </c>
      <c r="C1649" s="202">
        <f t="shared" si="1"/>
        <v>5</v>
      </c>
      <c r="D1649" s="202" t="str">
        <f t="shared" si="2"/>
        <v> </v>
      </c>
      <c r="E1649" s="202" t="str">
        <f t="shared" si="9"/>
        <v> </v>
      </c>
      <c r="F1649" s="55" t="str">
        <f t="shared" si="4"/>
        <v/>
      </c>
      <c r="G1649" s="202" t="str">
        <f t="shared" si="5"/>
        <v/>
      </c>
      <c r="H1649" s="202" t="str">
        <f t="shared" si="11"/>
        <v> </v>
      </c>
      <c r="I1649" s="205" t="str">
        <f t="shared" si="7"/>
        <v/>
      </c>
      <c r="J1649" s="205"/>
      <c r="K1649" s="205"/>
    </row>
    <row r="1650" ht="14.25" customHeight="1">
      <c r="A1650" s="55">
        <v>47305.0</v>
      </c>
      <c r="B1650" s="55" t="str">
        <f t="shared" si="10"/>
        <v>Primer dia</v>
      </c>
      <c r="C1650" s="202">
        <f t="shared" si="1"/>
        <v>6</v>
      </c>
      <c r="D1650" s="202" t="str">
        <f t="shared" si="2"/>
        <v> </v>
      </c>
      <c r="E1650" s="202" t="str">
        <f t="shared" si="9"/>
        <v> </v>
      </c>
      <c r="F1650" s="55" t="str">
        <f t="shared" si="4"/>
        <v/>
      </c>
      <c r="G1650" s="202" t="str">
        <f t="shared" si="5"/>
        <v/>
      </c>
      <c r="H1650" s="202" t="str">
        <f t="shared" si="11"/>
        <v> </v>
      </c>
      <c r="I1650" s="205" t="str">
        <f t="shared" si="7"/>
        <v/>
      </c>
      <c r="J1650" s="205"/>
      <c r="K1650" s="205"/>
    </row>
    <row r="1651" ht="14.25" customHeight="1">
      <c r="A1651" s="55">
        <v>47306.0</v>
      </c>
      <c r="B1651" s="55" t="str">
        <f t="shared" si="10"/>
        <v>Primer dia</v>
      </c>
      <c r="C1651" s="202">
        <f t="shared" si="1"/>
        <v>7</v>
      </c>
      <c r="D1651" s="202" t="str">
        <f t="shared" si="2"/>
        <v> </v>
      </c>
      <c r="E1651" s="202" t="str">
        <f t="shared" si="9"/>
        <v> </v>
      </c>
      <c r="F1651" s="55" t="str">
        <f t="shared" si="4"/>
        <v/>
      </c>
      <c r="G1651" s="202" t="str">
        <f t="shared" si="5"/>
        <v/>
      </c>
      <c r="H1651" s="202" t="str">
        <f t="shared" si="11"/>
        <v> </v>
      </c>
      <c r="I1651" s="205" t="str">
        <f t="shared" si="7"/>
        <v/>
      </c>
      <c r="J1651" s="205"/>
      <c r="K1651" s="205"/>
    </row>
    <row r="1652" ht="14.25" customHeight="1">
      <c r="A1652" s="55">
        <v>47307.0</v>
      </c>
      <c r="B1652" s="55" t="str">
        <f t="shared" si="10"/>
        <v>Primer dia</v>
      </c>
      <c r="C1652" s="202">
        <f t="shared" si="1"/>
        <v>8</v>
      </c>
      <c r="D1652" s="202" t="str">
        <f t="shared" si="2"/>
        <v> </v>
      </c>
      <c r="E1652" s="202" t="str">
        <f t="shared" si="9"/>
        <v> </v>
      </c>
      <c r="F1652" s="55" t="str">
        <f t="shared" si="4"/>
        <v/>
      </c>
      <c r="G1652" s="202" t="str">
        <f t="shared" si="5"/>
        <v/>
      </c>
      <c r="H1652" s="202" t="str">
        <f t="shared" si="11"/>
        <v> </v>
      </c>
      <c r="I1652" s="205" t="str">
        <f t="shared" si="7"/>
        <v/>
      </c>
      <c r="J1652" s="205"/>
      <c r="K1652" s="205"/>
    </row>
    <row r="1653" ht="14.25" customHeight="1">
      <c r="A1653" s="55">
        <v>47308.0</v>
      </c>
      <c r="B1653" s="55" t="str">
        <f t="shared" si="10"/>
        <v>Primer dia</v>
      </c>
      <c r="C1653" s="202">
        <f t="shared" si="1"/>
        <v>9</v>
      </c>
      <c r="D1653" s="202" t="str">
        <f t="shared" si="2"/>
        <v> </v>
      </c>
      <c r="E1653" s="202" t="str">
        <f t="shared" si="9"/>
        <v> </v>
      </c>
      <c r="F1653" s="55" t="str">
        <f t="shared" si="4"/>
        <v/>
      </c>
      <c r="G1653" s="202" t="str">
        <f t="shared" si="5"/>
        <v/>
      </c>
      <c r="H1653" s="202" t="str">
        <f t="shared" si="11"/>
        <v> </v>
      </c>
      <c r="I1653" s="205" t="str">
        <f t="shared" si="7"/>
        <v/>
      </c>
      <c r="J1653" s="205"/>
      <c r="K1653" s="205"/>
    </row>
    <row r="1654" ht="14.25" customHeight="1">
      <c r="A1654" s="55">
        <v>47309.0</v>
      </c>
      <c r="B1654" s="55" t="str">
        <f t="shared" si="10"/>
        <v>Primer dia</v>
      </c>
      <c r="C1654" s="202">
        <f t="shared" si="1"/>
        <v>10</v>
      </c>
      <c r="D1654" s="202" t="str">
        <f t="shared" si="2"/>
        <v> </v>
      </c>
      <c r="E1654" s="202" t="str">
        <f t="shared" si="9"/>
        <v> </v>
      </c>
      <c r="F1654" s="55" t="str">
        <f t="shared" si="4"/>
        <v/>
      </c>
      <c r="G1654" s="202" t="str">
        <f t="shared" si="5"/>
        <v/>
      </c>
      <c r="H1654" s="202" t="str">
        <f t="shared" si="11"/>
        <v> </v>
      </c>
      <c r="I1654" s="205" t="str">
        <f t="shared" si="7"/>
        <v/>
      </c>
      <c r="J1654" s="205"/>
      <c r="K1654" s="205"/>
    </row>
    <row r="1655" ht="14.25" customHeight="1">
      <c r="A1655" s="55">
        <v>47310.0</v>
      </c>
      <c r="B1655" s="55" t="str">
        <f t="shared" si="10"/>
        <v>Primer dia</v>
      </c>
      <c r="C1655" s="202">
        <f t="shared" si="1"/>
        <v>11</v>
      </c>
      <c r="D1655" s="202" t="str">
        <f t="shared" si="2"/>
        <v> </v>
      </c>
      <c r="E1655" s="202" t="str">
        <f t="shared" si="9"/>
        <v> </v>
      </c>
      <c r="F1655" s="55" t="str">
        <f t="shared" si="4"/>
        <v/>
      </c>
      <c r="G1655" s="202" t="str">
        <f t="shared" si="5"/>
        <v/>
      </c>
      <c r="H1655" s="202" t="str">
        <f t="shared" si="11"/>
        <v> </v>
      </c>
      <c r="I1655" s="205" t="str">
        <f t="shared" si="7"/>
        <v/>
      </c>
      <c r="J1655" s="205"/>
      <c r="K1655" s="205"/>
    </row>
    <row r="1656" ht="14.25" customHeight="1">
      <c r="A1656" s="55">
        <v>47311.0</v>
      </c>
      <c r="B1656" s="55" t="str">
        <f t="shared" si="10"/>
        <v>Primer dia</v>
      </c>
      <c r="C1656" s="202">
        <f t="shared" si="1"/>
        <v>12</v>
      </c>
      <c r="D1656" s="202" t="str">
        <f t="shared" si="2"/>
        <v> </v>
      </c>
      <c r="E1656" s="202" t="str">
        <f t="shared" si="9"/>
        <v> </v>
      </c>
      <c r="F1656" s="55" t="str">
        <f t="shared" si="4"/>
        <v/>
      </c>
      <c r="G1656" s="202" t="str">
        <f t="shared" si="5"/>
        <v/>
      </c>
      <c r="H1656" s="202" t="str">
        <f t="shared" si="11"/>
        <v> </v>
      </c>
      <c r="I1656" s="205" t="str">
        <f t="shared" si="7"/>
        <v/>
      </c>
      <c r="J1656" s="205"/>
      <c r="K1656" s="205"/>
    </row>
    <row r="1657" ht="14.25" customHeight="1">
      <c r="A1657" s="55">
        <v>47312.0</v>
      </c>
      <c r="B1657" s="55" t="str">
        <f t="shared" si="10"/>
        <v>Primer dia</v>
      </c>
      <c r="C1657" s="202">
        <f t="shared" si="1"/>
        <v>13</v>
      </c>
      <c r="D1657" s="202" t="str">
        <f t="shared" si="2"/>
        <v> </v>
      </c>
      <c r="E1657" s="202" t="str">
        <f t="shared" si="9"/>
        <v> </v>
      </c>
      <c r="F1657" s="55" t="str">
        <f t="shared" si="4"/>
        <v/>
      </c>
      <c r="G1657" s="202" t="str">
        <f t="shared" si="5"/>
        <v/>
      </c>
      <c r="H1657" s="202" t="str">
        <f t="shared" si="11"/>
        <v> </v>
      </c>
      <c r="I1657" s="205" t="str">
        <f t="shared" si="7"/>
        <v/>
      </c>
      <c r="J1657" s="205"/>
      <c r="K1657" s="205"/>
    </row>
    <row r="1658" ht="14.25" customHeight="1">
      <c r="A1658" s="55">
        <v>47313.0</v>
      </c>
      <c r="B1658" s="55" t="str">
        <f t="shared" si="10"/>
        <v>Primer dia</v>
      </c>
      <c r="C1658" s="202">
        <f t="shared" si="1"/>
        <v>14</v>
      </c>
      <c r="D1658" s="202" t="str">
        <f t="shared" si="2"/>
        <v> </v>
      </c>
      <c r="E1658" s="202" t="str">
        <f t="shared" si="9"/>
        <v> </v>
      </c>
      <c r="F1658" s="55" t="str">
        <f t="shared" si="4"/>
        <v/>
      </c>
      <c r="G1658" s="202" t="str">
        <f t="shared" si="5"/>
        <v/>
      </c>
      <c r="H1658" s="202" t="str">
        <f t="shared" si="11"/>
        <v> </v>
      </c>
      <c r="I1658" s="205" t="str">
        <f t="shared" si="7"/>
        <v/>
      </c>
      <c r="J1658" s="205"/>
      <c r="K1658" s="205"/>
    </row>
    <row r="1659" ht="14.25" customHeight="1">
      <c r="A1659" s="55">
        <v>47314.0</v>
      </c>
      <c r="B1659" s="55" t="str">
        <f t="shared" si="10"/>
        <v>Primer dia</v>
      </c>
      <c r="C1659" s="202">
        <f t="shared" si="1"/>
        <v>15</v>
      </c>
      <c r="D1659" s="202" t="str">
        <f t="shared" si="2"/>
        <v> </v>
      </c>
      <c r="E1659" s="202" t="str">
        <f t="shared" si="9"/>
        <v> </v>
      </c>
      <c r="F1659" s="55" t="str">
        <f t="shared" si="4"/>
        <v/>
      </c>
      <c r="G1659" s="202" t="str">
        <f t="shared" si="5"/>
        <v/>
      </c>
      <c r="H1659" s="202" t="str">
        <f t="shared" si="11"/>
        <v> </v>
      </c>
      <c r="I1659" s="205" t="str">
        <f t="shared" si="7"/>
        <v/>
      </c>
      <c r="J1659" s="205"/>
      <c r="K1659" s="205"/>
    </row>
    <row r="1660" ht="14.25" customHeight="1">
      <c r="A1660" s="55">
        <v>47315.0</v>
      </c>
      <c r="B1660" s="55" t="str">
        <f t="shared" si="10"/>
        <v>Primer dia</v>
      </c>
      <c r="C1660" s="202">
        <f t="shared" si="1"/>
        <v>16</v>
      </c>
      <c r="D1660" s="202" t="str">
        <f t="shared" si="2"/>
        <v> </v>
      </c>
      <c r="E1660" s="202" t="str">
        <f t="shared" si="9"/>
        <v> </v>
      </c>
      <c r="F1660" s="55" t="str">
        <f t="shared" si="4"/>
        <v/>
      </c>
      <c r="G1660" s="202" t="str">
        <f t="shared" si="5"/>
        <v/>
      </c>
      <c r="H1660" s="202" t="str">
        <f t="shared" si="11"/>
        <v> </v>
      </c>
      <c r="I1660" s="205" t="str">
        <f t="shared" si="7"/>
        <v/>
      </c>
      <c r="J1660" s="205"/>
      <c r="K1660" s="205"/>
    </row>
    <row r="1661" ht="14.25" customHeight="1">
      <c r="A1661" s="55">
        <v>47316.0</v>
      </c>
      <c r="B1661" s="55" t="str">
        <f t="shared" si="10"/>
        <v>Primer dia</v>
      </c>
      <c r="C1661" s="202">
        <f t="shared" si="1"/>
        <v>17</v>
      </c>
      <c r="D1661" s="202" t="str">
        <f t="shared" si="2"/>
        <v> </v>
      </c>
      <c r="E1661" s="202">
        <f t="shared" si="9"/>
        <v>17</v>
      </c>
      <c r="F1661" s="55">
        <f t="shared" si="4"/>
        <v>47316</v>
      </c>
      <c r="G1661" s="202">
        <f t="shared" si="5"/>
        <v>84</v>
      </c>
      <c r="H1661" s="202" t="str">
        <f t="shared" si="11"/>
        <v> </v>
      </c>
      <c r="I1661" s="205" t="str">
        <f t="shared" si="7"/>
        <v/>
      </c>
      <c r="J1661" s="205"/>
      <c r="K1661" s="205"/>
    </row>
    <row r="1662" ht="14.25" customHeight="1">
      <c r="A1662" s="55">
        <v>47317.0</v>
      </c>
      <c r="B1662" s="55" t="str">
        <f t="shared" si="10"/>
        <v>Primer dia</v>
      </c>
      <c r="C1662" s="202">
        <f t="shared" si="1"/>
        <v>18</v>
      </c>
      <c r="D1662" s="202" t="str">
        <f t="shared" si="2"/>
        <v> </v>
      </c>
      <c r="E1662" s="202" t="str">
        <f t="shared" si="9"/>
        <v> </v>
      </c>
      <c r="F1662" s="55" t="str">
        <f t="shared" si="4"/>
        <v/>
      </c>
      <c r="G1662" s="202" t="str">
        <f t="shared" si="5"/>
        <v/>
      </c>
      <c r="H1662" s="202" t="str">
        <f t="shared" si="11"/>
        <v> </v>
      </c>
      <c r="I1662" s="205" t="str">
        <f t="shared" si="7"/>
        <v/>
      </c>
      <c r="J1662" s="205"/>
      <c r="K1662" s="205"/>
    </row>
    <row r="1663" ht="14.25" customHeight="1">
      <c r="A1663" s="55">
        <v>47318.0</v>
      </c>
      <c r="B1663" s="55" t="str">
        <f t="shared" si="10"/>
        <v>Primer dia</v>
      </c>
      <c r="C1663" s="202">
        <f t="shared" si="1"/>
        <v>19</v>
      </c>
      <c r="D1663" s="202" t="str">
        <f t="shared" si="2"/>
        <v> </v>
      </c>
      <c r="E1663" s="202" t="str">
        <f t="shared" si="9"/>
        <v> </v>
      </c>
      <c r="F1663" s="55" t="str">
        <f t="shared" si="4"/>
        <v/>
      </c>
      <c r="G1663" s="202" t="str">
        <f t="shared" si="5"/>
        <v/>
      </c>
      <c r="H1663" s="202" t="str">
        <f t="shared" si="11"/>
        <v> </v>
      </c>
      <c r="I1663" s="205" t="str">
        <f t="shared" si="7"/>
        <v/>
      </c>
      <c r="J1663" s="205"/>
      <c r="K1663" s="205"/>
    </row>
    <row r="1664" ht="14.25" customHeight="1">
      <c r="A1664" s="55">
        <v>47319.0</v>
      </c>
      <c r="B1664" s="55" t="str">
        <f t="shared" si="10"/>
        <v>Primer dia</v>
      </c>
      <c r="C1664" s="202">
        <f t="shared" si="1"/>
        <v>20</v>
      </c>
      <c r="D1664" s="202" t="str">
        <f t="shared" si="2"/>
        <v> </v>
      </c>
      <c r="E1664" s="202" t="str">
        <f t="shared" si="9"/>
        <v> </v>
      </c>
      <c r="F1664" s="55" t="str">
        <f t="shared" si="4"/>
        <v/>
      </c>
      <c r="G1664" s="202" t="str">
        <f t="shared" si="5"/>
        <v/>
      </c>
      <c r="H1664" s="202" t="str">
        <f t="shared" si="11"/>
        <v> </v>
      </c>
      <c r="I1664" s="205" t="str">
        <f t="shared" si="7"/>
        <v/>
      </c>
      <c r="J1664" s="205"/>
      <c r="K1664" s="205"/>
    </row>
    <row r="1665" ht="14.25" customHeight="1">
      <c r="A1665" s="55">
        <v>47320.0</v>
      </c>
      <c r="B1665" s="55" t="str">
        <f t="shared" si="10"/>
        <v>Primer dia</v>
      </c>
      <c r="C1665" s="202">
        <f t="shared" si="1"/>
        <v>21</v>
      </c>
      <c r="D1665" s="202" t="str">
        <f t="shared" si="2"/>
        <v> </v>
      </c>
      <c r="E1665" s="202" t="str">
        <f t="shared" si="9"/>
        <v> </v>
      </c>
      <c r="F1665" s="55" t="str">
        <f t="shared" si="4"/>
        <v/>
      </c>
      <c r="G1665" s="202" t="str">
        <f t="shared" si="5"/>
        <v/>
      </c>
      <c r="H1665" s="202" t="str">
        <f t="shared" si="11"/>
        <v> </v>
      </c>
      <c r="I1665" s="205" t="str">
        <f t="shared" si="7"/>
        <v/>
      </c>
      <c r="J1665" s="205"/>
      <c r="K1665" s="205"/>
    </row>
    <row r="1666" ht="14.25" customHeight="1">
      <c r="A1666" s="55">
        <v>47321.0</v>
      </c>
      <c r="B1666" s="55" t="str">
        <f t="shared" si="10"/>
        <v>Primer dia</v>
      </c>
      <c r="C1666" s="202">
        <f t="shared" si="1"/>
        <v>22</v>
      </c>
      <c r="D1666" s="202" t="str">
        <f t="shared" si="2"/>
        <v> </v>
      </c>
      <c r="E1666" s="202" t="str">
        <f t="shared" si="9"/>
        <v> </v>
      </c>
      <c r="F1666" s="55" t="str">
        <f t="shared" si="4"/>
        <v/>
      </c>
      <c r="G1666" s="202" t="str">
        <f t="shared" si="5"/>
        <v/>
      </c>
      <c r="H1666" s="202" t="str">
        <f t="shared" si="11"/>
        <v> </v>
      </c>
      <c r="I1666" s="205" t="str">
        <f t="shared" si="7"/>
        <v/>
      </c>
      <c r="J1666" s="205"/>
      <c r="K1666" s="205"/>
    </row>
    <row r="1667" ht="14.25" customHeight="1">
      <c r="A1667" s="55">
        <v>47322.0</v>
      </c>
      <c r="B1667" s="55" t="str">
        <f t="shared" si="10"/>
        <v>Primer dia</v>
      </c>
      <c r="C1667" s="202">
        <f t="shared" si="1"/>
        <v>23</v>
      </c>
      <c r="D1667" s="202" t="str">
        <f t="shared" si="2"/>
        <v> </v>
      </c>
      <c r="E1667" s="202" t="str">
        <f t="shared" si="9"/>
        <v> </v>
      </c>
      <c r="F1667" s="55" t="str">
        <f t="shared" si="4"/>
        <v/>
      </c>
      <c r="G1667" s="202" t="str">
        <f t="shared" si="5"/>
        <v/>
      </c>
      <c r="H1667" s="202" t="str">
        <f t="shared" si="11"/>
        <v> </v>
      </c>
      <c r="I1667" s="205" t="str">
        <f t="shared" si="7"/>
        <v/>
      </c>
      <c r="J1667" s="205"/>
      <c r="K1667" s="205"/>
    </row>
    <row r="1668" ht="14.25" customHeight="1">
      <c r="A1668" s="55">
        <v>47323.0</v>
      </c>
      <c r="B1668" s="55" t="str">
        <f t="shared" si="10"/>
        <v>Primer dia</v>
      </c>
      <c r="C1668" s="202">
        <f t="shared" si="1"/>
        <v>24</v>
      </c>
      <c r="D1668" s="202" t="str">
        <f t="shared" si="2"/>
        <v> </v>
      </c>
      <c r="E1668" s="202" t="str">
        <f t="shared" si="9"/>
        <v> </v>
      </c>
      <c r="F1668" s="55" t="str">
        <f t="shared" si="4"/>
        <v/>
      </c>
      <c r="G1668" s="202" t="str">
        <f t="shared" si="5"/>
        <v/>
      </c>
      <c r="H1668" s="202" t="str">
        <f t="shared" si="11"/>
        <v> </v>
      </c>
      <c r="I1668" s="205" t="str">
        <f t="shared" si="7"/>
        <v/>
      </c>
      <c r="J1668" s="205"/>
      <c r="K1668" s="205"/>
    </row>
    <row r="1669" ht="14.25" customHeight="1">
      <c r="A1669" s="55">
        <v>47324.0</v>
      </c>
      <c r="B1669" s="55" t="str">
        <f t="shared" si="10"/>
        <v>Primer dia</v>
      </c>
      <c r="C1669" s="202">
        <f t="shared" si="1"/>
        <v>25</v>
      </c>
      <c r="D1669" s="202" t="str">
        <f t="shared" si="2"/>
        <v> </v>
      </c>
      <c r="E1669" s="202" t="str">
        <f t="shared" si="9"/>
        <v> </v>
      </c>
      <c r="F1669" s="55" t="str">
        <f t="shared" si="4"/>
        <v/>
      </c>
      <c r="G1669" s="202" t="str">
        <f t="shared" si="5"/>
        <v/>
      </c>
      <c r="H1669" s="202" t="str">
        <f t="shared" si="11"/>
        <v> </v>
      </c>
      <c r="I1669" s="205" t="str">
        <f t="shared" si="7"/>
        <v/>
      </c>
      <c r="J1669" s="205"/>
      <c r="K1669" s="205"/>
    </row>
    <row r="1670" ht="14.25" customHeight="1">
      <c r="A1670" s="55">
        <v>47325.0</v>
      </c>
      <c r="B1670" s="55" t="str">
        <f t="shared" si="10"/>
        <v>Primer dia</v>
      </c>
      <c r="C1670" s="202">
        <f t="shared" si="1"/>
        <v>26</v>
      </c>
      <c r="D1670" s="202" t="str">
        <f t="shared" si="2"/>
        <v> </v>
      </c>
      <c r="E1670" s="202" t="str">
        <f t="shared" si="9"/>
        <v> </v>
      </c>
      <c r="F1670" s="55" t="str">
        <f t="shared" si="4"/>
        <v/>
      </c>
      <c r="G1670" s="202" t="str">
        <f t="shared" si="5"/>
        <v/>
      </c>
      <c r="H1670" s="202" t="str">
        <f t="shared" si="11"/>
        <v> </v>
      </c>
      <c r="I1670" s="205" t="str">
        <f t="shared" si="7"/>
        <v/>
      </c>
      <c r="J1670" s="205"/>
      <c r="K1670" s="205"/>
    </row>
    <row r="1671" ht="14.25" customHeight="1">
      <c r="A1671" s="55">
        <v>47326.0</v>
      </c>
      <c r="B1671" s="55" t="str">
        <f t="shared" si="10"/>
        <v>Primer dia</v>
      </c>
      <c r="C1671" s="202">
        <f t="shared" si="1"/>
        <v>27</v>
      </c>
      <c r="D1671" s="202" t="str">
        <f t="shared" si="2"/>
        <v> </v>
      </c>
      <c r="E1671" s="202" t="str">
        <f t="shared" si="9"/>
        <v> </v>
      </c>
      <c r="F1671" s="55" t="str">
        <f t="shared" si="4"/>
        <v/>
      </c>
      <c r="G1671" s="202" t="str">
        <f t="shared" si="5"/>
        <v/>
      </c>
      <c r="H1671" s="202" t="str">
        <f t="shared" si="11"/>
        <v> </v>
      </c>
      <c r="I1671" s="205" t="str">
        <f t="shared" si="7"/>
        <v/>
      </c>
      <c r="J1671" s="205"/>
      <c r="K1671" s="205"/>
    </row>
    <row r="1672" ht="14.25" customHeight="1">
      <c r="A1672" s="55">
        <v>47327.0</v>
      </c>
      <c r="B1672" s="55" t="str">
        <f t="shared" si="10"/>
        <v>Primer dia</v>
      </c>
      <c r="C1672" s="202">
        <f t="shared" si="1"/>
        <v>28</v>
      </c>
      <c r="D1672" s="202" t="str">
        <f t="shared" si="2"/>
        <v> </v>
      </c>
      <c r="E1672" s="202" t="str">
        <f t="shared" si="9"/>
        <v> </v>
      </c>
      <c r="F1672" s="55" t="str">
        <f t="shared" si="4"/>
        <v/>
      </c>
      <c r="G1672" s="202" t="str">
        <f t="shared" si="5"/>
        <v/>
      </c>
      <c r="H1672" s="202" t="str">
        <f t="shared" si="11"/>
        <v> </v>
      </c>
      <c r="I1672" s="205" t="str">
        <f t="shared" si="7"/>
        <v/>
      </c>
      <c r="J1672" s="205"/>
      <c r="K1672" s="205"/>
    </row>
    <row r="1673" ht="14.25" customHeight="1">
      <c r="A1673" s="55">
        <v>47328.0</v>
      </c>
      <c r="B1673" s="55" t="str">
        <f t="shared" si="10"/>
        <v>Primer dia</v>
      </c>
      <c r="C1673" s="202">
        <f t="shared" si="1"/>
        <v>29</v>
      </c>
      <c r="D1673" s="202" t="str">
        <f t="shared" si="2"/>
        <v> </v>
      </c>
      <c r="E1673" s="202" t="str">
        <f t="shared" si="9"/>
        <v> </v>
      </c>
      <c r="F1673" s="55" t="str">
        <f t="shared" si="4"/>
        <v/>
      </c>
      <c r="G1673" s="202" t="str">
        <f t="shared" si="5"/>
        <v/>
      </c>
      <c r="H1673" s="202" t="str">
        <f t="shared" si="11"/>
        <v> </v>
      </c>
      <c r="I1673" s="205" t="str">
        <f t="shared" si="7"/>
        <v/>
      </c>
      <c r="J1673" s="205"/>
      <c r="K1673" s="205"/>
    </row>
    <row r="1674" ht="14.25" customHeight="1">
      <c r="A1674" s="55">
        <v>47329.0</v>
      </c>
      <c r="B1674" s="55" t="str">
        <f t="shared" si="10"/>
        <v>Primer dia</v>
      </c>
      <c r="C1674" s="202">
        <f t="shared" si="1"/>
        <v>30</v>
      </c>
      <c r="D1674" s="202" t="str">
        <f t="shared" si="2"/>
        <v> </v>
      </c>
      <c r="E1674" s="202" t="str">
        <f t="shared" si="9"/>
        <v> </v>
      </c>
      <c r="F1674" s="55" t="str">
        <f t="shared" si="4"/>
        <v/>
      </c>
      <c r="G1674" s="202" t="str">
        <f t="shared" si="5"/>
        <v/>
      </c>
      <c r="H1674" s="202" t="str">
        <f t="shared" si="11"/>
        <v> </v>
      </c>
      <c r="I1674" s="205" t="str">
        <f t="shared" si="7"/>
        <v/>
      </c>
      <c r="J1674" s="205"/>
      <c r="K1674" s="205"/>
    </row>
    <row r="1675" ht="14.25" customHeight="1">
      <c r="A1675" s="55">
        <v>47330.0</v>
      </c>
      <c r="B1675" s="55" t="str">
        <f t="shared" si="10"/>
        <v>Primer dia</v>
      </c>
      <c r="C1675" s="202">
        <f t="shared" si="1"/>
        <v>31</v>
      </c>
      <c r="D1675" s="202" t="str">
        <f t="shared" si="2"/>
        <v> </v>
      </c>
      <c r="E1675" s="202" t="str">
        <f t="shared" si="9"/>
        <v> </v>
      </c>
      <c r="F1675" s="55" t="str">
        <f t="shared" si="4"/>
        <v/>
      </c>
      <c r="G1675" s="202" t="str">
        <f t="shared" si="5"/>
        <v/>
      </c>
      <c r="H1675" s="202" t="str">
        <f t="shared" si="11"/>
        <v> </v>
      </c>
      <c r="I1675" s="205" t="str">
        <f t="shared" si="7"/>
        <v/>
      </c>
      <c r="J1675" s="205"/>
      <c r="K1675" s="205"/>
    </row>
    <row r="1676" ht="14.25" customHeight="1">
      <c r="A1676" s="55">
        <v>47331.0</v>
      </c>
      <c r="B1676" s="55" t="str">
        <f t="shared" si="10"/>
        <v>Primer dia</v>
      </c>
      <c r="C1676" s="202">
        <f t="shared" si="1"/>
        <v>1</v>
      </c>
      <c r="D1676" s="202" t="str">
        <f t="shared" si="2"/>
        <v> </v>
      </c>
      <c r="E1676" s="202" t="str">
        <f t="shared" si="9"/>
        <v> </v>
      </c>
      <c r="F1676" s="55" t="str">
        <f t="shared" si="4"/>
        <v/>
      </c>
      <c r="G1676" s="202" t="str">
        <f t="shared" si="5"/>
        <v/>
      </c>
      <c r="H1676" s="202" t="str">
        <f t="shared" si="11"/>
        <v> </v>
      </c>
      <c r="I1676" s="205" t="str">
        <f t="shared" si="7"/>
        <v/>
      </c>
      <c r="J1676" s="205"/>
      <c r="K1676" s="205"/>
    </row>
    <row r="1677" ht="14.25" customHeight="1">
      <c r="A1677" s="55">
        <v>47332.0</v>
      </c>
      <c r="B1677" s="55" t="str">
        <f t="shared" si="10"/>
        <v>Primer dia</v>
      </c>
      <c r="C1677" s="202">
        <f t="shared" si="1"/>
        <v>2</v>
      </c>
      <c r="D1677" s="202" t="str">
        <f t="shared" si="2"/>
        <v> </v>
      </c>
      <c r="E1677" s="202">
        <f t="shared" si="9"/>
        <v>2</v>
      </c>
      <c r="F1677" s="55">
        <f t="shared" si="4"/>
        <v>47332</v>
      </c>
      <c r="G1677" s="202">
        <f t="shared" si="5"/>
        <v>85</v>
      </c>
      <c r="H1677" s="202" t="str">
        <f t="shared" si="11"/>
        <v> </v>
      </c>
      <c r="I1677" s="205" t="str">
        <f t="shared" si="7"/>
        <v/>
      </c>
      <c r="J1677" s="205"/>
      <c r="K1677" s="205"/>
    </row>
    <row r="1678" ht="14.25" customHeight="1">
      <c r="A1678" s="55">
        <v>47333.0</v>
      </c>
      <c r="B1678" s="55" t="str">
        <f t="shared" si="10"/>
        <v>Primer dia</v>
      </c>
      <c r="C1678" s="202">
        <f t="shared" si="1"/>
        <v>3</v>
      </c>
      <c r="D1678" s="202" t="str">
        <f t="shared" si="2"/>
        <v> </v>
      </c>
      <c r="E1678" s="202" t="str">
        <f t="shared" si="9"/>
        <v> </v>
      </c>
      <c r="F1678" s="55" t="str">
        <f t="shared" si="4"/>
        <v/>
      </c>
      <c r="G1678" s="202" t="str">
        <f t="shared" si="5"/>
        <v/>
      </c>
      <c r="H1678" s="202" t="str">
        <f t="shared" si="11"/>
        <v> </v>
      </c>
      <c r="I1678" s="205" t="str">
        <f t="shared" si="7"/>
        <v/>
      </c>
      <c r="J1678" s="205"/>
      <c r="K1678" s="205"/>
    </row>
    <row r="1679" ht="14.25" customHeight="1">
      <c r="A1679" s="55">
        <v>47334.0</v>
      </c>
      <c r="B1679" s="55" t="str">
        <f t="shared" si="10"/>
        <v>Primer dia</v>
      </c>
      <c r="C1679" s="202">
        <f t="shared" si="1"/>
        <v>4</v>
      </c>
      <c r="D1679" s="202" t="str">
        <f t="shared" si="2"/>
        <v> </v>
      </c>
      <c r="E1679" s="202" t="str">
        <f t="shared" si="9"/>
        <v> </v>
      </c>
      <c r="F1679" s="55" t="str">
        <f t="shared" si="4"/>
        <v/>
      </c>
      <c r="G1679" s="202" t="str">
        <f t="shared" si="5"/>
        <v/>
      </c>
      <c r="H1679" s="202" t="str">
        <f t="shared" si="11"/>
        <v> </v>
      </c>
      <c r="I1679" s="205" t="str">
        <f t="shared" si="7"/>
        <v/>
      </c>
      <c r="J1679" s="205"/>
      <c r="K1679" s="205"/>
    </row>
    <row r="1680" ht="14.25" customHeight="1">
      <c r="A1680" s="55">
        <v>47335.0</v>
      </c>
      <c r="B1680" s="55" t="str">
        <f t="shared" si="10"/>
        <v>Primer dia</v>
      </c>
      <c r="C1680" s="202">
        <f t="shared" si="1"/>
        <v>5</v>
      </c>
      <c r="D1680" s="202" t="str">
        <f t="shared" si="2"/>
        <v> </v>
      </c>
      <c r="E1680" s="202" t="str">
        <f t="shared" si="9"/>
        <v> </v>
      </c>
      <c r="F1680" s="55" t="str">
        <f t="shared" si="4"/>
        <v/>
      </c>
      <c r="G1680" s="202" t="str">
        <f t="shared" si="5"/>
        <v/>
      </c>
      <c r="H1680" s="202" t="str">
        <f t="shared" si="11"/>
        <v> </v>
      </c>
      <c r="I1680" s="205" t="str">
        <f t="shared" si="7"/>
        <v/>
      </c>
      <c r="J1680" s="205"/>
      <c r="K1680" s="205"/>
    </row>
    <row r="1681" ht="14.25" customHeight="1">
      <c r="A1681" s="55">
        <v>47336.0</v>
      </c>
      <c r="B1681" s="55" t="str">
        <f t="shared" si="10"/>
        <v>Primer dia</v>
      </c>
      <c r="C1681" s="202">
        <f t="shared" si="1"/>
        <v>6</v>
      </c>
      <c r="D1681" s="202" t="str">
        <f t="shared" si="2"/>
        <v> </v>
      </c>
      <c r="E1681" s="202" t="str">
        <f t="shared" si="9"/>
        <v> </v>
      </c>
      <c r="F1681" s="55" t="str">
        <f t="shared" si="4"/>
        <v/>
      </c>
      <c r="G1681" s="202" t="str">
        <f t="shared" si="5"/>
        <v/>
      </c>
      <c r="H1681" s="202" t="str">
        <f t="shared" si="11"/>
        <v> </v>
      </c>
      <c r="I1681" s="205" t="str">
        <f t="shared" si="7"/>
        <v/>
      </c>
      <c r="J1681" s="205"/>
      <c r="K1681" s="205"/>
    </row>
    <row r="1682" ht="14.25" customHeight="1">
      <c r="A1682" s="55">
        <v>47337.0</v>
      </c>
      <c r="B1682" s="55" t="str">
        <f t="shared" si="10"/>
        <v>Primer dia</v>
      </c>
      <c r="C1682" s="202">
        <f t="shared" si="1"/>
        <v>7</v>
      </c>
      <c r="D1682" s="202" t="str">
        <f t="shared" si="2"/>
        <v> </v>
      </c>
      <c r="E1682" s="202" t="str">
        <f t="shared" si="9"/>
        <v> </v>
      </c>
      <c r="F1682" s="55" t="str">
        <f t="shared" si="4"/>
        <v/>
      </c>
      <c r="G1682" s="202" t="str">
        <f t="shared" si="5"/>
        <v/>
      </c>
      <c r="H1682" s="202" t="str">
        <f t="shared" si="11"/>
        <v> </v>
      </c>
      <c r="I1682" s="205" t="str">
        <f t="shared" si="7"/>
        <v/>
      </c>
      <c r="J1682" s="205"/>
      <c r="K1682" s="205"/>
    </row>
    <row r="1683" ht="14.25" customHeight="1">
      <c r="A1683" s="55">
        <v>47338.0</v>
      </c>
      <c r="B1683" s="55" t="str">
        <f t="shared" si="10"/>
        <v>Primer dia</v>
      </c>
      <c r="C1683" s="202">
        <f t="shared" si="1"/>
        <v>8</v>
      </c>
      <c r="D1683" s="202" t="str">
        <f t="shared" si="2"/>
        <v> </v>
      </c>
      <c r="E1683" s="202" t="str">
        <f t="shared" si="9"/>
        <v> </v>
      </c>
      <c r="F1683" s="55" t="str">
        <f t="shared" si="4"/>
        <v/>
      </c>
      <c r="G1683" s="202" t="str">
        <f t="shared" si="5"/>
        <v/>
      </c>
      <c r="H1683" s="202" t="str">
        <f t="shared" si="11"/>
        <v> </v>
      </c>
      <c r="I1683" s="205" t="str">
        <f t="shared" si="7"/>
        <v/>
      </c>
      <c r="J1683" s="205"/>
      <c r="K1683" s="205"/>
    </row>
    <row r="1684" ht="14.25" customHeight="1">
      <c r="A1684" s="55">
        <v>47339.0</v>
      </c>
      <c r="B1684" s="55" t="str">
        <f t="shared" si="10"/>
        <v>Primer dia</v>
      </c>
      <c r="C1684" s="202">
        <f t="shared" si="1"/>
        <v>9</v>
      </c>
      <c r="D1684" s="202" t="str">
        <f t="shared" si="2"/>
        <v> </v>
      </c>
      <c r="E1684" s="202" t="str">
        <f t="shared" si="9"/>
        <v> </v>
      </c>
      <c r="F1684" s="55" t="str">
        <f t="shared" si="4"/>
        <v/>
      </c>
      <c r="G1684" s="202" t="str">
        <f t="shared" si="5"/>
        <v/>
      </c>
      <c r="H1684" s="202" t="str">
        <f t="shared" si="11"/>
        <v> </v>
      </c>
      <c r="I1684" s="205" t="str">
        <f t="shared" si="7"/>
        <v/>
      </c>
      <c r="J1684" s="205"/>
      <c r="K1684" s="205"/>
    </row>
    <row r="1685" ht="14.25" customHeight="1">
      <c r="A1685" s="55">
        <v>47340.0</v>
      </c>
      <c r="B1685" s="55" t="str">
        <f t="shared" si="10"/>
        <v>Primer dia</v>
      </c>
      <c r="C1685" s="202">
        <f t="shared" si="1"/>
        <v>10</v>
      </c>
      <c r="D1685" s="202" t="str">
        <f t="shared" si="2"/>
        <v> </v>
      </c>
      <c r="E1685" s="202" t="str">
        <f t="shared" si="9"/>
        <v> </v>
      </c>
      <c r="F1685" s="55" t="str">
        <f t="shared" si="4"/>
        <v/>
      </c>
      <c r="G1685" s="202" t="str">
        <f t="shared" si="5"/>
        <v/>
      </c>
      <c r="H1685" s="202" t="str">
        <f t="shared" si="11"/>
        <v> </v>
      </c>
      <c r="I1685" s="205" t="str">
        <f t="shared" si="7"/>
        <v/>
      </c>
      <c r="J1685" s="205"/>
      <c r="K1685" s="205"/>
    </row>
    <row r="1686" ht="14.25" customHeight="1">
      <c r="A1686" s="55">
        <v>47341.0</v>
      </c>
      <c r="B1686" s="55" t="str">
        <f t="shared" si="10"/>
        <v>Primer dia</v>
      </c>
      <c r="C1686" s="202">
        <f t="shared" si="1"/>
        <v>11</v>
      </c>
      <c r="D1686" s="202" t="str">
        <f t="shared" si="2"/>
        <v> </v>
      </c>
      <c r="E1686" s="202" t="str">
        <f t="shared" si="9"/>
        <v> </v>
      </c>
      <c r="F1686" s="55" t="str">
        <f t="shared" si="4"/>
        <v/>
      </c>
      <c r="G1686" s="202" t="str">
        <f t="shared" si="5"/>
        <v/>
      </c>
      <c r="H1686" s="202" t="str">
        <f t="shared" si="11"/>
        <v> </v>
      </c>
      <c r="I1686" s="205" t="str">
        <f t="shared" si="7"/>
        <v/>
      </c>
      <c r="J1686" s="205"/>
      <c r="K1686" s="205"/>
    </row>
    <row r="1687" ht="14.25" customHeight="1">
      <c r="A1687" s="55">
        <v>47342.0</v>
      </c>
      <c r="B1687" s="55" t="str">
        <f t="shared" si="10"/>
        <v>Primer dia</v>
      </c>
      <c r="C1687" s="202">
        <f t="shared" si="1"/>
        <v>12</v>
      </c>
      <c r="D1687" s="202" t="str">
        <f t="shared" si="2"/>
        <v> </v>
      </c>
      <c r="E1687" s="202" t="str">
        <f t="shared" si="9"/>
        <v> </v>
      </c>
      <c r="F1687" s="55" t="str">
        <f t="shared" si="4"/>
        <v/>
      </c>
      <c r="G1687" s="202" t="str">
        <f t="shared" si="5"/>
        <v/>
      </c>
      <c r="H1687" s="202" t="str">
        <f t="shared" si="11"/>
        <v> </v>
      </c>
      <c r="I1687" s="205" t="str">
        <f t="shared" si="7"/>
        <v/>
      </c>
      <c r="J1687" s="205"/>
      <c r="K1687" s="205"/>
    </row>
    <row r="1688" ht="14.25" customHeight="1">
      <c r="A1688" s="55">
        <v>47343.0</v>
      </c>
      <c r="B1688" s="55" t="str">
        <f t="shared" si="10"/>
        <v>Primer dia</v>
      </c>
      <c r="C1688" s="202">
        <f t="shared" si="1"/>
        <v>13</v>
      </c>
      <c r="D1688" s="202" t="str">
        <f t="shared" si="2"/>
        <v> </v>
      </c>
      <c r="E1688" s="202" t="str">
        <f t="shared" si="9"/>
        <v> </v>
      </c>
      <c r="F1688" s="55" t="str">
        <f t="shared" si="4"/>
        <v/>
      </c>
      <c r="G1688" s="202" t="str">
        <f t="shared" si="5"/>
        <v/>
      </c>
      <c r="H1688" s="202" t="str">
        <f t="shared" si="11"/>
        <v> </v>
      </c>
      <c r="I1688" s="205" t="str">
        <f t="shared" si="7"/>
        <v/>
      </c>
      <c r="J1688" s="205"/>
      <c r="K1688" s="205"/>
    </row>
    <row r="1689" ht="14.25" customHeight="1">
      <c r="A1689" s="55">
        <v>47344.0</v>
      </c>
      <c r="B1689" s="55" t="str">
        <f t="shared" si="10"/>
        <v>Primer dia</v>
      </c>
      <c r="C1689" s="202">
        <f t="shared" si="1"/>
        <v>14</v>
      </c>
      <c r="D1689" s="202" t="str">
        <f t="shared" si="2"/>
        <v> </v>
      </c>
      <c r="E1689" s="202" t="str">
        <f t="shared" si="9"/>
        <v> </v>
      </c>
      <c r="F1689" s="55" t="str">
        <f t="shared" si="4"/>
        <v/>
      </c>
      <c r="G1689" s="202" t="str">
        <f t="shared" si="5"/>
        <v/>
      </c>
      <c r="H1689" s="202" t="str">
        <f t="shared" si="11"/>
        <v> </v>
      </c>
      <c r="I1689" s="205" t="str">
        <f t="shared" si="7"/>
        <v/>
      </c>
      <c r="J1689" s="205"/>
      <c r="K1689" s="205"/>
    </row>
    <row r="1690" ht="14.25" customHeight="1">
      <c r="A1690" s="55">
        <v>47345.0</v>
      </c>
      <c r="B1690" s="55" t="str">
        <f t="shared" si="10"/>
        <v>Primer dia</v>
      </c>
      <c r="C1690" s="202">
        <f t="shared" si="1"/>
        <v>15</v>
      </c>
      <c r="D1690" s="202" t="str">
        <f t="shared" si="2"/>
        <v> </v>
      </c>
      <c r="E1690" s="202" t="str">
        <f t="shared" si="9"/>
        <v> </v>
      </c>
      <c r="F1690" s="55" t="str">
        <f t="shared" si="4"/>
        <v/>
      </c>
      <c r="G1690" s="202" t="str">
        <f t="shared" si="5"/>
        <v/>
      </c>
      <c r="H1690" s="202" t="str">
        <f t="shared" si="11"/>
        <v> </v>
      </c>
      <c r="I1690" s="205" t="str">
        <f t="shared" si="7"/>
        <v/>
      </c>
      <c r="J1690" s="205"/>
      <c r="K1690" s="205"/>
    </row>
    <row r="1691" ht="14.25" customHeight="1">
      <c r="A1691" s="55">
        <v>47346.0</v>
      </c>
      <c r="B1691" s="55" t="str">
        <f t="shared" si="10"/>
        <v>Primer dia</v>
      </c>
      <c r="C1691" s="202">
        <f t="shared" si="1"/>
        <v>16</v>
      </c>
      <c r="D1691" s="202" t="str">
        <f t="shared" si="2"/>
        <v> </v>
      </c>
      <c r="E1691" s="202" t="str">
        <f t="shared" si="9"/>
        <v> </v>
      </c>
      <c r="F1691" s="55" t="str">
        <f t="shared" si="4"/>
        <v/>
      </c>
      <c r="G1691" s="202" t="str">
        <f t="shared" si="5"/>
        <v/>
      </c>
      <c r="H1691" s="202" t="str">
        <f t="shared" si="11"/>
        <v> </v>
      </c>
      <c r="I1691" s="205" t="str">
        <f t="shared" si="7"/>
        <v/>
      </c>
      <c r="J1691" s="205"/>
      <c r="K1691" s="205"/>
    </row>
    <row r="1692" ht="14.25" customHeight="1">
      <c r="A1692" s="55">
        <v>47347.0</v>
      </c>
      <c r="B1692" s="55" t="str">
        <f t="shared" si="10"/>
        <v>Primer dia</v>
      </c>
      <c r="C1692" s="202">
        <f t="shared" si="1"/>
        <v>17</v>
      </c>
      <c r="D1692" s="202" t="str">
        <f t="shared" si="2"/>
        <v> </v>
      </c>
      <c r="E1692" s="202">
        <f t="shared" si="9"/>
        <v>17</v>
      </c>
      <c r="F1692" s="55">
        <f t="shared" si="4"/>
        <v>47347</v>
      </c>
      <c r="G1692" s="202">
        <f t="shared" si="5"/>
        <v>86</v>
      </c>
      <c r="H1692" s="202" t="str">
        <f t="shared" si="11"/>
        <v> </v>
      </c>
      <c r="I1692" s="205" t="str">
        <f t="shared" si="7"/>
        <v/>
      </c>
      <c r="J1692" s="205"/>
      <c r="K1692" s="205"/>
    </row>
    <row r="1693" ht="14.25" customHeight="1">
      <c r="A1693" s="55">
        <v>47348.0</v>
      </c>
      <c r="B1693" s="55" t="str">
        <f t="shared" si="10"/>
        <v>Primer dia</v>
      </c>
      <c r="C1693" s="202">
        <f t="shared" si="1"/>
        <v>18</v>
      </c>
      <c r="D1693" s="202" t="str">
        <f t="shared" si="2"/>
        <v> </v>
      </c>
      <c r="E1693" s="202" t="str">
        <f t="shared" si="9"/>
        <v> </v>
      </c>
      <c r="F1693" s="55" t="str">
        <f t="shared" si="4"/>
        <v/>
      </c>
      <c r="G1693" s="202" t="str">
        <f t="shared" si="5"/>
        <v/>
      </c>
      <c r="H1693" s="202" t="str">
        <f t="shared" si="11"/>
        <v> </v>
      </c>
      <c r="I1693" s="205" t="str">
        <f t="shared" si="7"/>
        <v/>
      </c>
      <c r="J1693" s="205"/>
      <c r="K1693" s="205"/>
    </row>
    <row r="1694" ht="14.25" customHeight="1">
      <c r="A1694" s="55">
        <v>47349.0</v>
      </c>
      <c r="B1694" s="55" t="str">
        <f t="shared" si="10"/>
        <v>Primer dia</v>
      </c>
      <c r="C1694" s="202">
        <f t="shared" si="1"/>
        <v>19</v>
      </c>
      <c r="D1694" s="202" t="str">
        <f t="shared" si="2"/>
        <v> </v>
      </c>
      <c r="E1694" s="202" t="str">
        <f t="shared" si="9"/>
        <v> </v>
      </c>
      <c r="F1694" s="55" t="str">
        <f t="shared" si="4"/>
        <v/>
      </c>
      <c r="G1694" s="202" t="str">
        <f t="shared" si="5"/>
        <v/>
      </c>
      <c r="H1694" s="202" t="str">
        <f t="shared" si="11"/>
        <v> </v>
      </c>
      <c r="I1694" s="205" t="str">
        <f t="shared" si="7"/>
        <v/>
      </c>
      <c r="J1694" s="205"/>
      <c r="K1694" s="205"/>
    </row>
    <row r="1695" ht="14.25" customHeight="1">
      <c r="A1695" s="55">
        <v>47350.0</v>
      </c>
      <c r="B1695" s="55" t="str">
        <f t="shared" si="10"/>
        <v>Primer dia</v>
      </c>
      <c r="C1695" s="202">
        <f t="shared" si="1"/>
        <v>20</v>
      </c>
      <c r="D1695" s="202" t="str">
        <f t="shared" si="2"/>
        <v> </v>
      </c>
      <c r="E1695" s="202" t="str">
        <f t="shared" si="9"/>
        <v> </v>
      </c>
      <c r="F1695" s="55" t="str">
        <f t="shared" si="4"/>
        <v/>
      </c>
      <c r="G1695" s="202" t="str">
        <f t="shared" si="5"/>
        <v/>
      </c>
      <c r="H1695" s="202" t="str">
        <f t="shared" si="11"/>
        <v> </v>
      </c>
      <c r="I1695" s="205" t="str">
        <f t="shared" si="7"/>
        <v/>
      </c>
      <c r="J1695" s="205"/>
      <c r="K1695" s="205"/>
    </row>
    <row r="1696" ht="14.25" customHeight="1">
      <c r="A1696" s="55">
        <v>47351.0</v>
      </c>
      <c r="B1696" s="55" t="str">
        <f t="shared" si="10"/>
        <v>Primer dia</v>
      </c>
      <c r="C1696" s="202">
        <f t="shared" si="1"/>
        <v>21</v>
      </c>
      <c r="D1696" s="202" t="str">
        <f t="shared" si="2"/>
        <v> </v>
      </c>
      <c r="E1696" s="202" t="str">
        <f t="shared" si="9"/>
        <v> </v>
      </c>
      <c r="F1696" s="55" t="str">
        <f t="shared" si="4"/>
        <v/>
      </c>
      <c r="G1696" s="202" t="str">
        <f t="shared" si="5"/>
        <v/>
      </c>
      <c r="H1696" s="202" t="str">
        <f t="shared" si="11"/>
        <v> </v>
      </c>
      <c r="I1696" s="205" t="str">
        <f t="shared" si="7"/>
        <v/>
      </c>
      <c r="J1696" s="205"/>
      <c r="K1696" s="205"/>
    </row>
    <row r="1697" ht="14.25" customHeight="1">
      <c r="A1697" s="55">
        <v>47352.0</v>
      </c>
      <c r="B1697" s="55" t="str">
        <f t="shared" si="10"/>
        <v>Primer dia</v>
      </c>
      <c r="C1697" s="202">
        <f t="shared" si="1"/>
        <v>22</v>
      </c>
      <c r="D1697" s="202" t="str">
        <f t="shared" si="2"/>
        <v> </v>
      </c>
      <c r="E1697" s="202" t="str">
        <f t="shared" si="9"/>
        <v> </v>
      </c>
      <c r="F1697" s="55" t="str">
        <f t="shared" si="4"/>
        <v/>
      </c>
      <c r="G1697" s="202" t="str">
        <f t="shared" si="5"/>
        <v/>
      </c>
      <c r="H1697" s="202" t="str">
        <f t="shared" si="11"/>
        <v> </v>
      </c>
      <c r="I1697" s="205" t="str">
        <f t="shared" si="7"/>
        <v/>
      </c>
      <c r="J1697" s="205"/>
      <c r="K1697" s="205"/>
    </row>
    <row r="1698" ht="14.25" customHeight="1">
      <c r="A1698" s="55">
        <v>47353.0</v>
      </c>
      <c r="B1698" s="55" t="str">
        <f t="shared" si="10"/>
        <v>Primer dia</v>
      </c>
      <c r="C1698" s="202">
        <f t="shared" si="1"/>
        <v>23</v>
      </c>
      <c r="D1698" s="202" t="str">
        <f t="shared" si="2"/>
        <v> </v>
      </c>
      <c r="E1698" s="202" t="str">
        <f t="shared" si="9"/>
        <v> </v>
      </c>
      <c r="F1698" s="55" t="str">
        <f t="shared" si="4"/>
        <v/>
      </c>
      <c r="G1698" s="202" t="str">
        <f t="shared" si="5"/>
        <v/>
      </c>
      <c r="H1698" s="202" t="str">
        <f t="shared" si="11"/>
        <v> </v>
      </c>
      <c r="I1698" s="205" t="str">
        <f t="shared" si="7"/>
        <v/>
      </c>
      <c r="J1698" s="205"/>
      <c r="K1698" s="205"/>
    </row>
    <row r="1699" ht="14.25" customHeight="1">
      <c r="A1699" s="55">
        <v>47354.0</v>
      </c>
      <c r="B1699" s="55" t="str">
        <f t="shared" si="10"/>
        <v>Primer dia</v>
      </c>
      <c r="C1699" s="202">
        <f t="shared" si="1"/>
        <v>24</v>
      </c>
      <c r="D1699" s="202" t="str">
        <f t="shared" si="2"/>
        <v> </v>
      </c>
      <c r="E1699" s="202" t="str">
        <f t="shared" si="9"/>
        <v> </v>
      </c>
      <c r="F1699" s="55" t="str">
        <f t="shared" si="4"/>
        <v/>
      </c>
      <c r="G1699" s="202" t="str">
        <f t="shared" si="5"/>
        <v/>
      </c>
      <c r="H1699" s="202" t="str">
        <f t="shared" si="11"/>
        <v> </v>
      </c>
      <c r="I1699" s="205" t="str">
        <f t="shared" si="7"/>
        <v/>
      </c>
      <c r="J1699" s="205"/>
      <c r="K1699" s="205"/>
    </row>
    <row r="1700" ht="14.25" customHeight="1">
      <c r="A1700" s="55">
        <v>47355.0</v>
      </c>
      <c r="B1700" s="55" t="str">
        <f t="shared" si="10"/>
        <v>Primer dia</v>
      </c>
      <c r="C1700" s="202">
        <f t="shared" si="1"/>
        <v>25</v>
      </c>
      <c r="D1700" s="202" t="str">
        <f t="shared" si="2"/>
        <v> </v>
      </c>
      <c r="E1700" s="202" t="str">
        <f t="shared" si="9"/>
        <v> </v>
      </c>
      <c r="F1700" s="55" t="str">
        <f t="shared" si="4"/>
        <v/>
      </c>
      <c r="G1700" s="202" t="str">
        <f t="shared" si="5"/>
        <v/>
      </c>
      <c r="H1700" s="202" t="str">
        <f t="shared" si="11"/>
        <v> </v>
      </c>
      <c r="I1700" s="205" t="str">
        <f t="shared" si="7"/>
        <v/>
      </c>
      <c r="J1700" s="205"/>
      <c r="K1700" s="205"/>
    </row>
    <row r="1701" ht="14.25" customHeight="1">
      <c r="A1701" s="55">
        <v>47356.0</v>
      </c>
      <c r="B1701" s="55" t="str">
        <f t="shared" si="10"/>
        <v>Primer dia</v>
      </c>
      <c r="C1701" s="202">
        <f t="shared" si="1"/>
        <v>26</v>
      </c>
      <c r="D1701" s="202" t="str">
        <f t="shared" si="2"/>
        <v> </v>
      </c>
      <c r="E1701" s="202" t="str">
        <f t="shared" si="9"/>
        <v> </v>
      </c>
      <c r="F1701" s="55" t="str">
        <f t="shared" si="4"/>
        <v/>
      </c>
      <c r="G1701" s="202" t="str">
        <f t="shared" si="5"/>
        <v/>
      </c>
      <c r="H1701" s="202" t="str">
        <f t="shared" si="11"/>
        <v> </v>
      </c>
      <c r="I1701" s="205" t="str">
        <f t="shared" si="7"/>
        <v/>
      </c>
      <c r="J1701" s="205"/>
      <c r="K1701" s="205"/>
    </row>
    <row r="1702" ht="14.25" customHeight="1">
      <c r="A1702" s="55">
        <v>47357.0</v>
      </c>
      <c r="B1702" s="55" t="str">
        <f t="shared" si="10"/>
        <v>Primer dia</v>
      </c>
      <c r="C1702" s="202">
        <f t="shared" si="1"/>
        <v>27</v>
      </c>
      <c r="D1702" s="202" t="str">
        <f t="shared" si="2"/>
        <v> </v>
      </c>
      <c r="E1702" s="202" t="str">
        <f t="shared" si="9"/>
        <v> </v>
      </c>
      <c r="F1702" s="55" t="str">
        <f t="shared" si="4"/>
        <v/>
      </c>
      <c r="G1702" s="202" t="str">
        <f t="shared" si="5"/>
        <v/>
      </c>
      <c r="H1702" s="202" t="str">
        <f t="shared" si="11"/>
        <v> </v>
      </c>
      <c r="I1702" s="205" t="str">
        <f t="shared" si="7"/>
        <v/>
      </c>
      <c r="J1702" s="205"/>
      <c r="K1702" s="205"/>
    </row>
    <row r="1703" ht="14.25" customHeight="1">
      <c r="A1703" s="55">
        <v>47358.0</v>
      </c>
      <c r="B1703" s="55" t="str">
        <f t="shared" si="10"/>
        <v>Primer dia</v>
      </c>
      <c r="C1703" s="202">
        <f t="shared" si="1"/>
        <v>28</v>
      </c>
      <c r="D1703" s="202" t="str">
        <f t="shared" si="2"/>
        <v> </v>
      </c>
      <c r="E1703" s="202" t="str">
        <f t="shared" si="9"/>
        <v> </v>
      </c>
      <c r="F1703" s="55" t="str">
        <f t="shared" si="4"/>
        <v/>
      </c>
      <c r="G1703" s="202" t="str">
        <f t="shared" si="5"/>
        <v/>
      </c>
      <c r="H1703" s="202" t="str">
        <f t="shared" si="11"/>
        <v> </v>
      </c>
      <c r="I1703" s="205" t="str">
        <f t="shared" si="7"/>
        <v/>
      </c>
      <c r="J1703" s="205"/>
      <c r="K1703" s="205"/>
    </row>
    <row r="1704" ht="14.25" customHeight="1">
      <c r="A1704" s="55">
        <v>47359.0</v>
      </c>
      <c r="B1704" s="55" t="str">
        <f t="shared" si="10"/>
        <v>Primer dia</v>
      </c>
      <c r="C1704" s="202">
        <f t="shared" si="1"/>
        <v>29</v>
      </c>
      <c r="D1704" s="202" t="str">
        <f t="shared" si="2"/>
        <v> </v>
      </c>
      <c r="E1704" s="202" t="str">
        <f t="shared" si="9"/>
        <v> </v>
      </c>
      <c r="F1704" s="55" t="str">
        <f t="shared" si="4"/>
        <v/>
      </c>
      <c r="G1704" s="202" t="str">
        <f t="shared" si="5"/>
        <v/>
      </c>
      <c r="H1704" s="202" t="str">
        <f t="shared" si="11"/>
        <v> </v>
      </c>
      <c r="I1704" s="205" t="str">
        <f t="shared" si="7"/>
        <v/>
      </c>
      <c r="J1704" s="205"/>
      <c r="K1704" s="205"/>
    </row>
    <row r="1705" ht="14.25" customHeight="1">
      <c r="A1705" s="55">
        <v>47360.0</v>
      </c>
      <c r="B1705" s="55" t="str">
        <f t="shared" si="10"/>
        <v>Primer dia</v>
      </c>
      <c r="C1705" s="202">
        <f t="shared" si="1"/>
        <v>30</v>
      </c>
      <c r="D1705" s="202" t="str">
        <f t="shared" si="2"/>
        <v> </v>
      </c>
      <c r="E1705" s="202" t="str">
        <f t="shared" si="9"/>
        <v> </v>
      </c>
      <c r="F1705" s="55" t="str">
        <f t="shared" si="4"/>
        <v/>
      </c>
      <c r="G1705" s="202" t="str">
        <f t="shared" si="5"/>
        <v/>
      </c>
      <c r="H1705" s="202" t="str">
        <f t="shared" si="11"/>
        <v> </v>
      </c>
      <c r="I1705" s="205" t="str">
        <f t="shared" si="7"/>
        <v/>
      </c>
      <c r="J1705" s="205"/>
      <c r="K1705" s="205"/>
    </row>
    <row r="1706" ht="14.25" customHeight="1">
      <c r="A1706" s="55">
        <v>47361.0</v>
      </c>
      <c r="B1706" s="55" t="str">
        <f t="shared" si="10"/>
        <v>Primer dia</v>
      </c>
      <c r="C1706" s="202">
        <f t="shared" si="1"/>
        <v>31</v>
      </c>
      <c r="D1706" s="202" t="str">
        <f t="shared" si="2"/>
        <v> </v>
      </c>
      <c r="E1706" s="202" t="str">
        <f t="shared" si="9"/>
        <v> </v>
      </c>
      <c r="F1706" s="55" t="str">
        <f t="shared" si="4"/>
        <v/>
      </c>
      <c r="G1706" s="202" t="str">
        <f t="shared" si="5"/>
        <v/>
      </c>
      <c r="H1706" s="202" t="str">
        <f t="shared" si="11"/>
        <v> </v>
      </c>
      <c r="I1706" s="205" t="str">
        <f t="shared" si="7"/>
        <v/>
      </c>
      <c r="J1706" s="205"/>
      <c r="K1706" s="205"/>
    </row>
    <row r="1707" ht="14.25" customHeight="1">
      <c r="A1707" s="55">
        <v>47362.0</v>
      </c>
      <c r="B1707" s="55" t="str">
        <f t="shared" si="10"/>
        <v>Primer dia</v>
      </c>
      <c r="C1707" s="202">
        <f t="shared" si="1"/>
        <v>1</v>
      </c>
      <c r="D1707" s="202" t="str">
        <f t="shared" si="2"/>
        <v> </v>
      </c>
      <c r="E1707" s="202" t="str">
        <f t="shared" si="9"/>
        <v> </v>
      </c>
      <c r="F1707" s="55" t="str">
        <f t="shared" si="4"/>
        <v/>
      </c>
      <c r="G1707" s="202" t="str">
        <f t="shared" si="5"/>
        <v/>
      </c>
      <c r="H1707" s="202" t="str">
        <f t="shared" si="11"/>
        <v> </v>
      </c>
      <c r="I1707" s="205" t="str">
        <f t="shared" si="7"/>
        <v/>
      </c>
      <c r="J1707" s="205"/>
      <c r="K1707" s="205"/>
    </row>
    <row r="1708" ht="14.25" customHeight="1">
      <c r="A1708" s="55">
        <v>47363.0</v>
      </c>
      <c r="B1708" s="55" t="str">
        <f t="shared" si="10"/>
        <v>Primer dia</v>
      </c>
      <c r="C1708" s="202">
        <f t="shared" si="1"/>
        <v>2</v>
      </c>
      <c r="D1708" s="202" t="str">
        <f t="shared" si="2"/>
        <v> </v>
      </c>
      <c r="E1708" s="202">
        <f t="shared" si="9"/>
        <v>2</v>
      </c>
      <c r="F1708" s="55">
        <f t="shared" si="4"/>
        <v>47363</v>
      </c>
      <c r="G1708" s="202">
        <f t="shared" si="5"/>
        <v>87</v>
      </c>
      <c r="H1708" s="202" t="str">
        <f t="shared" si="11"/>
        <v> </v>
      </c>
      <c r="I1708" s="205" t="str">
        <f t="shared" si="7"/>
        <v/>
      </c>
      <c r="J1708" s="205"/>
      <c r="K1708" s="205"/>
    </row>
    <row r="1709" ht="14.25" customHeight="1">
      <c r="A1709" s="55">
        <v>47364.0</v>
      </c>
      <c r="B1709" s="55" t="str">
        <f t="shared" si="10"/>
        <v>Primer dia</v>
      </c>
      <c r="C1709" s="202">
        <f t="shared" si="1"/>
        <v>3</v>
      </c>
      <c r="D1709" s="202" t="str">
        <f t="shared" si="2"/>
        <v> </v>
      </c>
      <c r="E1709" s="202" t="str">
        <f t="shared" si="9"/>
        <v> </v>
      </c>
      <c r="F1709" s="55" t="str">
        <f t="shared" si="4"/>
        <v/>
      </c>
      <c r="G1709" s="202" t="str">
        <f t="shared" si="5"/>
        <v/>
      </c>
      <c r="H1709" s="202" t="str">
        <f t="shared" si="11"/>
        <v> </v>
      </c>
      <c r="I1709" s="205" t="str">
        <f t="shared" si="7"/>
        <v/>
      </c>
      <c r="J1709" s="205"/>
      <c r="K1709" s="205"/>
    </row>
    <row r="1710" ht="14.25" customHeight="1">
      <c r="A1710" s="55">
        <v>47365.0</v>
      </c>
      <c r="B1710" s="55" t="str">
        <f t="shared" si="10"/>
        <v>Primer dia</v>
      </c>
      <c r="C1710" s="202">
        <f t="shared" si="1"/>
        <v>4</v>
      </c>
      <c r="D1710" s="202" t="str">
        <f t="shared" si="2"/>
        <v> </v>
      </c>
      <c r="E1710" s="202" t="str">
        <f t="shared" si="9"/>
        <v> </v>
      </c>
      <c r="F1710" s="55" t="str">
        <f t="shared" si="4"/>
        <v/>
      </c>
      <c r="G1710" s="202" t="str">
        <f t="shared" si="5"/>
        <v/>
      </c>
      <c r="H1710" s="202" t="str">
        <f t="shared" si="11"/>
        <v> </v>
      </c>
      <c r="I1710" s="205" t="str">
        <f t="shared" si="7"/>
        <v/>
      </c>
      <c r="J1710" s="205"/>
      <c r="K1710" s="205"/>
    </row>
    <row r="1711" ht="14.25" customHeight="1">
      <c r="A1711" s="55">
        <v>47366.0</v>
      </c>
      <c r="B1711" s="55" t="str">
        <f t="shared" si="10"/>
        <v>Primer dia</v>
      </c>
      <c r="C1711" s="202">
        <f t="shared" si="1"/>
        <v>5</v>
      </c>
      <c r="D1711" s="202" t="str">
        <f t="shared" si="2"/>
        <v> </v>
      </c>
      <c r="E1711" s="202" t="str">
        <f t="shared" si="9"/>
        <v> </v>
      </c>
      <c r="F1711" s="55" t="str">
        <f t="shared" si="4"/>
        <v/>
      </c>
      <c r="G1711" s="202" t="str">
        <f t="shared" si="5"/>
        <v/>
      </c>
      <c r="H1711" s="202" t="str">
        <f t="shared" si="11"/>
        <v> </v>
      </c>
      <c r="I1711" s="205" t="str">
        <f t="shared" si="7"/>
        <v/>
      </c>
      <c r="J1711" s="205"/>
      <c r="K1711" s="205"/>
    </row>
    <row r="1712" ht="14.25" customHeight="1">
      <c r="A1712" s="55">
        <v>47367.0</v>
      </c>
      <c r="B1712" s="55" t="str">
        <f t="shared" si="10"/>
        <v>Primer dia</v>
      </c>
      <c r="C1712" s="202">
        <f t="shared" si="1"/>
        <v>6</v>
      </c>
      <c r="D1712" s="202" t="str">
        <f t="shared" si="2"/>
        <v> </v>
      </c>
      <c r="E1712" s="202" t="str">
        <f t="shared" si="9"/>
        <v> </v>
      </c>
      <c r="F1712" s="55" t="str">
        <f t="shared" si="4"/>
        <v/>
      </c>
      <c r="G1712" s="202" t="str">
        <f t="shared" si="5"/>
        <v/>
      </c>
      <c r="H1712" s="202" t="str">
        <f t="shared" si="11"/>
        <v> </v>
      </c>
      <c r="I1712" s="205" t="str">
        <f t="shared" si="7"/>
        <v/>
      </c>
      <c r="J1712" s="205"/>
      <c r="K1712" s="205"/>
    </row>
    <row r="1713" ht="14.25" customHeight="1">
      <c r="A1713" s="55">
        <v>47368.0</v>
      </c>
      <c r="B1713" s="55" t="str">
        <f t="shared" si="10"/>
        <v>Primer dia</v>
      </c>
      <c r="C1713" s="202">
        <f t="shared" si="1"/>
        <v>7</v>
      </c>
      <c r="D1713" s="202" t="str">
        <f t="shared" si="2"/>
        <v> </v>
      </c>
      <c r="E1713" s="202" t="str">
        <f t="shared" si="9"/>
        <v> </v>
      </c>
      <c r="F1713" s="55" t="str">
        <f t="shared" si="4"/>
        <v/>
      </c>
      <c r="G1713" s="202" t="str">
        <f t="shared" si="5"/>
        <v/>
      </c>
      <c r="H1713" s="202" t="str">
        <f t="shared" si="11"/>
        <v> </v>
      </c>
      <c r="I1713" s="205" t="str">
        <f t="shared" si="7"/>
        <v/>
      </c>
      <c r="J1713" s="205"/>
      <c r="K1713" s="205"/>
    </row>
    <row r="1714" ht="14.25" customHeight="1">
      <c r="A1714" s="55">
        <v>47369.0</v>
      </c>
      <c r="B1714" s="55" t="str">
        <f t="shared" si="10"/>
        <v>Primer dia</v>
      </c>
      <c r="C1714" s="202">
        <f t="shared" si="1"/>
        <v>8</v>
      </c>
      <c r="D1714" s="202" t="str">
        <f t="shared" si="2"/>
        <v> </v>
      </c>
      <c r="E1714" s="202" t="str">
        <f t="shared" si="9"/>
        <v> </v>
      </c>
      <c r="F1714" s="55" t="str">
        <f t="shared" si="4"/>
        <v/>
      </c>
      <c r="G1714" s="202" t="str">
        <f t="shared" si="5"/>
        <v/>
      </c>
      <c r="H1714" s="202" t="str">
        <f t="shared" si="11"/>
        <v> </v>
      </c>
      <c r="I1714" s="205" t="str">
        <f t="shared" si="7"/>
        <v/>
      </c>
      <c r="J1714" s="205"/>
      <c r="K1714" s="205"/>
    </row>
    <row r="1715" ht="14.25" customHeight="1">
      <c r="A1715" s="55">
        <v>47370.0</v>
      </c>
      <c r="B1715" s="55" t="str">
        <f t="shared" si="10"/>
        <v>Primer dia</v>
      </c>
      <c r="C1715" s="202">
        <f t="shared" si="1"/>
        <v>9</v>
      </c>
      <c r="D1715" s="202" t="str">
        <f t="shared" si="2"/>
        <v> </v>
      </c>
      <c r="E1715" s="202" t="str">
        <f t="shared" si="9"/>
        <v> </v>
      </c>
      <c r="F1715" s="55" t="str">
        <f t="shared" si="4"/>
        <v/>
      </c>
      <c r="G1715" s="202" t="str">
        <f t="shared" si="5"/>
        <v/>
      </c>
      <c r="H1715" s="202" t="str">
        <f t="shared" si="11"/>
        <v> </v>
      </c>
      <c r="I1715" s="205" t="str">
        <f t="shared" si="7"/>
        <v/>
      </c>
      <c r="J1715" s="205"/>
      <c r="K1715" s="205"/>
    </row>
    <row r="1716" ht="14.25" customHeight="1">
      <c r="A1716" s="55">
        <v>47371.0</v>
      </c>
      <c r="B1716" s="55" t="str">
        <f t="shared" si="10"/>
        <v>Primer dia</v>
      </c>
      <c r="C1716" s="202">
        <f t="shared" si="1"/>
        <v>10</v>
      </c>
      <c r="D1716" s="202" t="str">
        <f t="shared" si="2"/>
        <v> </v>
      </c>
      <c r="E1716" s="202" t="str">
        <f t="shared" si="9"/>
        <v> </v>
      </c>
      <c r="F1716" s="55" t="str">
        <f t="shared" si="4"/>
        <v/>
      </c>
      <c r="G1716" s="202" t="str">
        <f t="shared" si="5"/>
        <v/>
      </c>
      <c r="H1716" s="202" t="str">
        <f t="shared" si="11"/>
        <v> </v>
      </c>
      <c r="I1716" s="205" t="str">
        <f t="shared" si="7"/>
        <v/>
      </c>
      <c r="J1716" s="205"/>
      <c r="K1716" s="205"/>
    </row>
    <row r="1717" ht="14.25" customHeight="1">
      <c r="A1717" s="55">
        <v>47372.0</v>
      </c>
      <c r="B1717" s="55" t="str">
        <f t="shared" si="10"/>
        <v>Primer dia</v>
      </c>
      <c r="C1717" s="202">
        <f t="shared" si="1"/>
        <v>11</v>
      </c>
      <c r="D1717" s="202" t="str">
        <f t="shared" si="2"/>
        <v> </v>
      </c>
      <c r="E1717" s="202" t="str">
        <f t="shared" si="9"/>
        <v> </v>
      </c>
      <c r="F1717" s="55" t="str">
        <f t="shared" si="4"/>
        <v/>
      </c>
      <c r="G1717" s="202" t="str">
        <f t="shared" si="5"/>
        <v/>
      </c>
      <c r="H1717" s="202" t="str">
        <f t="shared" si="11"/>
        <v> </v>
      </c>
      <c r="I1717" s="205" t="str">
        <f t="shared" si="7"/>
        <v/>
      </c>
      <c r="J1717" s="205"/>
      <c r="K1717" s="205"/>
    </row>
    <row r="1718" ht="14.25" customHeight="1">
      <c r="A1718" s="55">
        <v>47373.0</v>
      </c>
      <c r="B1718" s="55" t="str">
        <f t="shared" si="10"/>
        <v>Primer dia</v>
      </c>
      <c r="C1718" s="202">
        <f t="shared" si="1"/>
        <v>12</v>
      </c>
      <c r="D1718" s="202" t="str">
        <f t="shared" si="2"/>
        <v> </v>
      </c>
      <c r="E1718" s="202" t="str">
        <f t="shared" si="9"/>
        <v> </v>
      </c>
      <c r="F1718" s="55" t="str">
        <f t="shared" si="4"/>
        <v/>
      </c>
      <c r="G1718" s="202" t="str">
        <f t="shared" si="5"/>
        <v/>
      </c>
      <c r="H1718" s="202" t="str">
        <f t="shared" si="11"/>
        <v> </v>
      </c>
      <c r="I1718" s="205" t="str">
        <f t="shared" si="7"/>
        <v/>
      </c>
      <c r="J1718" s="205"/>
      <c r="K1718" s="205"/>
    </row>
    <row r="1719" ht="14.25" customHeight="1">
      <c r="A1719" s="55">
        <v>47374.0</v>
      </c>
      <c r="B1719" s="55" t="str">
        <f t="shared" si="10"/>
        <v>Primer dia</v>
      </c>
      <c r="C1719" s="202">
        <f t="shared" si="1"/>
        <v>13</v>
      </c>
      <c r="D1719" s="202" t="str">
        <f t="shared" si="2"/>
        <v> </v>
      </c>
      <c r="E1719" s="202" t="str">
        <f t="shared" si="9"/>
        <v> </v>
      </c>
      <c r="F1719" s="55" t="str">
        <f t="shared" si="4"/>
        <v/>
      </c>
      <c r="G1719" s="202" t="str">
        <f t="shared" si="5"/>
        <v/>
      </c>
      <c r="H1719" s="202" t="str">
        <f t="shared" si="11"/>
        <v> </v>
      </c>
      <c r="I1719" s="205" t="str">
        <f t="shared" si="7"/>
        <v/>
      </c>
      <c r="J1719" s="205"/>
      <c r="K1719" s="205"/>
    </row>
    <row r="1720" ht="14.25" customHeight="1">
      <c r="A1720" s="55">
        <v>47375.0</v>
      </c>
      <c r="B1720" s="55" t="str">
        <f t="shared" si="10"/>
        <v>Primer dia</v>
      </c>
      <c r="C1720" s="202">
        <f t="shared" si="1"/>
        <v>14</v>
      </c>
      <c r="D1720" s="202" t="str">
        <f t="shared" si="2"/>
        <v> </v>
      </c>
      <c r="E1720" s="202" t="str">
        <f t="shared" si="9"/>
        <v> </v>
      </c>
      <c r="F1720" s="55" t="str">
        <f t="shared" si="4"/>
        <v/>
      </c>
      <c r="G1720" s="202" t="str">
        <f t="shared" si="5"/>
        <v/>
      </c>
      <c r="H1720" s="202" t="str">
        <f t="shared" si="11"/>
        <v> </v>
      </c>
      <c r="I1720" s="205" t="str">
        <f t="shared" si="7"/>
        <v/>
      </c>
      <c r="J1720" s="205"/>
      <c r="K1720" s="205"/>
    </row>
    <row r="1721" ht="14.25" customHeight="1">
      <c r="A1721" s="55">
        <v>47376.0</v>
      </c>
      <c r="B1721" s="55" t="str">
        <f t="shared" si="10"/>
        <v>Primer dia</v>
      </c>
      <c r="C1721" s="202">
        <f t="shared" si="1"/>
        <v>15</v>
      </c>
      <c r="D1721" s="202" t="str">
        <f t="shared" si="2"/>
        <v> </v>
      </c>
      <c r="E1721" s="202" t="str">
        <f t="shared" si="9"/>
        <v> </v>
      </c>
      <c r="F1721" s="55" t="str">
        <f t="shared" si="4"/>
        <v/>
      </c>
      <c r="G1721" s="202" t="str">
        <f t="shared" si="5"/>
        <v/>
      </c>
      <c r="H1721" s="202" t="str">
        <f t="shared" si="11"/>
        <v> </v>
      </c>
      <c r="I1721" s="205" t="str">
        <f t="shared" si="7"/>
        <v/>
      </c>
      <c r="J1721" s="205"/>
      <c r="K1721" s="205"/>
    </row>
    <row r="1722" ht="14.25" customHeight="1">
      <c r="A1722" s="55">
        <v>47377.0</v>
      </c>
      <c r="B1722" s="55" t="str">
        <f t="shared" si="10"/>
        <v>Primer dia</v>
      </c>
      <c r="C1722" s="202">
        <f t="shared" si="1"/>
        <v>16</v>
      </c>
      <c r="D1722" s="202" t="str">
        <f t="shared" si="2"/>
        <v> </v>
      </c>
      <c r="E1722" s="202" t="str">
        <f t="shared" si="9"/>
        <v> </v>
      </c>
      <c r="F1722" s="55" t="str">
        <f t="shared" si="4"/>
        <v/>
      </c>
      <c r="G1722" s="202" t="str">
        <f t="shared" si="5"/>
        <v/>
      </c>
      <c r="H1722" s="202" t="str">
        <f t="shared" si="11"/>
        <v> </v>
      </c>
      <c r="I1722" s="205" t="str">
        <f t="shared" si="7"/>
        <v/>
      </c>
      <c r="J1722" s="205"/>
      <c r="K1722" s="205"/>
    </row>
    <row r="1723" ht="14.25" customHeight="1">
      <c r="A1723" s="55">
        <v>47378.0</v>
      </c>
      <c r="B1723" s="55" t="str">
        <f t="shared" si="10"/>
        <v>Primer dia</v>
      </c>
      <c r="C1723" s="202">
        <f t="shared" si="1"/>
        <v>17</v>
      </c>
      <c r="D1723" s="202" t="str">
        <f t="shared" si="2"/>
        <v> </v>
      </c>
      <c r="E1723" s="202">
        <f t="shared" si="9"/>
        <v>17</v>
      </c>
      <c r="F1723" s="55">
        <f t="shared" si="4"/>
        <v>47378</v>
      </c>
      <c r="G1723" s="202">
        <f t="shared" si="5"/>
        <v>88</v>
      </c>
      <c r="H1723" s="202" t="str">
        <f t="shared" si="11"/>
        <v> </v>
      </c>
      <c r="I1723" s="205" t="str">
        <f t="shared" si="7"/>
        <v/>
      </c>
      <c r="J1723" s="205"/>
      <c r="K1723" s="205"/>
    </row>
    <row r="1724" ht="14.25" customHeight="1">
      <c r="A1724" s="55">
        <v>47379.0</v>
      </c>
      <c r="B1724" s="55" t="str">
        <f t="shared" si="10"/>
        <v>Primer dia</v>
      </c>
      <c r="C1724" s="202">
        <f t="shared" si="1"/>
        <v>18</v>
      </c>
      <c r="D1724" s="202" t="str">
        <f t="shared" si="2"/>
        <v> </v>
      </c>
      <c r="E1724" s="202" t="str">
        <f t="shared" si="9"/>
        <v> </v>
      </c>
      <c r="F1724" s="55" t="str">
        <f t="shared" si="4"/>
        <v/>
      </c>
      <c r="G1724" s="202" t="str">
        <f t="shared" si="5"/>
        <v/>
      </c>
      <c r="H1724" s="202" t="str">
        <f t="shared" si="11"/>
        <v> </v>
      </c>
      <c r="I1724" s="205" t="str">
        <f t="shared" si="7"/>
        <v/>
      </c>
      <c r="J1724" s="205"/>
      <c r="K1724" s="205"/>
    </row>
    <row r="1725" ht="14.25" customHeight="1">
      <c r="A1725" s="55">
        <v>47380.0</v>
      </c>
      <c r="B1725" s="55" t="str">
        <f t="shared" si="10"/>
        <v>Primer dia</v>
      </c>
      <c r="C1725" s="202">
        <f t="shared" si="1"/>
        <v>19</v>
      </c>
      <c r="D1725" s="202" t="str">
        <f t="shared" si="2"/>
        <v> </v>
      </c>
      <c r="E1725" s="202" t="str">
        <f t="shared" si="9"/>
        <v> </v>
      </c>
      <c r="F1725" s="55" t="str">
        <f t="shared" si="4"/>
        <v/>
      </c>
      <c r="G1725" s="202" t="str">
        <f t="shared" si="5"/>
        <v/>
      </c>
      <c r="H1725" s="202" t="str">
        <f t="shared" si="11"/>
        <v> </v>
      </c>
      <c r="I1725" s="205" t="str">
        <f t="shared" si="7"/>
        <v/>
      </c>
      <c r="J1725" s="205"/>
      <c r="K1725" s="205"/>
    </row>
    <row r="1726" ht="14.25" customHeight="1">
      <c r="A1726" s="55">
        <v>47381.0</v>
      </c>
      <c r="B1726" s="55" t="str">
        <f t="shared" si="10"/>
        <v>Primer dia</v>
      </c>
      <c r="C1726" s="202">
        <f t="shared" si="1"/>
        <v>20</v>
      </c>
      <c r="D1726" s="202" t="str">
        <f t="shared" si="2"/>
        <v> </v>
      </c>
      <c r="E1726" s="202" t="str">
        <f t="shared" si="9"/>
        <v> </v>
      </c>
      <c r="F1726" s="55" t="str">
        <f t="shared" si="4"/>
        <v/>
      </c>
      <c r="G1726" s="202" t="str">
        <f t="shared" si="5"/>
        <v/>
      </c>
      <c r="H1726" s="202" t="str">
        <f t="shared" si="11"/>
        <v> </v>
      </c>
      <c r="I1726" s="205" t="str">
        <f t="shared" si="7"/>
        <v/>
      </c>
      <c r="J1726" s="205"/>
      <c r="K1726" s="205"/>
    </row>
    <row r="1727" ht="14.25" customHeight="1">
      <c r="A1727" s="55">
        <v>47382.0</v>
      </c>
      <c r="B1727" s="55" t="str">
        <f t="shared" si="10"/>
        <v>Primer dia</v>
      </c>
      <c r="C1727" s="202">
        <f t="shared" si="1"/>
        <v>21</v>
      </c>
      <c r="D1727" s="202" t="str">
        <f t="shared" si="2"/>
        <v> </v>
      </c>
      <c r="E1727" s="202" t="str">
        <f t="shared" si="9"/>
        <v> </v>
      </c>
      <c r="F1727" s="55" t="str">
        <f t="shared" si="4"/>
        <v/>
      </c>
      <c r="G1727" s="202" t="str">
        <f t="shared" si="5"/>
        <v/>
      </c>
      <c r="H1727" s="202" t="str">
        <f t="shared" si="11"/>
        <v> </v>
      </c>
      <c r="I1727" s="205" t="str">
        <f t="shared" si="7"/>
        <v/>
      </c>
      <c r="J1727" s="205"/>
      <c r="K1727" s="205"/>
    </row>
    <row r="1728" ht="14.25" customHeight="1">
      <c r="A1728" s="55">
        <v>47383.0</v>
      </c>
      <c r="B1728" s="55" t="str">
        <f t="shared" si="10"/>
        <v>Primer dia</v>
      </c>
      <c r="C1728" s="202">
        <f t="shared" si="1"/>
        <v>22</v>
      </c>
      <c r="D1728" s="202" t="str">
        <f t="shared" si="2"/>
        <v> </v>
      </c>
      <c r="E1728" s="202" t="str">
        <f t="shared" si="9"/>
        <v> </v>
      </c>
      <c r="F1728" s="55" t="str">
        <f t="shared" si="4"/>
        <v/>
      </c>
      <c r="G1728" s="202" t="str">
        <f t="shared" si="5"/>
        <v/>
      </c>
      <c r="H1728" s="202" t="str">
        <f t="shared" si="11"/>
        <v> </v>
      </c>
      <c r="I1728" s="205" t="str">
        <f t="shared" si="7"/>
        <v/>
      </c>
      <c r="J1728" s="205"/>
      <c r="K1728" s="205"/>
    </row>
    <row r="1729" ht="14.25" customHeight="1">
      <c r="A1729" s="55">
        <v>47384.0</v>
      </c>
      <c r="B1729" s="55" t="str">
        <f t="shared" si="10"/>
        <v>Primer dia</v>
      </c>
      <c r="C1729" s="202">
        <f t="shared" si="1"/>
        <v>23</v>
      </c>
      <c r="D1729" s="202" t="str">
        <f t="shared" si="2"/>
        <v> </v>
      </c>
      <c r="E1729" s="202" t="str">
        <f t="shared" si="9"/>
        <v> </v>
      </c>
      <c r="F1729" s="55" t="str">
        <f t="shared" si="4"/>
        <v/>
      </c>
      <c r="G1729" s="202" t="str">
        <f t="shared" si="5"/>
        <v/>
      </c>
      <c r="H1729" s="202" t="str">
        <f t="shared" si="11"/>
        <v> </v>
      </c>
      <c r="I1729" s="205" t="str">
        <f t="shared" si="7"/>
        <v/>
      </c>
      <c r="J1729" s="205"/>
      <c r="K1729" s="205"/>
    </row>
    <row r="1730" ht="14.25" customHeight="1">
      <c r="A1730" s="55">
        <v>47385.0</v>
      </c>
      <c r="B1730" s="55" t="str">
        <f t="shared" si="10"/>
        <v>Primer dia</v>
      </c>
      <c r="C1730" s="202">
        <f t="shared" si="1"/>
        <v>24</v>
      </c>
      <c r="D1730" s="202" t="str">
        <f t="shared" si="2"/>
        <v> </v>
      </c>
      <c r="E1730" s="202" t="str">
        <f t="shared" si="9"/>
        <v> </v>
      </c>
      <c r="F1730" s="55" t="str">
        <f t="shared" si="4"/>
        <v/>
      </c>
      <c r="G1730" s="202" t="str">
        <f t="shared" si="5"/>
        <v/>
      </c>
      <c r="H1730" s="202" t="str">
        <f t="shared" si="11"/>
        <v> </v>
      </c>
      <c r="I1730" s="205" t="str">
        <f t="shared" si="7"/>
        <v/>
      </c>
      <c r="J1730" s="205"/>
      <c r="K1730" s="205"/>
    </row>
    <row r="1731" ht="14.25" customHeight="1">
      <c r="A1731" s="55">
        <v>47386.0</v>
      </c>
      <c r="B1731" s="55" t="str">
        <f t="shared" si="10"/>
        <v>Primer dia</v>
      </c>
      <c r="C1731" s="202">
        <f t="shared" si="1"/>
        <v>25</v>
      </c>
      <c r="D1731" s="202" t="str">
        <f t="shared" si="2"/>
        <v> </v>
      </c>
      <c r="E1731" s="202" t="str">
        <f t="shared" si="9"/>
        <v> </v>
      </c>
      <c r="F1731" s="55" t="str">
        <f t="shared" si="4"/>
        <v/>
      </c>
      <c r="G1731" s="202" t="str">
        <f t="shared" si="5"/>
        <v/>
      </c>
      <c r="H1731" s="202" t="str">
        <f t="shared" si="11"/>
        <v> </v>
      </c>
      <c r="I1731" s="205" t="str">
        <f t="shared" si="7"/>
        <v/>
      </c>
      <c r="J1731" s="205"/>
      <c r="K1731" s="205"/>
    </row>
    <row r="1732" ht="14.25" customHeight="1">
      <c r="A1732" s="55">
        <v>47387.0</v>
      </c>
      <c r="B1732" s="55" t="str">
        <f t="shared" si="10"/>
        <v>Primer dia</v>
      </c>
      <c r="C1732" s="202">
        <f t="shared" si="1"/>
        <v>26</v>
      </c>
      <c r="D1732" s="202" t="str">
        <f t="shared" si="2"/>
        <v> </v>
      </c>
      <c r="E1732" s="202" t="str">
        <f t="shared" si="9"/>
        <v> </v>
      </c>
      <c r="F1732" s="55" t="str">
        <f t="shared" si="4"/>
        <v/>
      </c>
      <c r="G1732" s="202" t="str">
        <f t="shared" si="5"/>
        <v/>
      </c>
      <c r="H1732" s="202" t="str">
        <f t="shared" si="11"/>
        <v> </v>
      </c>
      <c r="I1732" s="205" t="str">
        <f t="shared" si="7"/>
        <v/>
      </c>
      <c r="J1732" s="205"/>
      <c r="K1732" s="205"/>
    </row>
    <row r="1733" ht="14.25" customHeight="1">
      <c r="A1733" s="55">
        <v>47388.0</v>
      </c>
      <c r="B1733" s="55" t="str">
        <f t="shared" si="10"/>
        <v>Primer dia</v>
      </c>
      <c r="C1733" s="202">
        <f t="shared" si="1"/>
        <v>27</v>
      </c>
      <c r="D1733" s="202" t="str">
        <f t="shared" si="2"/>
        <v> </v>
      </c>
      <c r="E1733" s="202" t="str">
        <f t="shared" si="9"/>
        <v> </v>
      </c>
      <c r="F1733" s="55" t="str">
        <f t="shared" si="4"/>
        <v/>
      </c>
      <c r="G1733" s="202" t="str">
        <f t="shared" si="5"/>
        <v/>
      </c>
      <c r="H1733" s="202" t="str">
        <f t="shared" si="11"/>
        <v> </v>
      </c>
      <c r="I1733" s="205" t="str">
        <f t="shared" si="7"/>
        <v/>
      </c>
      <c r="J1733" s="205"/>
      <c r="K1733" s="205"/>
    </row>
    <row r="1734" ht="14.25" customHeight="1">
      <c r="A1734" s="55">
        <v>47389.0</v>
      </c>
      <c r="B1734" s="55" t="str">
        <f t="shared" si="10"/>
        <v>Primer dia</v>
      </c>
      <c r="C1734" s="202">
        <f t="shared" si="1"/>
        <v>28</v>
      </c>
      <c r="D1734" s="202" t="str">
        <f t="shared" si="2"/>
        <v> </v>
      </c>
      <c r="E1734" s="202" t="str">
        <f t="shared" si="9"/>
        <v> </v>
      </c>
      <c r="F1734" s="55" t="str">
        <f t="shared" si="4"/>
        <v/>
      </c>
      <c r="G1734" s="202" t="str">
        <f t="shared" si="5"/>
        <v/>
      </c>
      <c r="H1734" s="202" t="str">
        <f t="shared" si="11"/>
        <v> </v>
      </c>
      <c r="I1734" s="205" t="str">
        <f t="shared" si="7"/>
        <v/>
      </c>
      <c r="J1734" s="205"/>
      <c r="K1734" s="205"/>
    </row>
    <row r="1735" ht="14.25" customHeight="1">
      <c r="A1735" s="55">
        <v>47390.0</v>
      </c>
      <c r="B1735" s="55" t="str">
        <f t="shared" si="10"/>
        <v>Primer dia</v>
      </c>
      <c r="C1735" s="202">
        <f t="shared" si="1"/>
        <v>29</v>
      </c>
      <c r="D1735" s="202" t="str">
        <f t="shared" si="2"/>
        <v> </v>
      </c>
      <c r="E1735" s="202" t="str">
        <f t="shared" si="9"/>
        <v> </v>
      </c>
      <c r="F1735" s="55" t="str">
        <f t="shared" si="4"/>
        <v/>
      </c>
      <c r="G1735" s="202" t="str">
        <f t="shared" si="5"/>
        <v/>
      </c>
      <c r="H1735" s="202" t="str">
        <f t="shared" si="11"/>
        <v> </v>
      </c>
      <c r="I1735" s="205" t="str">
        <f t="shared" si="7"/>
        <v/>
      </c>
      <c r="J1735" s="205"/>
      <c r="K1735" s="205"/>
    </row>
    <row r="1736" ht="14.25" customHeight="1">
      <c r="A1736" s="55">
        <v>47391.0</v>
      </c>
      <c r="B1736" s="55" t="str">
        <f t="shared" si="10"/>
        <v>Primer dia</v>
      </c>
      <c r="C1736" s="202">
        <f t="shared" si="1"/>
        <v>30</v>
      </c>
      <c r="D1736" s="202" t="str">
        <f t="shared" si="2"/>
        <v> </v>
      </c>
      <c r="E1736" s="202" t="str">
        <f t="shared" si="9"/>
        <v> </v>
      </c>
      <c r="F1736" s="55" t="str">
        <f t="shared" si="4"/>
        <v/>
      </c>
      <c r="G1736" s="202" t="str">
        <f t="shared" si="5"/>
        <v/>
      </c>
      <c r="H1736" s="202" t="str">
        <f t="shared" si="11"/>
        <v> </v>
      </c>
      <c r="I1736" s="205" t="str">
        <f t="shared" si="7"/>
        <v/>
      </c>
      <c r="J1736" s="205"/>
      <c r="K1736" s="205"/>
    </row>
    <row r="1737" ht="14.25" customHeight="1">
      <c r="A1737" s="55">
        <v>47392.0</v>
      </c>
      <c r="B1737" s="55" t="str">
        <f t="shared" si="10"/>
        <v>Primer dia</v>
      </c>
      <c r="C1737" s="202">
        <f t="shared" si="1"/>
        <v>1</v>
      </c>
      <c r="D1737" s="202" t="str">
        <f t="shared" si="2"/>
        <v> </v>
      </c>
      <c r="E1737" s="202" t="str">
        <f t="shared" si="9"/>
        <v> </v>
      </c>
      <c r="F1737" s="55" t="str">
        <f t="shared" si="4"/>
        <v/>
      </c>
      <c r="G1737" s="202" t="str">
        <f t="shared" si="5"/>
        <v/>
      </c>
      <c r="H1737" s="202" t="str">
        <f t="shared" si="11"/>
        <v> </v>
      </c>
      <c r="I1737" s="205" t="str">
        <f t="shared" si="7"/>
        <v/>
      </c>
      <c r="J1737" s="205"/>
      <c r="K1737" s="205"/>
    </row>
    <row r="1738" ht="14.25" customHeight="1">
      <c r="A1738" s="55">
        <v>47393.0</v>
      </c>
      <c r="B1738" s="55" t="str">
        <f t="shared" si="10"/>
        <v>Primer dia</v>
      </c>
      <c r="C1738" s="202">
        <f t="shared" si="1"/>
        <v>2</v>
      </c>
      <c r="D1738" s="202" t="str">
        <f t="shared" si="2"/>
        <v> </v>
      </c>
      <c r="E1738" s="202">
        <f t="shared" si="9"/>
        <v>2</v>
      </c>
      <c r="F1738" s="55">
        <f t="shared" si="4"/>
        <v>47393</v>
      </c>
      <c r="G1738" s="202">
        <f t="shared" si="5"/>
        <v>89</v>
      </c>
      <c r="H1738" s="202" t="str">
        <f t="shared" si="11"/>
        <v> </v>
      </c>
      <c r="I1738" s="205" t="str">
        <f t="shared" si="7"/>
        <v/>
      </c>
      <c r="J1738" s="205"/>
      <c r="K1738" s="205"/>
    </row>
    <row r="1739" ht="14.25" customHeight="1">
      <c r="A1739" s="55">
        <v>47394.0</v>
      </c>
      <c r="B1739" s="55" t="str">
        <f t="shared" si="10"/>
        <v>Primer dia</v>
      </c>
      <c r="C1739" s="202">
        <f t="shared" si="1"/>
        <v>3</v>
      </c>
      <c r="D1739" s="202" t="str">
        <f t="shared" si="2"/>
        <v> </v>
      </c>
      <c r="E1739" s="202" t="str">
        <f t="shared" si="9"/>
        <v> </v>
      </c>
      <c r="F1739" s="55" t="str">
        <f t="shared" si="4"/>
        <v/>
      </c>
      <c r="G1739" s="202" t="str">
        <f t="shared" si="5"/>
        <v/>
      </c>
      <c r="H1739" s="202" t="str">
        <f t="shared" si="11"/>
        <v> </v>
      </c>
      <c r="I1739" s="205" t="str">
        <f t="shared" si="7"/>
        <v/>
      </c>
      <c r="J1739" s="205"/>
      <c r="K1739" s="205"/>
    </row>
    <row r="1740" ht="14.25" customHeight="1">
      <c r="A1740" s="55">
        <v>47395.0</v>
      </c>
      <c r="B1740" s="55" t="str">
        <f t="shared" si="10"/>
        <v>Primer dia</v>
      </c>
      <c r="C1740" s="202">
        <f t="shared" si="1"/>
        <v>4</v>
      </c>
      <c r="D1740" s="202" t="str">
        <f t="shared" si="2"/>
        <v> </v>
      </c>
      <c r="E1740" s="202" t="str">
        <f t="shared" si="9"/>
        <v> </v>
      </c>
      <c r="F1740" s="55" t="str">
        <f t="shared" si="4"/>
        <v/>
      </c>
      <c r="G1740" s="202" t="str">
        <f t="shared" si="5"/>
        <v/>
      </c>
      <c r="H1740" s="202" t="str">
        <f t="shared" si="11"/>
        <v> </v>
      </c>
      <c r="I1740" s="205" t="str">
        <f t="shared" si="7"/>
        <v/>
      </c>
      <c r="J1740" s="205"/>
      <c r="K1740" s="205"/>
    </row>
    <row r="1741" ht="14.25" customHeight="1">
      <c r="A1741" s="55">
        <v>47396.0</v>
      </c>
      <c r="B1741" s="55" t="str">
        <f t="shared" si="10"/>
        <v>Primer dia</v>
      </c>
      <c r="C1741" s="202">
        <f t="shared" si="1"/>
        <v>5</v>
      </c>
      <c r="D1741" s="202" t="str">
        <f t="shared" si="2"/>
        <v> </v>
      </c>
      <c r="E1741" s="202" t="str">
        <f t="shared" si="9"/>
        <v> </v>
      </c>
      <c r="F1741" s="55" t="str">
        <f t="shared" si="4"/>
        <v/>
      </c>
      <c r="G1741" s="202" t="str">
        <f t="shared" si="5"/>
        <v/>
      </c>
      <c r="H1741" s="202" t="str">
        <f t="shared" si="11"/>
        <v> </v>
      </c>
      <c r="I1741" s="205" t="str">
        <f t="shared" si="7"/>
        <v/>
      </c>
      <c r="J1741" s="205"/>
      <c r="K1741" s="205"/>
    </row>
    <row r="1742" ht="14.25" customHeight="1">
      <c r="A1742" s="55">
        <v>47397.0</v>
      </c>
      <c r="B1742" s="55" t="str">
        <f t="shared" si="10"/>
        <v>Primer dia</v>
      </c>
      <c r="C1742" s="202">
        <f t="shared" si="1"/>
        <v>6</v>
      </c>
      <c r="D1742" s="202" t="str">
        <f t="shared" si="2"/>
        <v> </v>
      </c>
      <c r="E1742" s="202" t="str">
        <f t="shared" si="9"/>
        <v> </v>
      </c>
      <c r="F1742" s="55" t="str">
        <f t="shared" si="4"/>
        <v/>
      </c>
      <c r="G1742" s="202" t="str">
        <f t="shared" si="5"/>
        <v/>
      </c>
      <c r="H1742" s="202" t="str">
        <f t="shared" si="11"/>
        <v> </v>
      </c>
      <c r="I1742" s="205" t="str">
        <f t="shared" si="7"/>
        <v/>
      </c>
      <c r="J1742" s="205"/>
      <c r="K1742" s="205"/>
    </row>
    <row r="1743" ht="14.25" customHeight="1">
      <c r="A1743" s="55">
        <v>47398.0</v>
      </c>
      <c r="B1743" s="55" t="str">
        <f t="shared" si="10"/>
        <v>Primer dia</v>
      </c>
      <c r="C1743" s="202">
        <f t="shared" si="1"/>
        <v>7</v>
      </c>
      <c r="D1743" s="202" t="str">
        <f t="shared" si="2"/>
        <v> </v>
      </c>
      <c r="E1743" s="202" t="str">
        <f t="shared" si="9"/>
        <v> </v>
      </c>
      <c r="F1743" s="55" t="str">
        <f t="shared" si="4"/>
        <v/>
      </c>
      <c r="G1743" s="202" t="str">
        <f t="shared" si="5"/>
        <v/>
      </c>
      <c r="H1743" s="202" t="str">
        <f t="shared" si="11"/>
        <v> </v>
      </c>
      <c r="I1743" s="205" t="str">
        <f t="shared" si="7"/>
        <v/>
      </c>
      <c r="J1743" s="205"/>
      <c r="K1743" s="205"/>
    </row>
    <row r="1744" ht="14.25" customHeight="1">
      <c r="A1744" s="55">
        <v>47399.0</v>
      </c>
      <c r="B1744" s="55" t="str">
        <f t="shared" si="10"/>
        <v>Primer dia</v>
      </c>
      <c r="C1744" s="202">
        <f t="shared" si="1"/>
        <v>8</v>
      </c>
      <c r="D1744" s="202" t="str">
        <f t="shared" si="2"/>
        <v> </v>
      </c>
      <c r="E1744" s="202" t="str">
        <f t="shared" si="9"/>
        <v> </v>
      </c>
      <c r="F1744" s="55" t="str">
        <f t="shared" si="4"/>
        <v/>
      </c>
      <c r="G1744" s="202" t="str">
        <f t="shared" si="5"/>
        <v/>
      </c>
      <c r="H1744" s="202" t="str">
        <f t="shared" si="11"/>
        <v> </v>
      </c>
      <c r="I1744" s="205" t="str">
        <f t="shared" si="7"/>
        <v/>
      </c>
      <c r="J1744" s="205"/>
      <c r="K1744" s="205"/>
    </row>
    <row r="1745" ht="14.25" customHeight="1">
      <c r="A1745" s="55">
        <v>47400.0</v>
      </c>
      <c r="B1745" s="55" t="str">
        <f t="shared" si="10"/>
        <v>Primer dia</v>
      </c>
      <c r="C1745" s="202">
        <f t="shared" si="1"/>
        <v>9</v>
      </c>
      <c r="D1745" s="202" t="str">
        <f t="shared" si="2"/>
        <v> </v>
      </c>
      <c r="E1745" s="202" t="str">
        <f t="shared" si="9"/>
        <v> </v>
      </c>
      <c r="F1745" s="55" t="str">
        <f t="shared" si="4"/>
        <v/>
      </c>
      <c r="G1745" s="202" t="str">
        <f t="shared" si="5"/>
        <v/>
      </c>
      <c r="H1745" s="202" t="str">
        <f t="shared" si="11"/>
        <v> </v>
      </c>
      <c r="I1745" s="205" t="str">
        <f t="shared" si="7"/>
        <v/>
      </c>
      <c r="J1745" s="205"/>
      <c r="K1745" s="205"/>
    </row>
    <row r="1746" ht="14.25" customHeight="1">
      <c r="A1746" s="55">
        <v>47401.0</v>
      </c>
      <c r="B1746" s="55" t="str">
        <f t="shared" si="10"/>
        <v>Primer dia</v>
      </c>
      <c r="C1746" s="202">
        <f t="shared" si="1"/>
        <v>10</v>
      </c>
      <c r="D1746" s="202" t="str">
        <f t="shared" si="2"/>
        <v> </v>
      </c>
      <c r="E1746" s="202" t="str">
        <f t="shared" si="9"/>
        <v> </v>
      </c>
      <c r="F1746" s="55" t="str">
        <f t="shared" si="4"/>
        <v/>
      </c>
      <c r="G1746" s="202" t="str">
        <f t="shared" si="5"/>
        <v/>
      </c>
      <c r="H1746" s="202" t="str">
        <f t="shared" si="11"/>
        <v> </v>
      </c>
      <c r="I1746" s="205" t="str">
        <f t="shared" si="7"/>
        <v/>
      </c>
      <c r="J1746" s="205"/>
      <c r="K1746" s="205"/>
    </row>
    <row r="1747" ht="14.25" customHeight="1">
      <c r="A1747" s="55">
        <v>47402.0</v>
      </c>
      <c r="B1747" s="55" t="str">
        <f t="shared" si="10"/>
        <v>Primer dia</v>
      </c>
      <c r="C1747" s="202">
        <f t="shared" si="1"/>
        <v>11</v>
      </c>
      <c r="D1747" s="202" t="str">
        <f t="shared" si="2"/>
        <v> </v>
      </c>
      <c r="E1747" s="202" t="str">
        <f t="shared" si="9"/>
        <v> </v>
      </c>
      <c r="F1747" s="55" t="str">
        <f t="shared" si="4"/>
        <v/>
      </c>
      <c r="G1747" s="202" t="str">
        <f t="shared" si="5"/>
        <v/>
      </c>
      <c r="H1747" s="202" t="str">
        <f t="shared" si="11"/>
        <v> </v>
      </c>
      <c r="I1747" s="205" t="str">
        <f t="shared" si="7"/>
        <v/>
      </c>
      <c r="J1747" s="205"/>
      <c r="K1747" s="205"/>
    </row>
    <row r="1748" ht="14.25" customHeight="1">
      <c r="A1748" s="55">
        <v>47403.0</v>
      </c>
      <c r="B1748" s="55" t="str">
        <f t="shared" si="10"/>
        <v>Primer dia</v>
      </c>
      <c r="C1748" s="202">
        <f t="shared" si="1"/>
        <v>12</v>
      </c>
      <c r="D1748" s="202" t="str">
        <f t="shared" si="2"/>
        <v> </v>
      </c>
      <c r="E1748" s="202" t="str">
        <f t="shared" si="9"/>
        <v> </v>
      </c>
      <c r="F1748" s="55" t="str">
        <f t="shared" si="4"/>
        <v/>
      </c>
      <c r="G1748" s="202" t="str">
        <f t="shared" si="5"/>
        <v/>
      </c>
      <c r="H1748" s="202" t="str">
        <f t="shared" si="11"/>
        <v> </v>
      </c>
      <c r="I1748" s="205" t="str">
        <f t="shared" si="7"/>
        <v/>
      </c>
      <c r="J1748" s="205"/>
      <c r="K1748" s="205"/>
    </row>
    <row r="1749" ht="14.25" customHeight="1">
      <c r="A1749" s="55">
        <v>47404.0</v>
      </c>
      <c r="B1749" s="55" t="str">
        <f t="shared" si="10"/>
        <v>Primer dia</v>
      </c>
      <c r="C1749" s="202">
        <f t="shared" si="1"/>
        <v>13</v>
      </c>
      <c r="D1749" s="202" t="str">
        <f t="shared" si="2"/>
        <v> </v>
      </c>
      <c r="E1749" s="202" t="str">
        <f t="shared" si="9"/>
        <v> </v>
      </c>
      <c r="F1749" s="55" t="str">
        <f t="shared" si="4"/>
        <v/>
      </c>
      <c r="G1749" s="202" t="str">
        <f t="shared" si="5"/>
        <v/>
      </c>
      <c r="H1749" s="202" t="str">
        <f t="shared" si="11"/>
        <v> </v>
      </c>
      <c r="I1749" s="205" t="str">
        <f t="shared" si="7"/>
        <v/>
      </c>
      <c r="J1749" s="205"/>
      <c r="K1749" s="205"/>
    </row>
    <row r="1750" ht="14.25" customHeight="1">
      <c r="A1750" s="55">
        <v>47405.0</v>
      </c>
      <c r="B1750" s="55" t="str">
        <f t="shared" si="10"/>
        <v>Primer dia</v>
      </c>
      <c r="C1750" s="202">
        <f t="shared" si="1"/>
        <v>14</v>
      </c>
      <c r="D1750" s="202" t="str">
        <f t="shared" si="2"/>
        <v> </v>
      </c>
      <c r="E1750" s="202" t="str">
        <f t="shared" si="9"/>
        <v> </v>
      </c>
      <c r="F1750" s="55" t="str">
        <f t="shared" si="4"/>
        <v/>
      </c>
      <c r="G1750" s="202" t="str">
        <f t="shared" si="5"/>
        <v/>
      </c>
      <c r="H1750" s="202" t="str">
        <f t="shared" si="11"/>
        <v> </v>
      </c>
      <c r="I1750" s="205" t="str">
        <f t="shared" si="7"/>
        <v/>
      </c>
      <c r="J1750" s="205"/>
      <c r="K1750" s="205"/>
    </row>
    <row r="1751" ht="14.25" customHeight="1">
      <c r="A1751" s="55">
        <v>47406.0</v>
      </c>
      <c r="B1751" s="55" t="str">
        <f t="shared" si="10"/>
        <v>Primer dia</v>
      </c>
      <c r="C1751" s="202">
        <f t="shared" si="1"/>
        <v>15</v>
      </c>
      <c r="D1751" s="202" t="str">
        <f t="shared" si="2"/>
        <v> </v>
      </c>
      <c r="E1751" s="202" t="str">
        <f t="shared" si="9"/>
        <v> </v>
      </c>
      <c r="F1751" s="55" t="str">
        <f t="shared" si="4"/>
        <v/>
      </c>
      <c r="G1751" s="202" t="str">
        <f t="shared" si="5"/>
        <v/>
      </c>
      <c r="H1751" s="202" t="str">
        <f t="shared" si="11"/>
        <v> </v>
      </c>
      <c r="I1751" s="205" t="str">
        <f t="shared" si="7"/>
        <v/>
      </c>
      <c r="J1751" s="205"/>
      <c r="K1751" s="205"/>
    </row>
    <row r="1752" ht="14.25" customHeight="1">
      <c r="A1752" s="55">
        <v>47407.0</v>
      </c>
      <c r="B1752" s="55" t="str">
        <f t="shared" si="10"/>
        <v>Primer dia</v>
      </c>
      <c r="C1752" s="202">
        <f t="shared" si="1"/>
        <v>16</v>
      </c>
      <c r="D1752" s="202" t="str">
        <f t="shared" si="2"/>
        <v> </v>
      </c>
      <c r="E1752" s="202" t="str">
        <f t="shared" si="9"/>
        <v> </v>
      </c>
      <c r="F1752" s="55" t="str">
        <f t="shared" si="4"/>
        <v/>
      </c>
      <c r="G1752" s="202" t="str">
        <f t="shared" si="5"/>
        <v/>
      </c>
      <c r="H1752" s="202" t="str">
        <f t="shared" si="11"/>
        <v> </v>
      </c>
      <c r="I1752" s="205" t="str">
        <f t="shared" si="7"/>
        <v/>
      </c>
      <c r="J1752" s="205"/>
      <c r="K1752" s="205"/>
    </row>
    <row r="1753" ht="14.25" customHeight="1">
      <c r="A1753" s="55">
        <v>47408.0</v>
      </c>
      <c r="B1753" s="55" t="str">
        <f t="shared" si="10"/>
        <v>Primer dia</v>
      </c>
      <c r="C1753" s="202">
        <f t="shared" si="1"/>
        <v>17</v>
      </c>
      <c r="D1753" s="202" t="str">
        <f t="shared" si="2"/>
        <v> </v>
      </c>
      <c r="E1753" s="202">
        <f t="shared" si="9"/>
        <v>17</v>
      </c>
      <c r="F1753" s="55">
        <f t="shared" si="4"/>
        <v>47408</v>
      </c>
      <c r="G1753" s="202">
        <f t="shared" si="5"/>
        <v>90</v>
      </c>
      <c r="H1753" s="202" t="str">
        <f t="shared" si="11"/>
        <v> </v>
      </c>
      <c r="I1753" s="205" t="str">
        <f t="shared" si="7"/>
        <v/>
      </c>
      <c r="J1753" s="205"/>
      <c r="K1753" s="205"/>
    </row>
    <row r="1754" ht="14.25" customHeight="1">
      <c r="A1754" s="55">
        <v>47409.0</v>
      </c>
      <c r="B1754" s="55" t="str">
        <f t="shared" si="10"/>
        <v>Primer dia</v>
      </c>
      <c r="C1754" s="202">
        <f t="shared" si="1"/>
        <v>18</v>
      </c>
      <c r="D1754" s="202" t="str">
        <f t="shared" si="2"/>
        <v> </v>
      </c>
      <c r="E1754" s="202" t="str">
        <f t="shared" si="9"/>
        <v> </v>
      </c>
      <c r="F1754" s="55" t="str">
        <f t="shared" si="4"/>
        <v/>
      </c>
      <c r="G1754" s="202" t="str">
        <f t="shared" si="5"/>
        <v/>
      </c>
      <c r="H1754" s="202" t="str">
        <f t="shared" si="11"/>
        <v> </v>
      </c>
      <c r="I1754" s="205" t="str">
        <f t="shared" si="7"/>
        <v/>
      </c>
      <c r="J1754" s="205"/>
      <c r="K1754" s="205"/>
    </row>
    <row r="1755" ht="14.25" customHeight="1">
      <c r="A1755" s="55">
        <v>47410.0</v>
      </c>
      <c r="B1755" s="55" t="str">
        <f t="shared" si="10"/>
        <v>Primer dia</v>
      </c>
      <c r="C1755" s="202">
        <f t="shared" si="1"/>
        <v>19</v>
      </c>
      <c r="D1755" s="202" t="str">
        <f t="shared" si="2"/>
        <v> </v>
      </c>
      <c r="E1755" s="202" t="str">
        <f t="shared" si="9"/>
        <v> </v>
      </c>
      <c r="F1755" s="55" t="str">
        <f t="shared" si="4"/>
        <v/>
      </c>
      <c r="G1755" s="202" t="str">
        <f t="shared" si="5"/>
        <v/>
      </c>
      <c r="H1755" s="202" t="str">
        <f t="shared" si="11"/>
        <v> </v>
      </c>
      <c r="I1755" s="205" t="str">
        <f t="shared" si="7"/>
        <v/>
      </c>
      <c r="J1755" s="205"/>
      <c r="K1755" s="205"/>
    </row>
    <row r="1756" ht="14.25" customHeight="1">
      <c r="A1756" s="55">
        <v>47411.0</v>
      </c>
      <c r="B1756" s="55" t="str">
        <f t="shared" si="10"/>
        <v>Primer dia</v>
      </c>
      <c r="C1756" s="202">
        <f t="shared" si="1"/>
        <v>20</v>
      </c>
      <c r="D1756" s="202" t="str">
        <f t="shared" si="2"/>
        <v> </v>
      </c>
      <c r="E1756" s="202" t="str">
        <f t="shared" si="9"/>
        <v> </v>
      </c>
      <c r="F1756" s="55" t="str">
        <f t="shared" si="4"/>
        <v/>
      </c>
      <c r="G1756" s="202" t="str">
        <f t="shared" si="5"/>
        <v/>
      </c>
      <c r="H1756" s="202" t="str">
        <f t="shared" si="11"/>
        <v> </v>
      </c>
      <c r="I1756" s="205" t="str">
        <f t="shared" si="7"/>
        <v/>
      </c>
      <c r="J1756" s="205"/>
      <c r="K1756" s="205"/>
    </row>
    <row r="1757" ht="14.25" customHeight="1">
      <c r="A1757" s="55">
        <v>47412.0</v>
      </c>
      <c r="B1757" s="55" t="str">
        <f t="shared" si="10"/>
        <v>Primer dia</v>
      </c>
      <c r="C1757" s="202">
        <f t="shared" si="1"/>
        <v>21</v>
      </c>
      <c r="D1757" s="202" t="str">
        <f t="shared" si="2"/>
        <v> </v>
      </c>
      <c r="E1757" s="202" t="str">
        <f t="shared" si="9"/>
        <v> </v>
      </c>
      <c r="F1757" s="55" t="str">
        <f t="shared" si="4"/>
        <v/>
      </c>
      <c r="G1757" s="202" t="str">
        <f t="shared" si="5"/>
        <v/>
      </c>
      <c r="H1757" s="202" t="str">
        <f t="shared" si="11"/>
        <v> </v>
      </c>
      <c r="I1757" s="205" t="str">
        <f t="shared" si="7"/>
        <v/>
      </c>
      <c r="J1757" s="205"/>
      <c r="K1757" s="205"/>
    </row>
    <row r="1758" ht="14.25" customHeight="1">
      <c r="A1758" s="55">
        <v>47413.0</v>
      </c>
      <c r="B1758" s="55" t="str">
        <f t="shared" si="10"/>
        <v>Primer dia</v>
      </c>
      <c r="C1758" s="202">
        <f t="shared" si="1"/>
        <v>22</v>
      </c>
      <c r="D1758" s="202" t="str">
        <f t="shared" si="2"/>
        <v> </v>
      </c>
      <c r="E1758" s="202" t="str">
        <f t="shared" si="9"/>
        <v> </v>
      </c>
      <c r="F1758" s="55" t="str">
        <f t="shared" si="4"/>
        <v/>
      </c>
      <c r="G1758" s="202" t="str">
        <f t="shared" si="5"/>
        <v/>
      </c>
      <c r="H1758" s="202" t="str">
        <f t="shared" si="11"/>
        <v> </v>
      </c>
      <c r="I1758" s="205" t="str">
        <f t="shared" si="7"/>
        <v/>
      </c>
      <c r="J1758" s="205"/>
      <c r="K1758" s="205"/>
    </row>
    <row r="1759" ht="14.25" customHeight="1">
      <c r="A1759" s="55">
        <v>47414.0</v>
      </c>
      <c r="B1759" s="55" t="str">
        <f t="shared" si="10"/>
        <v>Primer dia</v>
      </c>
      <c r="C1759" s="202">
        <f t="shared" si="1"/>
        <v>23</v>
      </c>
      <c r="D1759" s="202" t="str">
        <f t="shared" si="2"/>
        <v> </v>
      </c>
      <c r="E1759" s="202" t="str">
        <f t="shared" si="9"/>
        <v> </v>
      </c>
      <c r="F1759" s="55" t="str">
        <f t="shared" si="4"/>
        <v/>
      </c>
      <c r="G1759" s="202" t="str">
        <f t="shared" si="5"/>
        <v/>
      </c>
      <c r="H1759" s="202" t="str">
        <f t="shared" si="11"/>
        <v> </v>
      </c>
      <c r="I1759" s="205" t="str">
        <f t="shared" si="7"/>
        <v/>
      </c>
      <c r="J1759" s="205"/>
      <c r="K1759" s="205"/>
    </row>
    <row r="1760" ht="14.25" customHeight="1">
      <c r="A1760" s="55">
        <v>47415.0</v>
      </c>
      <c r="B1760" s="55" t="str">
        <f t="shared" si="10"/>
        <v>Primer dia</v>
      </c>
      <c r="C1760" s="202">
        <f t="shared" si="1"/>
        <v>24</v>
      </c>
      <c r="D1760" s="202" t="str">
        <f t="shared" si="2"/>
        <v> </v>
      </c>
      <c r="E1760" s="202" t="str">
        <f t="shared" si="9"/>
        <v> </v>
      </c>
      <c r="F1760" s="55" t="str">
        <f t="shared" si="4"/>
        <v/>
      </c>
      <c r="G1760" s="202" t="str">
        <f t="shared" si="5"/>
        <v/>
      </c>
      <c r="H1760" s="202" t="str">
        <f t="shared" si="11"/>
        <v> </v>
      </c>
      <c r="I1760" s="205" t="str">
        <f t="shared" si="7"/>
        <v/>
      </c>
      <c r="J1760" s="205"/>
      <c r="K1760" s="205"/>
    </row>
    <row r="1761" ht="14.25" customHeight="1">
      <c r="A1761" s="55">
        <v>47416.0</v>
      </c>
      <c r="B1761" s="55" t="str">
        <f t="shared" si="10"/>
        <v>Primer dia</v>
      </c>
      <c r="C1761" s="202">
        <f t="shared" si="1"/>
        <v>25</v>
      </c>
      <c r="D1761" s="202" t="str">
        <f t="shared" si="2"/>
        <v> </v>
      </c>
      <c r="E1761" s="202" t="str">
        <f t="shared" si="9"/>
        <v> </v>
      </c>
      <c r="F1761" s="55" t="str">
        <f t="shared" si="4"/>
        <v/>
      </c>
      <c r="G1761" s="202" t="str">
        <f t="shared" si="5"/>
        <v/>
      </c>
      <c r="H1761" s="202" t="str">
        <f t="shared" si="11"/>
        <v> </v>
      </c>
      <c r="I1761" s="205" t="str">
        <f t="shared" si="7"/>
        <v/>
      </c>
      <c r="J1761" s="205"/>
      <c r="K1761" s="205"/>
    </row>
    <row r="1762" ht="14.25" customHeight="1">
      <c r="A1762" s="55">
        <v>47417.0</v>
      </c>
      <c r="B1762" s="55" t="str">
        <f t="shared" si="10"/>
        <v>Primer dia</v>
      </c>
      <c r="C1762" s="202">
        <f t="shared" si="1"/>
        <v>26</v>
      </c>
      <c r="D1762" s="202" t="str">
        <f t="shared" si="2"/>
        <v> </v>
      </c>
      <c r="E1762" s="202" t="str">
        <f t="shared" si="9"/>
        <v> </v>
      </c>
      <c r="F1762" s="55" t="str">
        <f t="shared" si="4"/>
        <v/>
      </c>
      <c r="G1762" s="202" t="str">
        <f t="shared" si="5"/>
        <v/>
      </c>
      <c r="H1762" s="202" t="str">
        <f t="shared" si="11"/>
        <v> </v>
      </c>
      <c r="I1762" s="205" t="str">
        <f t="shared" si="7"/>
        <v/>
      </c>
      <c r="J1762" s="205"/>
      <c r="K1762" s="205"/>
    </row>
    <row r="1763" ht="14.25" customHeight="1">
      <c r="A1763" s="55">
        <v>47418.0</v>
      </c>
      <c r="B1763" s="55" t="str">
        <f t="shared" si="10"/>
        <v>Primer dia</v>
      </c>
      <c r="C1763" s="202">
        <f t="shared" si="1"/>
        <v>27</v>
      </c>
      <c r="D1763" s="202" t="str">
        <f t="shared" si="2"/>
        <v> </v>
      </c>
      <c r="E1763" s="202" t="str">
        <f t="shared" si="9"/>
        <v> </v>
      </c>
      <c r="F1763" s="55" t="str">
        <f t="shared" si="4"/>
        <v/>
      </c>
      <c r="G1763" s="202" t="str">
        <f t="shared" si="5"/>
        <v/>
      </c>
      <c r="H1763" s="202" t="str">
        <f t="shared" si="11"/>
        <v> </v>
      </c>
      <c r="I1763" s="205" t="str">
        <f t="shared" si="7"/>
        <v/>
      </c>
      <c r="J1763" s="205"/>
      <c r="K1763" s="205"/>
    </row>
    <row r="1764" ht="14.25" customHeight="1">
      <c r="A1764" s="55">
        <v>47419.0</v>
      </c>
      <c r="B1764" s="55" t="str">
        <f t="shared" si="10"/>
        <v>Primer dia</v>
      </c>
      <c r="C1764" s="202">
        <f t="shared" si="1"/>
        <v>28</v>
      </c>
      <c r="D1764" s="202" t="str">
        <f t="shared" si="2"/>
        <v> </v>
      </c>
      <c r="E1764" s="202" t="str">
        <f t="shared" si="9"/>
        <v> </v>
      </c>
      <c r="F1764" s="55" t="str">
        <f t="shared" si="4"/>
        <v/>
      </c>
      <c r="G1764" s="202" t="str">
        <f t="shared" si="5"/>
        <v/>
      </c>
      <c r="H1764" s="202" t="str">
        <f t="shared" si="11"/>
        <v> </v>
      </c>
      <c r="I1764" s="205" t="str">
        <f t="shared" si="7"/>
        <v/>
      </c>
      <c r="J1764" s="205"/>
      <c r="K1764" s="205"/>
    </row>
    <row r="1765" ht="14.25" customHeight="1">
      <c r="A1765" s="55">
        <v>47420.0</v>
      </c>
      <c r="B1765" s="55" t="str">
        <f t="shared" si="10"/>
        <v>Primer dia</v>
      </c>
      <c r="C1765" s="202">
        <f t="shared" si="1"/>
        <v>29</v>
      </c>
      <c r="D1765" s="202" t="str">
        <f t="shared" si="2"/>
        <v> </v>
      </c>
      <c r="E1765" s="202" t="str">
        <f t="shared" si="9"/>
        <v> </v>
      </c>
      <c r="F1765" s="55" t="str">
        <f t="shared" si="4"/>
        <v/>
      </c>
      <c r="G1765" s="202" t="str">
        <f t="shared" si="5"/>
        <v/>
      </c>
      <c r="H1765" s="202" t="str">
        <f t="shared" si="11"/>
        <v> </v>
      </c>
      <c r="I1765" s="205" t="str">
        <f t="shared" si="7"/>
        <v/>
      </c>
      <c r="J1765" s="205"/>
      <c r="K1765" s="205"/>
    </row>
    <row r="1766" ht="14.25" customHeight="1">
      <c r="A1766" s="55">
        <v>47421.0</v>
      </c>
      <c r="B1766" s="55" t="str">
        <f t="shared" si="10"/>
        <v>Primer dia</v>
      </c>
      <c r="C1766" s="202">
        <f t="shared" si="1"/>
        <v>30</v>
      </c>
      <c r="D1766" s="202" t="str">
        <f t="shared" si="2"/>
        <v> </v>
      </c>
      <c r="E1766" s="202" t="str">
        <f t="shared" si="9"/>
        <v> </v>
      </c>
      <c r="F1766" s="55" t="str">
        <f t="shared" si="4"/>
        <v/>
      </c>
      <c r="G1766" s="202" t="str">
        <f t="shared" si="5"/>
        <v/>
      </c>
      <c r="H1766" s="202" t="str">
        <f t="shared" si="11"/>
        <v> </v>
      </c>
      <c r="I1766" s="205" t="str">
        <f t="shared" si="7"/>
        <v/>
      </c>
      <c r="J1766" s="205"/>
      <c r="K1766" s="205"/>
    </row>
    <row r="1767" ht="14.25" customHeight="1">
      <c r="A1767" s="55">
        <v>47422.0</v>
      </c>
      <c r="B1767" s="55" t="str">
        <f t="shared" si="10"/>
        <v>Primer dia</v>
      </c>
      <c r="C1767" s="202">
        <f t="shared" si="1"/>
        <v>31</v>
      </c>
      <c r="D1767" s="202" t="str">
        <f t="shared" si="2"/>
        <v> </v>
      </c>
      <c r="E1767" s="202" t="str">
        <f t="shared" si="9"/>
        <v> </v>
      </c>
      <c r="F1767" s="55" t="str">
        <f t="shared" si="4"/>
        <v/>
      </c>
      <c r="G1767" s="202" t="str">
        <f t="shared" si="5"/>
        <v/>
      </c>
      <c r="H1767" s="202" t="str">
        <f t="shared" si="11"/>
        <v> </v>
      </c>
      <c r="I1767" s="205" t="str">
        <f t="shared" si="7"/>
        <v/>
      </c>
      <c r="J1767" s="205"/>
      <c r="K1767" s="205"/>
    </row>
    <row r="1768" ht="14.25" customHeight="1">
      <c r="A1768" s="55">
        <v>47423.0</v>
      </c>
      <c r="B1768" s="55" t="str">
        <f t="shared" si="10"/>
        <v>Primer dia</v>
      </c>
      <c r="C1768" s="202">
        <f t="shared" si="1"/>
        <v>1</v>
      </c>
      <c r="D1768" s="202" t="str">
        <f t="shared" si="2"/>
        <v> </v>
      </c>
      <c r="E1768" s="202" t="str">
        <f t="shared" si="9"/>
        <v> </v>
      </c>
      <c r="F1768" s="55" t="str">
        <f t="shared" si="4"/>
        <v/>
      </c>
      <c r="G1768" s="202" t="str">
        <f t="shared" si="5"/>
        <v/>
      </c>
      <c r="H1768" s="202" t="str">
        <f t="shared" si="11"/>
        <v> </v>
      </c>
      <c r="I1768" s="205" t="str">
        <f t="shared" si="7"/>
        <v/>
      </c>
      <c r="J1768" s="205"/>
      <c r="K1768" s="205"/>
    </row>
    <row r="1769" ht="14.25" customHeight="1">
      <c r="A1769" s="55">
        <v>47424.0</v>
      </c>
      <c r="B1769" s="55" t="str">
        <f t="shared" si="10"/>
        <v>Primer dia</v>
      </c>
      <c r="C1769" s="202">
        <f t="shared" si="1"/>
        <v>2</v>
      </c>
      <c r="D1769" s="202" t="str">
        <f t="shared" si="2"/>
        <v> </v>
      </c>
      <c r="E1769" s="202">
        <f t="shared" si="9"/>
        <v>2</v>
      </c>
      <c r="F1769" s="55">
        <f t="shared" si="4"/>
        <v>47424</v>
      </c>
      <c r="G1769" s="202">
        <f t="shared" si="5"/>
        <v>91</v>
      </c>
      <c r="H1769" s="202" t="str">
        <f t="shared" si="11"/>
        <v> </v>
      </c>
      <c r="I1769" s="205" t="str">
        <f t="shared" si="7"/>
        <v/>
      </c>
      <c r="J1769" s="205"/>
      <c r="K1769" s="205"/>
    </row>
    <row r="1770" ht="14.25" customHeight="1">
      <c r="A1770" s="55">
        <v>47425.0</v>
      </c>
      <c r="B1770" s="55" t="str">
        <f t="shared" si="10"/>
        <v>Primer dia</v>
      </c>
      <c r="C1770" s="202">
        <f t="shared" si="1"/>
        <v>3</v>
      </c>
      <c r="D1770" s="202" t="str">
        <f t="shared" si="2"/>
        <v> </v>
      </c>
      <c r="E1770" s="202" t="str">
        <f t="shared" si="9"/>
        <v> </v>
      </c>
      <c r="F1770" s="55" t="str">
        <f t="shared" si="4"/>
        <v/>
      </c>
      <c r="G1770" s="202" t="str">
        <f t="shared" si="5"/>
        <v/>
      </c>
      <c r="H1770" s="202" t="str">
        <f t="shared" si="11"/>
        <v> </v>
      </c>
      <c r="I1770" s="205" t="str">
        <f t="shared" si="7"/>
        <v/>
      </c>
      <c r="J1770" s="205"/>
      <c r="K1770" s="205"/>
    </row>
    <row r="1771" ht="14.25" customHeight="1">
      <c r="A1771" s="55">
        <v>47426.0</v>
      </c>
      <c r="B1771" s="55" t="str">
        <f t="shared" si="10"/>
        <v>Primer dia</v>
      </c>
      <c r="C1771" s="202">
        <f t="shared" si="1"/>
        <v>4</v>
      </c>
      <c r="D1771" s="202" t="str">
        <f t="shared" si="2"/>
        <v> </v>
      </c>
      <c r="E1771" s="202" t="str">
        <f t="shared" si="9"/>
        <v> </v>
      </c>
      <c r="F1771" s="55" t="str">
        <f t="shared" si="4"/>
        <v/>
      </c>
      <c r="G1771" s="202" t="str">
        <f t="shared" si="5"/>
        <v/>
      </c>
      <c r="H1771" s="202" t="str">
        <f t="shared" si="11"/>
        <v> </v>
      </c>
      <c r="I1771" s="205" t="str">
        <f t="shared" si="7"/>
        <v/>
      </c>
      <c r="J1771" s="205"/>
      <c r="K1771" s="205"/>
    </row>
    <row r="1772" ht="14.25" customHeight="1">
      <c r="A1772" s="55">
        <v>47427.0</v>
      </c>
      <c r="B1772" s="55" t="str">
        <f t="shared" si="10"/>
        <v>Primer dia</v>
      </c>
      <c r="C1772" s="202">
        <f t="shared" si="1"/>
        <v>5</v>
      </c>
      <c r="D1772" s="202" t="str">
        <f t="shared" si="2"/>
        <v> </v>
      </c>
      <c r="E1772" s="202" t="str">
        <f t="shared" si="9"/>
        <v> </v>
      </c>
      <c r="F1772" s="55" t="str">
        <f t="shared" si="4"/>
        <v/>
      </c>
      <c r="G1772" s="202" t="str">
        <f t="shared" si="5"/>
        <v/>
      </c>
      <c r="H1772" s="202" t="str">
        <f t="shared" si="11"/>
        <v> </v>
      </c>
      <c r="I1772" s="205" t="str">
        <f t="shared" si="7"/>
        <v/>
      </c>
      <c r="J1772" s="205"/>
      <c r="K1772" s="205"/>
    </row>
    <row r="1773" ht="14.25" customHeight="1">
      <c r="A1773" s="55">
        <v>47428.0</v>
      </c>
      <c r="B1773" s="55" t="str">
        <f t="shared" si="10"/>
        <v>Primer dia</v>
      </c>
      <c r="C1773" s="202">
        <f t="shared" si="1"/>
        <v>6</v>
      </c>
      <c r="D1773" s="202" t="str">
        <f t="shared" si="2"/>
        <v> </v>
      </c>
      <c r="E1773" s="202" t="str">
        <f t="shared" si="9"/>
        <v> </v>
      </c>
      <c r="F1773" s="55" t="str">
        <f t="shared" si="4"/>
        <v/>
      </c>
      <c r="G1773" s="202" t="str">
        <f t="shared" si="5"/>
        <v/>
      </c>
      <c r="H1773" s="202" t="str">
        <f t="shared" si="11"/>
        <v> </v>
      </c>
      <c r="I1773" s="205" t="str">
        <f t="shared" si="7"/>
        <v/>
      </c>
      <c r="J1773" s="205"/>
      <c r="K1773" s="205"/>
    </row>
    <row r="1774" ht="14.25" customHeight="1">
      <c r="A1774" s="55">
        <v>47429.0</v>
      </c>
      <c r="B1774" s="55" t="str">
        <f t="shared" si="10"/>
        <v>Primer dia</v>
      </c>
      <c r="C1774" s="202">
        <f t="shared" si="1"/>
        <v>7</v>
      </c>
      <c r="D1774" s="202" t="str">
        <f t="shared" si="2"/>
        <v> </v>
      </c>
      <c r="E1774" s="202" t="str">
        <f t="shared" si="9"/>
        <v> </v>
      </c>
      <c r="F1774" s="55" t="str">
        <f t="shared" si="4"/>
        <v/>
      </c>
      <c r="G1774" s="202" t="str">
        <f t="shared" si="5"/>
        <v/>
      </c>
      <c r="H1774" s="202" t="str">
        <f t="shared" si="11"/>
        <v> </v>
      </c>
      <c r="I1774" s="205" t="str">
        <f t="shared" si="7"/>
        <v/>
      </c>
      <c r="J1774" s="205"/>
      <c r="K1774" s="205"/>
    </row>
    <row r="1775" ht="14.25" customHeight="1">
      <c r="A1775" s="55">
        <v>47430.0</v>
      </c>
      <c r="B1775" s="55" t="str">
        <f t="shared" si="10"/>
        <v>Primer dia</v>
      </c>
      <c r="C1775" s="202">
        <f t="shared" si="1"/>
        <v>8</v>
      </c>
      <c r="D1775" s="202" t="str">
        <f t="shared" si="2"/>
        <v> </v>
      </c>
      <c r="E1775" s="202" t="str">
        <f t="shared" si="9"/>
        <v> </v>
      </c>
      <c r="F1775" s="55" t="str">
        <f t="shared" si="4"/>
        <v/>
      </c>
      <c r="G1775" s="202" t="str">
        <f t="shared" si="5"/>
        <v/>
      </c>
      <c r="H1775" s="202" t="str">
        <f t="shared" si="11"/>
        <v> </v>
      </c>
      <c r="I1775" s="205" t="str">
        <f t="shared" si="7"/>
        <v/>
      </c>
      <c r="J1775" s="205"/>
      <c r="K1775" s="205"/>
    </row>
    <row r="1776" ht="14.25" customHeight="1">
      <c r="A1776" s="55">
        <v>47431.0</v>
      </c>
      <c r="B1776" s="55" t="str">
        <f t="shared" si="10"/>
        <v>Primer dia</v>
      </c>
      <c r="C1776" s="202">
        <f t="shared" si="1"/>
        <v>9</v>
      </c>
      <c r="D1776" s="202" t="str">
        <f t="shared" si="2"/>
        <v> </v>
      </c>
      <c r="E1776" s="202" t="str">
        <f t="shared" si="9"/>
        <v> </v>
      </c>
      <c r="F1776" s="55" t="str">
        <f t="shared" si="4"/>
        <v/>
      </c>
      <c r="G1776" s="202" t="str">
        <f t="shared" si="5"/>
        <v/>
      </c>
      <c r="H1776" s="202" t="str">
        <f t="shared" si="11"/>
        <v> </v>
      </c>
      <c r="I1776" s="205" t="str">
        <f t="shared" si="7"/>
        <v/>
      </c>
      <c r="J1776" s="205"/>
      <c r="K1776" s="205"/>
    </row>
    <row r="1777" ht="14.25" customHeight="1">
      <c r="A1777" s="55">
        <v>47432.0</v>
      </c>
      <c r="B1777" s="55" t="str">
        <f t="shared" si="10"/>
        <v>Primer dia</v>
      </c>
      <c r="C1777" s="202">
        <f t="shared" si="1"/>
        <v>10</v>
      </c>
      <c r="D1777" s="202" t="str">
        <f t="shared" si="2"/>
        <v> </v>
      </c>
      <c r="E1777" s="202" t="str">
        <f t="shared" si="9"/>
        <v> </v>
      </c>
      <c r="F1777" s="55" t="str">
        <f t="shared" si="4"/>
        <v/>
      </c>
      <c r="G1777" s="202" t="str">
        <f t="shared" si="5"/>
        <v/>
      </c>
      <c r="H1777" s="202" t="str">
        <f t="shared" si="11"/>
        <v> </v>
      </c>
      <c r="I1777" s="205" t="str">
        <f t="shared" si="7"/>
        <v/>
      </c>
      <c r="J1777" s="205"/>
      <c r="K1777" s="205"/>
    </row>
    <row r="1778" ht="14.25" customHeight="1">
      <c r="A1778" s="55">
        <v>47433.0</v>
      </c>
      <c r="B1778" s="55" t="str">
        <f t="shared" si="10"/>
        <v>Primer dia</v>
      </c>
      <c r="C1778" s="202">
        <f t="shared" si="1"/>
        <v>11</v>
      </c>
      <c r="D1778" s="202" t="str">
        <f t="shared" si="2"/>
        <v> </v>
      </c>
      <c r="E1778" s="202" t="str">
        <f t="shared" si="9"/>
        <v> </v>
      </c>
      <c r="F1778" s="55" t="str">
        <f t="shared" si="4"/>
        <v/>
      </c>
      <c r="G1778" s="202" t="str">
        <f t="shared" si="5"/>
        <v/>
      </c>
      <c r="H1778" s="202" t="str">
        <f t="shared" si="11"/>
        <v> </v>
      </c>
      <c r="I1778" s="205" t="str">
        <f t="shared" si="7"/>
        <v/>
      </c>
      <c r="J1778" s="205"/>
      <c r="K1778" s="205"/>
    </row>
    <row r="1779" ht="14.25" customHeight="1">
      <c r="A1779" s="55">
        <v>47434.0</v>
      </c>
      <c r="B1779" s="55" t="str">
        <f t="shared" si="10"/>
        <v>Primer dia</v>
      </c>
      <c r="C1779" s="202">
        <f t="shared" si="1"/>
        <v>12</v>
      </c>
      <c r="D1779" s="202" t="str">
        <f t="shared" si="2"/>
        <v> </v>
      </c>
      <c r="E1779" s="202" t="str">
        <f t="shared" si="9"/>
        <v> </v>
      </c>
      <c r="F1779" s="55" t="str">
        <f t="shared" si="4"/>
        <v/>
      </c>
      <c r="G1779" s="202" t="str">
        <f t="shared" si="5"/>
        <v/>
      </c>
      <c r="H1779" s="202" t="str">
        <f t="shared" si="11"/>
        <v> </v>
      </c>
      <c r="I1779" s="205" t="str">
        <f t="shared" si="7"/>
        <v/>
      </c>
      <c r="J1779" s="205"/>
      <c r="K1779" s="205"/>
    </row>
    <row r="1780" ht="14.25" customHeight="1">
      <c r="A1780" s="55">
        <v>47435.0</v>
      </c>
      <c r="B1780" s="55" t="str">
        <f t="shared" si="10"/>
        <v>Primer dia</v>
      </c>
      <c r="C1780" s="202">
        <f t="shared" si="1"/>
        <v>13</v>
      </c>
      <c r="D1780" s="202" t="str">
        <f t="shared" si="2"/>
        <v> </v>
      </c>
      <c r="E1780" s="202" t="str">
        <f t="shared" si="9"/>
        <v> </v>
      </c>
      <c r="F1780" s="55" t="str">
        <f t="shared" si="4"/>
        <v/>
      </c>
      <c r="G1780" s="202" t="str">
        <f t="shared" si="5"/>
        <v/>
      </c>
      <c r="H1780" s="202" t="str">
        <f t="shared" si="11"/>
        <v> </v>
      </c>
      <c r="I1780" s="205" t="str">
        <f t="shared" si="7"/>
        <v/>
      </c>
      <c r="J1780" s="205"/>
      <c r="K1780" s="205"/>
    </row>
    <row r="1781" ht="14.25" customHeight="1">
      <c r="A1781" s="55">
        <v>47436.0</v>
      </c>
      <c r="B1781" s="55" t="str">
        <f t="shared" si="10"/>
        <v>Primer dia</v>
      </c>
      <c r="C1781" s="202">
        <f t="shared" si="1"/>
        <v>14</v>
      </c>
      <c r="D1781" s="202" t="str">
        <f t="shared" si="2"/>
        <v> </v>
      </c>
      <c r="E1781" s="202" t="str">
        <f t="shared" si="9"/>
        <v> </v>
      </c>
      <c r="F1781" s="55" t="str">
        <f t="shared" si="4"/>
        <v/>
      </c>
      <c r="G1781" s="202" t="str">
        <f t="shared" si="5"/>
        <v/>
      </c>
      <c r="H1781" s="202" t="str">
        <f t="shared" si="11"/>
        <v> </v>
      </c>
      <c r="I1781" s="205" t="str">
        <f t="shared" si="7"/>
        <v/>
      </c>
      <c r="J1781" s="205"/>
      <c r="K1781" s="205"/>
    </row>
    <row r="1782" ht="14.25" customHeight="1">
      <c r="A1782" s="55">
        <v>47437.0</v>
      </c>
      <c r="B1782" s="55" t="str">
        <f t="shared" si="10"/>
        <v>Primer dia</v>
      </c>
      <c r="C1782" s="202">
        <f t="shared" si="1"/>
        <v>15</v>
      </c>
      <c r="D1782" s="202" t="str">
        <f t="shared" si="2"/>
        <v> </v>
      </c>
      <c r="E1782" s="202" t="str">
        <f t="shared" si="9"/>
        <v> </v>
      </c>
      <c r="F1782" s="55" t="str">
        <f t="shared" si="4"/>
        <v/>
      </c>
      <c r="G1782" s="202" t="str">
        <f t="shared" si="5"/>
        <v/>
      </c>
      <c r="H1782" s="202" t="str">
        <f t="shared" si="11"/>
        <v> </v>
      </c>
      <c r="I1782" s="205" t="str">
        <f t="shared" si="7"/>
        <v/>
      </c>
      <c r="J1782" s="205"/>
      <c r="K1782" s="205"/>
    </row>
    <row r="1783" ht="14.25" customHeight="1">
      <c r="A1783" s="55">
        <v>47438.0</v>
      </c>
      <c r="B1783" s="55" t="str">
        <f t="shared" si="10"/>
        <v>Primer dia</v>
      </c>
      <c r="C1783" s="202">
        <f t="shared" si="1"/>
        <v>16</v>
      </c>
      <c r="D1783" s="202" t="str">
        <f t="shared" si="2"/>
        <v> </v>
      </c>
      <c r="E1783" s="202" t="str">
        <f t="shared" si="9"/>
        <v> </v>
      </c>
      <c r="F1783" s="55" t="str">
        <f t="shared" si="4"/>
        <v/>
      </c>
      <c r="G1783" s="202" t="str">
        <f t="shared" si="5"/>
        <v/>
      </c>
      <c r="H1783" s="202" t="str">
        <f t="shared" si="11"/>
        <v> </v>
      </c>
      <c r="I1783" s="205" t="str">
        <f t="shared" si="7"/>
        <v/>
      </c>
      <c r="J1783" s="205"/>
      <c r="K1783" s="205"/>
    </row>
    <row r="1784" ht="14.25" customHeight="1">
      <c r="A1784" s="55">
        <v>47439.0</v>
      </c>
      <c r="B1784" s="55" t="str">
        <f t="shared" si="10"/>
        <v>Primer dia</v>
      </c>
      <c r="C1784" s="202">
        <f t="shared" si="1"/>
        <v>17</v>
      </c>
      <c r="D1784" s="202" t="str">
        <f t="shared" si="2"/>
        <v> </v>
      </c>
      <c r="E1784" s="202">
        <f t="shared" si="9"/>
        <v>17</v>
      </c>
      <c r="F1784" s="55">
        <f t="shared" si="4"/>
        <v>47439</v>
      </c>
      <c r="G1784" s="202">
        <f t="shared" si="5"/>
        <v>92</v>
      </c>
      <c r="H1784" s="202" t="str">
        <f t="shared" si="11"/>
        <v> </v>
      </c>
      <c r="I1784" s="205" t="str">
        <f t="shared" si="7"/>
        <v/>
      </c>
      <c r="J1784" s="205"/>
      <c r="K1784" s="205"/>
    </row>
    <row r="1785" ht="14.25" customHeight="1">
      <c r="A1785" s="55">
        <v>47440.0</v>
      </c>
      <c r="B1785" s="55" t="str">
        <f t="shared" si="10"/>
        <v>Primer dia</v>
      </c>
      <c r="C1785" s="202">
        <f t="shared" si="1"/>
        <v>18</v>
      </c>
      <c r="D1785" s="202" t="str">
        <f t="shared" si="2"/>
        <v> </v>
      </c>
      <c r="E1785" s="202" t="str">
        <f t="shared" si="9"/>
        <v> </v>
      </c>
      <c r="F1785" s="55" t="str">
        <f t="shared" si="4"/>
        <v/>
      </c>
      <c r="G1785" s="202" t="str">
        <f t="shared" si="5"/>
        <v/>
      </c>
      <c r="H1785" s="202" t="str">
        <f t="shared" si="11"/>
        <v> </v>
      </c>
      <c r="I1785" s="205" t="str">
        <f t="shared" si="7"/>
        <v/>
      </c>
      <c r="J1785" s="205"/>
      <c r="K1785" s="205"/>
    </row>
    <row r="1786" ht="14.25" customHeight="1">
      <c r="A1786" s="55">
        <v>47441.0</v>
      </c>
      <c r="B1786" s="55" t="str">
        <f t="shared" si="10"/>
        <v>Primer dia</v>
      </c>
      <c r="C1786" s="202">
        <f t="shared" si="1"/>
        <v>19</v>
      </c>
      <c r="D1786" s="202" t="str">
        <f t="shared" si="2"/>
        <v> </v>
      </c>
      <c r="E1786" s="202" t="str">
        <f t="shared" si="9"/>
        <v> </v>
      </c>
      <c r="F1786" s="55" t="str">
        <f t="shared" si="4"/>
        <v/>
      </c>
      <c r="G1786" s="202" t="str">
        <f t="shared" si="5"/>
        <v/>
      </c>
      <c r="H1786" s="202" t="str">
        <f t="shared" si="11"/>
        <v> </v>
      </c>
      <c r="I1786" s="205" t="str">
        <f t="shared" si="7"/>
        <v/>
      </c>
      <c r="J1786" s="205"/>
      <c r="K1786" s="205"/>
    </row>
    <row r="1787" ht="14.25" customHeight="1">
      <c r="A1787" s="55">
        <v>47442.0</v>
      </c>
      <c r="B1787" s="55" t="str">
        <f t="shared" si="10"/>
        <v>Primer dia</v>
      </c>
      <c r="C1787" s="202">
        <f t="shared" si="1"/>
        <v>20</v>
      </c>
      <c r="D1787" s="202" t="str">
        <f t="shared" si="2"/>
        <v> </v>
      </c>
      <c r="E1787" s="202" t="str">
        <f t="shared" si="9"/>
        <v> </v>
      </c>
      <c r="F1787" s="55" t="str">
        <f t="shared" si="4"/>
        <v/>
      </c>
      <c r="G1787" s="202" t="str">
        <f t="shared" si="5"/>
        <v/>
      </c>
      <c r="H1787" s="202" t="str">
        <f t="shared" si="11"/>
        <v> </v>
      </c>
      <c r="I1787" s="205" t="str">
        <f t="shared" si="7"/>
        <v/>
      </c>
      <c r="J1787" s="205"/>
      <c r="K1787" s="205"/>
    </row>
    <row r="1788" ht="14.25" customHeight="1">
      <c r="A1788" s="55">
        <v>47443.0</v>
      </c>
      <c r="B1788" s="55" t="str">
        <f t="shared" si="10"/>
        <v>Primer dia</v>
      </c>
      <c r="C1788" s="202">
        <f t="shared" si="1"/>
        <v>21</v>
      </c>
      <c r="D1788" s="202" t="str">
        <f t="shared" si="2"/>
        <v> </v>
      </c>
      <c r="E1788" s="202" t="str">
        <f t="shared" si="9"/>
        <v> </v>
      </c>
      <c r="F1788" s="55" t="str">
        <f t="shared" si="4"/>
        <v/>
      </c>
      <c r="G1788" s="202" t="str">
        <f t="shared" si="5"/>
        <v/>
      </c>
      <c r="H1788" s="202" t="str">
        <f t="shared" si="11"/>
        <v> </v>
      </c>
      <c r="I1788" s="205" t="str">
        <f t="shared" si="7"/>
        <v/>
      </c>
      <c r="J1788" s="205"/>
      <c r="K1788" s="205"/>
    </row>
    <row r="1789" ht="14.25" customHeight="1">
      <c r="A1789" s="55">
        <v>47444.0</v>
      </c>
      <c r="B1789" s="55" t="str">
        <f t="shared" si="10"/>
        <v>Primer dia</v>
      </c>
      <c r="C1789" s="202">
        <f t="shared" si="1"/>
        <v>22</v>
      </c>
      <c r="D1789" s="202" t="str">
        <f t="shared" si="2"/>
        <v> </v>
      </c>
      <c r="E1789" s="202" t="str">
        <f t="shared" si="9"/>
        <v> </v>
      </c>
      <c r="F1789" s="55" t="str">
        <f t="shared" si="4"/>
        <v/>
      </c>
      <c r="G1789" s="202" t="str">
        <f t="shared" si="5"/>
        <v/>
      </c>
      <c r="H1789" s="202" t="str">
        <f t="shared" si="11"/>
        <v> </v>
      </c>
      <c r="I1789" s="205" t="str">
        <f t="shared" si="7"/>
        <v/>
      </c>
      <c r="J1789" s="205"/>
      <c r="K1789" s="205"/>
    </row>
    <row r="1790" ht="14.25" customHeight="1">
      <c r="A1790" s="55">
        <v>47445.0</v>
      </c>
      <c r="B1790" s="55" t="str">
        <f t="shared" si="10"/>
        <v>Primer dia</v>
      </c>
      <c r="C1790" s="202">
        <f t="shared" si="1"/>
        <v>23</v>
      </c>
      <c r="D1790" s="202" t="str">
        <f t="shared" si="2"/>
        <v> </v>
      </c>
      <c r="E1790" s="202" t="str">
        <f t="shared" si="9"/>
        <v> </v>
      </c>
      <c r="F1790" s="55" t="str">
        <f t="shared" si="4"/>
        <v/>
      </c>
      <c r="G1790" s="202" t="str">
        <f t="shared" si="5"/>
        <v/>
      </c>
      <c r="H1790" s="202" t="str">
        <f t="shared" si="11"/>
        <v> </v>
      </c>
      <c r="I1790" s="205" t="str">
        <f t="shared" si="7"/>
        <v/>
      </c>
      <c r="J1790" s="205"/>
      <c r="K1790" s="205"/>
    </row>
    <row r="1791" ht="14.25" customHeight="1">
      <c r="A1791" s="55">
        <v>47446.0</v>
      </c>
      <c r="B1791" s="55" t="str">
        <f t="shared" si="10"/>
        <v>Primer dia</v>
      </c>
      <c r="C1791" s="202">
        <f t="shared" si="1"/>
        <v>24</v>
      </c>
      <c r="D1791" s="202" t="str">
        <f t="shared" si="2"/>
        <v> </v>
      </c>
      <c r="E1791" s="202" t="str">
        <f t="shared" si="9"/>
        <v> </v>
      </c>
      <c r="F1791" s="55" t="str">
        <f t="shared" si="4"/>
        <v/>
      </c>
      <c r="G1791" s="202" t="str">
        <f t="shared" si="5"/>
        <v/>
      </c>
      <c r="H1791" s="202" t="str">
        <f t="shared" si="11"/>
        <v> </v>
      </c>
      <c r="I1791" s="205" t="str">
        <f t="shared" si="7"/>
        <v/>
      </c>
      <c r="J1791" s="205"/>
      <c r="K1791" s="205"/>
    </row>
    <row r="1792" ht="14.25" customHeight="1">
      <c r="A1792" s="55">
        <v>47447.0</v>
      </c>
      <c r="B1792" s="55" t="str">
        <f t="shared" si="10"/>
        <v>Primer dia</v>
      </c>
      <c r="C1792" s="202">
        <f t="shared" si="1"/>
        <v>25</v>
      </c>
      <c r="D1792" s="202" t="str">
        <f t="shared" si="2"/>
        <v> </v>
      </c>
      <c r="E1792" s="202" t="str">
        <f t="shared" si="9"/>
        <v> </v>
      </c>
      <c r="F1792" s="55" t="str">
        <f t="shared" si="4"/>
        <v/>
      </c>
      <c r="G1792" s="202" t="str">
        <f t="shared" si="5"/>
        <v/>
      </c>
      <c r="H1792" s="202" t="str">
        <f t="shared" si="11"/>
        <v> </v>
      </c>
      <c r="I1792" s="205" t="str">
        <f t="shared" si="7"/>
        <v/>
      </c>
      <c r="J1792" s="205"/>
      <c r="K1792" s="205"/>
    </row>
    <row r="1793" ht="14.25" customHeight="1">
      <c r="A1793" s="55">
        <v>47448.0</v>
      </c>
      <c r="B1793" s="55" t="str">
        <f t="shared" si="10"/>
        <v>Primer dia</v>
      </c>
      <c r="C1793" s="202">
        <f t="shared" si="1"/>
        <v>26</v>
      </c>
      <c r="D1793" s="202" t="str">
        <f t="shared" si="2"/>
        <v> </v>
      </c>
      <c r="E1793" s="202" t="str">
        <f t="shared" si="9"/>
        <v> </v>
      </c>
      <c r="F1793" s="55" t="str">
        <f t="shared" si="4"/>
        <v/>
      </c>
      <c r="G1793" s="202" t="str">
        <f t="shared" si="5"/>
        <v/>
      </c>
      <c r="H1793" s="202" t="str">
        <f t="shared" si="11"/>
        <v> </v>
      </c>
      <c r="I1793" s="205" t="str">
        <f t="shared" si="7"/>
        <v/>
      </c>
      <c r="J1793" s="205"/>
      <c r="K1793" s="205"/>
    </row>
    <row r="1794" ht="14.25" customHeight="1">
      <c r="A1794" s="55">
        <v>47449.0</v>
      </c>
      <c r="B1794" s="55" t="str">
        <f t="shared" si="10"/>
        <v>Primer dia</v>
      </c>
      <c r="C1794" s="202">
        <f t="shared" si="1"/>
        <v>27</v>
      </c>
      <c r="D1794" s="202" t="str">
        <f t="shared" si="2"/>
        <v> </v>
      </c>
      <c r="E1794" s="202" t="str">
        <f t="shared" si="9"/>
        <v> </v>
      </c>
      <c r="F1794" s="55" t="str">
        <f t="shared" si="4"/>
        <v/>
      </c>
      <c r="G1794" s="202" t="str">
        <f t="shared" si="5"/>
        <v/>
      </c>
      <c r="H1794" s="202" t="str">
        <f t="shared" si="11"/>
        <v> </v>
      </c>
      <c r="I1794" s="205" t="str">
        <f t="shared" si="7"/>
        <v/>
      </c>
      <c r="J1794" s="205"/>
      <c r="K1794" s="205"/>
    </row>
    <row r="1795" ht="14.25" customHeight="1">
      <c r="A1795" s="55">
        <v>47450.0</v>
      </c>
      <c r="B1795" s="55" t="str">
        <f t="shared" si="10"/>
        <v>Primer dia</v>
      </c>
      <c r="C1795" s="202">
        <f t="shared" si="1"/>
        <v>28</v>
      </c>
      <c r="D1795" s="202" t="str">
        <f t="shared" si="2"/>
        <v> </v>
      </c>
      <c r="E1795" s="202" t="str">
        <f t="shared" si="9"/>
        <v> </v>
      </c>
      <c r="F1795" s="55" t="str">
        <f t="shared" si="4"/>
        <v/>
      </c>
      <c r="G1795" s="202" t="str">
        <f t="shared" si="5"/>
        <v/>
      </c>
      <c r="H1795" s="202" t="str">
        <f t="shared" si="11"/>
        <v> </v>
      </c>
      <c r="I1795" s="205" t="str">
        <f t="shared" si="7"/>
        <v/>
      </c>
      <c r="J1795" s="205"/>
      <c r="K1795" s="205"/>
    </row>
    <row r="1796" ht="14.25" customHeight="1">
      <c r="A1796" s="55">
        <v>47451.0</v>
      </c>
      <c r="B1796" s="55" t="str">
        <f t="shared" si="10"/>
        <v>Primer dia</v>
      </c>
      <c r="C1796" s="202">
        <f t="shared" si="1"/>
        <v>29</v>
      </c>
      <c r="D1796" s="202" t="str">
        <f t="shared" si="2"/>
        <v> </v>
      </c>
      <c r="E1796" s="202" t="str">
        <f t="shared" si="9"/>
        <v> </v>
      </c>
      <c r="F1796" s="55" t="str">
        <f t="shared" si="4"/>
        <v/>
      </c>
      <c r="G1796" s="202" t="str">
        <f t="shared" si="5"/>
        <v/>
      </c>
      <c r="H1796" s="202" t="str">
        <f t="shared" si="11"/>
        <v> </v>
      </c>
      <c r="I1796" s="205" t="str">
        <f t="shared" si="7"/>
        <v/>
      </c>
      <c r="J1796" s="205"/>
      <c r="K1796" s="205"/>
    </row>
    <row r="1797" ht="14.25" customHeight="1">
      <c r="A1797" s="55">
        <v>47452.0</v>
      </c>
      <c r="B1797" s="55" t="str">
        <f t="shared" si="10"/>
        <v>Primer dia</v>
      </c>
      <c r="C1797" s="202">
        <f t="shared" si="1"/>
        <v>30</v>
      </c>
      <c r="D1797" s="202" t="str">
        <f t="shared" si="2"/>
        <v> </v>
      </c>
      <c r="E1797" s="202" t="str">
        <f t="shared" si="9"/>
        <v> </v>
      </c>
      <c r="F1797" s="55" t="str">
        <f t="shared" si="4"/>
        <v/>
      </c>
      <c r="G1797" s="202" t="str">
        <f t="shared" si="5"/>
        <v/>
      </c>
      <c r="H1797" s="202" t="str">
        <f t="shared" si="11"/>
        <v> </v>
      </c>
      <c r="I1797" s="205" t="str">
        <f t="shared" si="7"/>
        <v/>
      </c>
      <c r="J1797" s="205"/>
      <c r="K1797" s="205"/>
    </row>
    <row r="1798" ht="14.25" customHeight="1">
      <c r="A1798" s="55">
        <v>47453.0</v>
      </c>
      <c r="B1798" s="55" t="str">
        <f t="shared" si="10"/>
        <v>Primer dia</v>
      </c>
      <c r="C1798" s="202">
        <f t="shared" si="1"/>
        <v>1</v>
      </c>
      <c r="D1798" s="202" t="str">
        <f t="shared" si="2"/>
        <v> </v>
      </c>
      <c r="E1798" s="202" t="str">
        <f t="shared" si="9"/>
        <v> </v>
      </c>
      <c r="F1798" s="55" t="str">
        <f t="shared" si="4"/>
        <v/>
      </c>
      <c r="G1798" s="202" t="str">
        <f t="shared" si="5"/>
        <v/>
      </c>
      <c r="H1798" s="202" t="str">
        <f t="shared" si="11"/>
        <v> </v>
      </c>
      <c r="I1798" s="205" t="str">
        <f t="shared" si="7"/>
        <v/>
      </c>
      <c r="J1798" s="205"/>
      <c r="K1798" s="205"/>
    </row>
    <row r="1799" ht="14.25" customHeight="1">
      <c r="A1799" s="55">
        <v>47454.0</v>
      </c>
      <c r="B1799" s="55" t="str">
        <f t="shared" si="10"/>
        <v>Primer dia</v>
      </c>
      <c r="C1799" s="202">
        <f t="shared" si="1"/>
        <v>2</v>
      </c>
      <c r="D1799" s="202" t="str">
        <f t="shared" si="2"/>
        <v> </v>
      </c>
      <c r="E1799" s="202">
        <f t="shared" si="9"/>
        <v>2</v>
      </c>
      <c r="F1799" s="55">
        <f t="shared" si="4"/>
        <v>47454</v>
      </c>
      <c r="G1799" s="202">
        <f t="shared" si="5"/>
        <v>93</v>
      </c>
      <c r="H1799" s="202" t="str">
        <f t="shared" si="11"/>
        <v> </v>
      </c>
      <c r="I1799" s="205" t="str">
        <f t="shared" si="7"/>
        <v/>
      </c>
      <c r="J1799" s="205"/>
      <c r="K1799" s="205"/>
    </row>
    <row r="1800" ht="14.25" customHeight="1">
      <c r="A1800" s="55">
        <v>47455.0</v>
      </c>
      <c r="B1800" s="55" t="str">
        <f t="shared" si="10"/>
        <v>Primer dia</v>
      </c>
      <c r="C1800" s="202">
        <f t="shared" si="1"/>
        <v>3</v>
      </c>
      <c r="D1800" s="202" t="str">
        <f t="shared" si="2"/>
        <v> </v>
      </c>
      <c r="E1800" s="202" t="str">
        <f t="shared" si="9"/>
        <v> </v>
      </c>
      <c r="F1800" s="55" t="str">
        <f t="shared" si="4"/>
        <v/>
      </c>
      <c r="G1800" s="202" t="str">
        <f t="shared" si="5"/>
        <v/>
      </c>
      <c r="H1800" s="202" t="str">
        <f t="shared" si="11"/>
        <v> </v>
      </c>
      <c r="I1800" s="205" t="str">
        <f t="shared" si="7"/>
        <v/>
      </c>
      <c r="J1800" s="205"/>
      <c r="K1800" s="205"/>
    </row>
    <row r="1801" ht="14.25" customHeight="1">
      <c r="A1801" s="55">
        <v>47456.0</v>
      </c>
      <c r="B1801" s="55" t="str">
        <f t="shared" si="10"/>
        <v>Primer dia</v>
      </c>
      <c r="C1801" s="202">
        <f t="shared" si="1"/>
        <v>4</v>
      </c>
      <c r="D1801" s="202" t="str">
        <f t="shared" si="2"/>
        <v> </v>
      </c>
      <c r="E1801" s="202" t="str">
        <f t="shared" si="9"/>
        <v> </v>
      </c>
      <c r="F1801" s="55" t="str">
        <f t="shared" si="4"/>
        <v/>
      </c>
      <c r="G1801" s="202" t="str">
        <f t="shared" si="5"/>
        <v/>
      </c>
      <c r="H1801" s="202" t="str">
        <f t="shared" si="11"/>
        <v> </v>
      </c>
      <c r="I1801" s="205" t="str">
        <f t="shared" si="7"/>
        <v/>
      </c>
      <c r="J1801" s="205"/>
      <c r="K1801" s="205"/>
    </row>
    <row r="1802" ht="14.25" customHeight="1">
      <c r="A1802" s="55">
        <v>47457.0</v>
      </c>
      <c r="B1802" s="55" t="str">
        <f t="shared" si="10"/>
        <v>Primer dia</v>
      </c>
      <c r="C1802" s="202">
        <f t="shared" si="1"/>
        <v>5</v>
      </c>
      <c r="D1802" s="202" t="str">
        <f t="shared" si="2"/>
        <v> </v>
      </c>
      <c r="E1802" s="202" t="str">
        <f t="shared" si="9"/>
        <v> </v>
      </c>
      <c r="F1802" s="55" t="str">
        <f t="shared" si="4"/>
        <v/>
      </c>
      <c r="G1802" s="202" t="str">
        <f t="shared" si="5"/>
        <v/>
      </c>
      <c r="H1802" s="202" t="str">
        <f t="shared" si="11"/>
        <v> </v>
      </c>
      <c r="I1802" s="205" t="str">
        <f t="shared" si="7"/>
        <v/>
      </c>
      <c r="J1802" s="205"/>
      <c r="K1802" s="205"/>
    </row>
    <row r="1803" ht="14.25" customHeight="1">
      <c r="A1803" s="55">
        <v>47458.0</v>
      </c>
      <c r="B1803" s="55" t="str">
        <f t="shared" si="10"/>
        <v>Primer dia</v>
      </c>
      <c r="C1803" s="202">
        <f t="shared" si="1"/>
        <v>6</v>
      </c>
      <c r="D1803" s="202" t="str">
        <f t="shared" si="2"/>
        <v> </v>
      </c>
      <c r="E1803" s="202" t="str">
        <f t="shared" si="9"/>
        <v> </v>
      </c>
      <c r="F1803" s="55" t="str">
        <f t="shared" si="4"/>
        <v/>
      </c>
      <c r="G1803" s="202" t="str">
        <f t="shared" si="5"/>
        <v/>
      </c>
      <c r="H1803" s="202" t="str">
        <f t="shared" si="11"/>
        <v> </v>
      </c>
      <c r="I1803" s="205" t="str">
        <f t="shared" si="7"/>
        <v/>
      </c>
      <c r="J1803" s="205"/>
      <c r="K1803" s="205"/>
    </row>
    <row r="1804" ht="14.25" customHeight="1">
      <c r="A1804" s="55">
        <v>47459.0</v>
      </c>
      <c r="B1804" s="55" t="str">
        <f t="shared" si="10"/>
        <v>Primer dia</v>
      </c>
      <c r="C1804" s="202">
        <f t="shared" si="1"/>
        <v>7</v>
      </c>
      <c r="D1804" s="202" t="str">
        <f t="shared" si="2"/>
        <v> </v>
      </c>
      <c r="E1804" s="202" t="str">
        <f t="shared" si="9"/>
        <v> </v>
      </c>
      <c r="F1804" s="55" t="str">
        <f t="shared" si="4"/>
        <v/>
      </c>
      <c r="G1804" s="202" t="str">
        <f t="shared" si="5"/>
        <v/>
      </c>
      <c r="H1804" s="202" t="str">
        <f t="shared" si="11"/>
        <v> </v>
      </c>
      <c r="I1804" s="205" t="str">
        <f t="shared" si="7"/>
        <v/>
      </c>
      <c r="J1804" s="205"/>
      <c r="K1804" s="205"/>
    </row>
    <row r="1805" ht="14.25" customHeight="1">
      <c r="A1805" s="55">
        <v>47460.0</v>
      </c>
      <c r="B1805" s="55" t="str">
        <f t="shared" si="10"/>
        <v>Primer dia</v>
      </c>
      <c r="C1805" s="202">
        <f t="shared" si="1"/>
        <v>8</v>
      </c>
      <c r="D1805" s="202" t="str">
        <f t="shared" si="2"/>
        <v> </v>
      </c>
      <c r="E1805" s="202" t="str">
        <f t="shared" si="9"/>
        <v> </v>
      </c>
      <c r="F1805" s="55" t="str">
        <f t="shared" si="4"/>
        <v/>
      </c>
      <c r="G1805" s="202" t="str">
        <f t="shared" si="5"/>
        <v/>
      </c>
      <c r="H1805" s="202" t="str">
        <f t="shared" si="11"/>
        <v> </v>
      </c>
      <c r="I1805" s="205" t="str">
        <f t="shared" si="7"/>
        <v/>
      </c>
      <c r="J1805" s="205"/>
      <c r="K1805" s="205"/>
    </row>
    <row r="1806" ht="14.25" customHeight="1">
      <c r="A1806" s="55">
        <v>47461.0</v>
      </c>
      <c r="B1806" s="55" t="str">
        <f t="shared" si="10"/>
        <v>Primer dia</v>
      </c>
      <c r="C1806" s="202">
        <f t="shared" si="1"/>
        <v>9</v>
      </c>
      <c r="D1806" s="202" t="str">
        <f t="shared" si="2"/>
        <v> </v>
      </c>
      <c r="E1806" s="202" t="str">
        <f t="shared" si="9"/>
        <v> </v>
      </c>
      <c r="F1806" s="55" t="str">
        <f t="shared" si="4"/>
        <v/>
      </c>
      <c r="G1806" s="202" t="str">
        <f t="shared" si="5"/>
        <v/>
      </c>
      <c r="H1806" s="202" t="str">
        <f t="shared" si="11"/>
        <v> </v>
      </c>
      <c r="I1806" s="205" t="str">
        <f t="shared" si="7"/>
        <v/>
      </c>
      <c r="J1806" s="205"/>
      <c r="K1806" s="205"/>
    </row>
    <row r="1807" ht="14.25" customHeight="1">
      <c r="A1807" s="55">
        <v>47462.0</v>
      </c>
      <c r="B1807" s="55" t="str">
        <f t="shared" si="10"/>
        <v>Primer dia</v>
      </c>
      <c r="C1807" s="202">
        <f t="shared" si="1"/>
        <v>10</v>
      </c>
      <c r="D1807" s="202" t="str">
        <f t="shared" si="2"/>
        <v> </v>
      </c>
      <c r="E1807" s="202" t="str">
        <f t="shared" si="9"/>
        <v> </v>
      </c>
      <c r="F1807" s="55" t="str">
        <f t="shared" si="4"/>
        <v/>
      </c>
      <c r="G1807" s="202" t="str">
        <f t="shared" si="5"/>
        <v/>
      </c>
      <c r="H1807" s="202" t="str">
        <f t="shared" si="11"/>
        <v> </v>
      </c>
      <c r="I1807" s="205" t="str">
        <f t="shared" si="7"/>
        <v/>
      </c>
      <c r="J1807" s="205"/>
      <c r="K1807" s="205"/>
    </row>
    <row r="1808" ht="14.25" customHeight="1">
      <c r="A1808" s="55">
        <v>47463.0</v>
      </c>
      <c r="B1808" s="55" t="str">
        <f t="shared" si="10"/>
        <v>Primer dia</v>
      </c>
      <c r="C1808" s="202">
        <f t="shared" si="1"/>
        <v>11</v>
      </c>
      <c r="D1808" s="202" t="str">
        <f t="shared" si="2"/>
        <v> </v>
      </c>
      <c r="E1808" s="202" t="str">
        <f t="shared" si="9"/>
        <v> </v>
      </c>
      <c r="F1808" s="55" t="str">
        <f t="shared" si="4"/>
        <v/>
      </c>
      <c r="G1808" s="202" t="str">
        <f t="shared" si="5"/>
        <v/>
      </c>
      <c r="H1808" s="202" t="str">
        <f t="shared" si="11"/>
        <v> </v>
      </c>
      <c r="I1808" s="205" t="str">
        <f t="shared" si="7"/>
        <v/>
      </c>
      <c r="J1808" s="205"/>
      <c r="K1808" s="205"/>
    </row>
    <row r="1809" ht="14.25" customHeight="1">
      <c r="A1809" s="55">
        <v>47464.0</v>
      </c>
      <c r="B1809" s="55" t="str">
        <f t="shared" si="10"/>
        <v>Primer dia</v>
      </c>
      <c r="C1809" s="202">
        <f t="shared" si="1"/>
        <v>12</v>
      </c>
      <c r="D1809" s="202" t="str">
        <f t="shared" si="2"/>
        <v> </v>
      </c>
      <c r="E1809" s="202" t="str">
        <f t="shared" si="9"/>
        <v> </v>
      </c>
      <c r="F1809" s="55" t="str">
        <f t="shared" si="4"/>
        <v/>
      </c>
      <c r="G1809" s="202" t="str">
        <f t="shared" si="5"/>
        <v/>
      </c>
      <c r="H1809" s="202" t="str">
        <f t="shared" si="11"/>
        <v> </v>
      </c>
      <c r="I1809" s="205" t="str">
        <f t="shared" si="7"/>
        <v/>
      </c>
      <c r="J1809" s="205"/>
      <c r="K1809" s="205"/>
    </row>
    <row r="1810" ht="14.25" customHeight="1">
      <c r="A1810" s="55">
        <v>47465.0</v>
      </c>
      <c r="B1810" s="55" t="str">
        <f t="shared" si="10"/>
        <v>Primer dia</v>
      </c>
      <c r="C1810" s="202">
        <f t="shared" si="1"/>
        <v>13</v>
      </c>
      <c r="D1810" s="202" t="str">
        <f t="shared" si="2"/>
        <v> </v>
      </c>
      <c r="E1810" s="202" t="str">
        <f t="shared" si="9"/>
        <v> </v>
      </c>
      <c r="F1810" s="55" t="str">
        <f t="shared" si="4"/>
        <v/>
      </c>
      <c r="G1810" s="202" t="str">
        <f t="shared" si="5"/>
        <v/>
      </c>
      <c r="H1810" s="202" t="str">
        <f t="shared" si="11"/>
        <v> </v>
      </c>
      <c r="I1810" s="205" t="str">
        <f t="shared" si="7"/>
        <v/>
      </c>
      <c r="J1810" s="205"/>
      <c r="K1810" s="205"/>
    </row>
    <row r="1811" ht="14.25" customHeight="1">
      <c r="A1811" s="55">
        <v>47466.0</v>
      </c>
      <c r="B1811" s="55" t="str">
        <f t="shared" si="10"/>
        <v>Primer dia</v>
      </c>
      <c r="C1811" s="202">
        <f t="shared" si="1"/>
        <v>14</v>
      </c>
      <c r="D1811" s="202" t="str">
        <f t="shared" si="2"/>
        <v> </v>
      </c>
      <c r="E1811" s="202" t="str">
        <f t="shared" si="9"/>
        <v> </v>
      </c>
      <c r="F1811" s="55" t="str">
        <f t="shared" si="4"/>
        <v/>
      </c>
      <c r="G1811" s="202" t="str">
        <f t="shared" si="5"/>
        <v/>
      </c>
      <c r="H1811" s="202" t="str">
        <f t="shared" si="11"/>
        <v> </v>
      </c>
      <c r="I1811" s="205" t="str">
        <f t="shared" si="7"/>
        <v/>
      </c>
      <c r="J1811" s="205"/>
      <c r="K1811" s="205"/>
    </row>
    <row r="1812" ht="14.25" customHeight="1">
      <c r="A1812" s="55">
        <v>47467.0</v>
      </c>
      <c r="B1812" s="55" t="str">
        <f t="shared" si="10"/>
        <v>Primer dia</v>
      </c>
      <c r="C1812" s="202">
        <f t="shared" si="1"/>
        <v>15</v>
      </c>
      <c r="D1812" s="202" t="str">
        <f t="shared" si="2"/>
        <v> </v>
      </c>
      <c r="E1812" s="202" t="str">
        <f t="shared" si="9"/>
        <v> </v>
      </c>
      <c r="F1812" s="55" t="str">
        <f t="shared" si="4"/>
        <v/>
      </c>
      <c r="G1812" s="202" t="str">
        <f t="shared" si="5"/>
        <v/>
      </c>
      <c r="H1812" s="202" t="str">
        <f t="shared" si="11"/>
        <v> </v>
      </c>
      <c r="I1812" s="205" t="str">
        <f t="shared" si="7"/>
        <v/>
      </c>
      <c r="J1812" s="205"/>
      <c r="K1812" s="205"/>
    </row>
    <row r="1813" ht="14.25" customHeight="1">
      <c r="A1813" s="55">
        <v>47468.0</v>
      </c>
      <c r="B1813" s="55" t="str">
        <f t="shared" si="10"/>
        <v>Primer dia</v>
      </c>
      <c r="C1813" s="202">
        <f t="shared" si="1"/>
        <v>16</v>
      </c>
      <c r="D1813" s="202" t="str">
        <f t="shared" si="2"/>
        <v> </v>
      </c>
      <c r="E1813" s="202" t="str">
        <f t="shared" si="9"/>
        <v> </v>
      </c>
      <c r="F1813" s="55" t="str">
        <f t="shared" si="4"/>
        <v/>
      </c>
      <c r="G1813" s="202" t="str">
        <f t="shared" si="5"/>
        <v/>
      </c>
      <c r="H1813" s="202" t="str">
        <f t="shared" si="11"/>
        <v> </v>
      </c>
      <c r="I1813" s="205" t="str">
        <f t="shared" si="7"/>
        <v/>
      </c>
      <c r="J1813" s="205"/>
      <c r="K1813" s="205"/>
    </row>
    <row r="1814" ht="14.25" customHeight="1">
      <c r="A1814" s="55">
        <v>47469.0</v>
      </c>
      <c r="B1814" s="55" t="str">
        <f t="shared" si="10"/>
        <v>Primer dia</v>
      </c>
      <c r="C1814" s="202">
        <f t="shared" si="1"/>
        <v>17</v>
      </c>
      <c r="D1814" s="202" t="str">
        <f t="shared" si="2"/>
        <v> </v>
      </c>
      <c r="E1814" s="202">
        <f t="shared" si="9"/>
        <v>17</v>
      </c>
      <c r="F1814" s="55">
        <f t="shared" si="4"/>
        <v>47469</v>
      </c>
      <c r="G1814" s="202">
        <f t="shared" si="5"/>
        <v>94</v>
      </c>
      <c r="H1814" s="202" t="str">
        <f t="shared" si="11"/>
        <v> </v>
      </c>
      <c r="I1814" s="205" t="str">
        <f t="shared" si="7"/>
        <v/>
      </c>
      <c r="J1814" s="205"/>
      <c r="K1814" s="205"/>
    </row>
    <row r="1815" ht="14.25" customHeight="1">
      <c r="A1815" s="55">
        <v>47470.0</v>
      </c>
      <c r="B1815" s="55" t="str">
        <f t="shared" si="10"/>
        <v>Primer dia</v>
      </c>
      <c r="C1815" s="202">
        <f t="shared" si="1"/>
        <v>18</v>
      </c>
      <c r="D1815" s="202" t="str">
        <f t="shared" si="2"/>
        <v> </v>
      </c>
      <c r="E1815" s="202" t="str">
        <f t="shared" si="9"/>
        <v> </v>
      </c>
      <c r="F1815" s="55" t="str">
        <f t="shared" si="4"/>
        <v/>
      </c>
      <c r="G1815" s="202" t="str">
        <f t="shared" si="5"/>
        <v/>
      </c>
      <c r="H1815" s="202" t="str">
        <f t="shared" si="11"/>
        <v> </v>
      </c>
      <c r="I1815" s="205" t="str">
        <f t="shared" si="7"/>
        <v/>
      </c>
      <c r="J1815" s="205"/>
      <c r="K1815" s="205"/>
    </row>
    <row r="1816" ht="14.25" customHeight="1">
      <c r="A1816" s="55">
        <v>47471.0</v>
      </c>
      <c r="B1816" s="55" t="str">
        <f t="shared" si="10"/>
        <v>Primer dia</v>
      </c>
      <c r="C1816" s="202">
        <f t="shared" si="1"/>
        <v>19</v>
      </c>
      <c r="D1816" s="202" t="str">
        <f t="shared" si="2"/>
        <v> </v>
      </c>
      <c r="E1816" s="202" t="str">
        <f t="shared" si="9"/>
        <v> </v>
      </c>
      <c r="F1816" s="55" t="str">
        <f t="shared" si="4"/>
        <v/>
      </c>
      <c r="G1816" s="202" t="str">
        <f t="shared" si="5"/>
        <v/>
      </c>
      <c r="H1816" s="202" t="str">
        <f t="shared" si="11"/>
        <v> </v>
      </c>
      <c r="I1816" s="205" t="str">
        <f t="shared" si="7"/>
        <v/>
      </c>
      <c r="J1816" s="205"/>
      <c r="K1816" s="205"/>
    </row>
    <row r="1817" ht="14.25" customHeight="1">
      <c r="A1817" s="55">
        <v>47472.0</v>
      </c>
      <c r="B1817" s="55" t="str">
        <f t="shared" si="10"/>
        <v>Primer dia</v>
      </c>
      <c r="C1817" s="202">
        <f t="shared" si="1"/>
        <v>20</v>
      </c>
      <c r="D1817" s="202" t="str">
        <f t="shared" si="2"/>
        <v> </v>
      </c>
      <c r="E1817" s="202" t="str">
        <f t="shared" si="9"/>
        <v> </v>
      </c>
      <c r="F1817" s="55" t="str">
        <f t="shared" si="4"/>
        <v/>
      </c>
      <c r="G1817" s="202" t="str">
        <f t="shared" si="5"/>
        <v/>
      </c>
      <c r="H1817" s="202" t="str">
        <f t="shared" si="11"/>
        <v> </v>
      </c>
      <c r="I1817" s="205" t="str">
        <f t="shared" si="7"/>
        <v/>
      </c>
      <c r="J1817" s="205"/>
      <c r="K1817" s="205"/>
    </row>
    <row r="1818" ht="14.25" customHeight="1">
      <c r="A1818" s="55">
        <v>47473.0</v>
      </c>
      <c r="B1818" s="55" t="str">
        <f t="shared" si="10"/>
        <v>Primer dia</v>
      </c>
      <c r="C1818" s="202">
        <f t="shared" si="1"/>
        <v>21</v>
      </c>
      <c r="D1818" s="202" t="str">
        <f t="shared" si="2"/>
        <v> </v>
      </c>
      <c r="E1818" s="202" t="str">
        <f t="shared" si="9"/>
        <v> </v>
      </c>
      <c r="F1818" s="55" t="str">
        <f t="shared" si="4"/>
        <v/>
      </c>
      <c r="G1818" s="202" t="str">
        <f t="shared" si="5"/>
        <v/>
      </c>
      <c r="H1818" s="202" t="str">
        <f t="shared" si="11"/>
        <v> </v>
      </c>
      <c r="I1818" s="205" t="str">
        <f t="shared" si="7"/>
        <v/>
      </c>
      <c r="J1818" s="205"/>
      <c r="K1818" s="205"/>
    </row>
    <row r="1819" ht="14.25" customHeight="1">
      <c r="A1819" s="55">
        <v>47474.0</v>
      </c>
      <c r="B1819" s="55" t="str">
        <f t="shared" si="10"/>
        <v>Primer dia</v>
      </c>
      <c r="C1819" s="202">
        <f t="shared" si="1"/>
        <v>22</v>
      </c>
      <c r="D1819" s="202" t="str">
        <f t="shared" si="2"/>
        <v> </v>
      </c>
      <c r="E1819" s="202" t="str">
        <f t="shared" si="9"/>
        <v> </v>
      </c>
      <c r="F1819" s="55" t="str">
        <f t="shared" si="4"/>
        <v/>
      </c>
      <c r="G1819" s="202" t="str">
        <f t="shared" si="5"/>
        <v/>
      </c>
      <c r="H1819" s="202" t="str">
        <f t="shared" si="11"/>
        <v> </v>
      </c>
      <c r="I1819" s="205" t="str">
        <f t="shared" si="7"/>
        <v/>
      </c>
      <c r="J1819" s="205"/>
      <c r="K1819" s="205"/>
    </row>
    <row r="1820" ht="14.25" customHeight="1">
      <c r="A1820" s="55">
        <v>47475.0</v>
      </c>
      <c r="B1820" s="55" t="str">
        <f t="shared" si="10"/>
        <v>Primer dia</v>
      </c>
      <c r="C1820" s="202">
        <f t="shared" si="1"/>
        <v>23</v>
      </c>
      <c r="D1820" s="202" t="str">
        <f t="shared" si="2"/>
        <v> </v>
      </c>
      <c r="E1820" s="202" t="str">
        <f t="shared" si="9"/>
        <v> </v>
      </c>
      <c r="F1820" s="55" t="str">
        <f t="shared" si="4"/>
        <v/>
      </c>
      <c r="G1820" s="202" t="str">
        <f t="shared" si="5"/>
        <v/>
      </c>
      <c r="H1820" s="202" t="str">
        <f t="shared" si="11"/>
        <v> </v>
      </c>
      <c r="I1820" s="205" t="str">
        <f t="shared" si="7"/>
        <v/>
      </c>
      <c r="J1820" s="205"/>
      <c r="K1820" s="205"/>
    </row>
    <row r="1821" ht="14.25" customHeight="1">
      <c r="A1821" s="55">
        <v>47476.0</v>
      </c>
      <c r="B1821" s="55" t="str">
        <f t="shared" si="10"/>
        <v>Primer dia</v>
      </c>
      <c r="C1821" s="202">
        <f t="shared" si="1"/>
        <v>24</v>
      </c>
      <c r="D1821" s="202" t="str">
        <f t="shared" si="2"/>
        <v> </v>
      </c>
      <c r="E1821" s="202" t="str">
        <f t="shared" si="9"/>
        <v> </v>
      </c>
      <c r="F1821" s="55" t="str">
        <f t="shared" si="4"/>
        <v/>
      </c>
      <c r="G1821" s="202" t="str">
        <f t="shared" si="5"/>
        <v/>
      </c>
      <c r="H1821" s="202" t="str">
        <f t="shared" si="11"/>
        <v> </v>
      </c>
      <c r="I1821" s="205" t="str">
        <f t="shared" si="7"/>
        <v/>
      </c>
      <c r="J1821" s="205"/>
      <c r="K1821" s="205"/>
    </row>
    <row r="1822" ht="14.25" customHeight="1">
      <c r="A1822" s="55">
        <v>47477.0</v>
      </c>
      <c r="B1822" s="55" t="str">
        <f t="shared" si="10"/>
        <v>Primer dia</v>
      </c>
      <c r="C1822" s="202">
        <f t="shared" si="1"/>
        <v>25</v>
      </c>
      <c r="D1822" s="202" t="str">
        <f t="shared" si="2"/>
        <v> </v>
      </c>
      <c r="E1822" s="202" t="str">
        <f t="shared" si="9"/>
        <v> </v>
      </c>
      <c r="F1822" s="55" t="str">
        <f t="shared" si="4"/>
        <v/>
      </c>
      <c r="G1822" s="202" t="str">
        <f t="shared" si="5"/>
        <v/>
      </c>
      <c r="H1822" s="202" t="str">
        <f t="shared" si="11"/>
        <v> </v>
      </c>
      <c r="I1822" s="205" t="str">
        <f t="shared" si="7"/>
        <v/>
      </c>
      <c r="J1822" s="205"/>
      <c r="K1822" s="205"/>
    </row>
    <row r="1823" ht="14.25" customHeight="1">
      <c r="A1823" s="55">
        <v>47478.0</v>
      </c>
      <c r="B1823" s="55" t="str">
        <f t="shared" si="10"/>
        <v>Primer dia</v>
      </c>
      <c r="C1823" s="202">
        <f t="shared" si="1"/>
        <v>26</v>
      </c>
      <c r="D1823" s="202" t="str">
        <f t="shared" si="2"/>
        <v> </v>
      </c>
      <c r="E1823" s="202" t="str">
        <f t="shared" si="9"/>
        <v> </v>
      </c>
      <c r="F1823" s="55" t="str">
        <f t="shared" si="4"/>
        <v/>
      </c>
      <c r="G1823" s="202" t="str">
        <f t="shared" si="5"/>
        <v/>
      </c>
      <c r="H1823" s="202" t="str">
        <f t="shared" si="11"/>
        <v> </v>
      </c>
      <c r="I1823" s="205" t="str">
        <f t="shared" si="7"/>
        <v/>
      </c>
      <c r="J1823" s="205"/>
      <c r="K1823" s="205"/>
    </row>
    <row r="1824" ht="14.25" customHeight="1">
      <c r="A1824" s="55">
        <v>47479.0</v>
      </c>
      <c r="B1824" s="55" t="str">
        <f t="shared" si="10"/>
        <v>Primer dia</v>
      </c>
      <c r="C1824" s="202">
        <f t="shared" si="1"/>
        <v>27</v>
      </c>
      <c r="D1824" s="202" t="str">
        <f t="shared" si="2"/>
        <v> </v>
      </c>
      <c r="E1824" s="202" t="str">
        <f t="shared" si="9"/>
        <v> </v>
      </c>
      <c r="F1824" s="55" t="str">
        <f t="shared" si="4"/>
        <v/>
      </c>
      <c r="G1824" s="202" t="str">
        <f t="shared" si="5"/>
        <v/>
      </c>
      <c r="H1824" s="202" t="str">
        <f t="shared" si="11"/>
        <v> </v>
      </c>
      <c r="I1824" s="205" t="str">
        <f t="shared" si="7"/>
        <v/>
      </c>
      <c r="J1824" s="205"/>
      <c r="K1824" s="205"/>
    </row>
    <row r="1825" ht="14.25" customHeight="1">
      <c r="A1825" s="55">
        <v>47480.0</v>
      </c>
      <c r="B1825" s="55" t="str">
        <f t="shared" si="10"/>
        <v>Primer dia</v>
      </c>
      <c r="C1825" s="202">
        <f t="shared" si="1"/>
        <v>28</v>
      </c>
      <c r="D1825" s="202" t="str">
        <f t="shared" si="2"/>
        <v> </v>
      </c>
      <c r="E1825" s="202" t="str">
        <f t="shared" si="9"/>
        <v> </v>
      </c>
      <c r="F1825" s="55" t="str">
        <f t="shared" si="4"/>
        <v/>
      </c>
      <c r="G1825" s="202" t="str">
        <f t="shared" si="5"/>
        <v/>
      </c>
      <c r="H1825" s="202" t="str">
        <f t="shared" si="11"/>
        <v> </v>
      </c>
      <c r="I1825" s="205" t="str">
        <f t="shared" si="7"/>
        <v/>
      </c>
      <c r="J1825" s="205"/>
      <c r="K1825" s="205"/>
    </row>
    <row r="1826" ht="14.25" customHeight="1">
      <c r="A1826" s="55">
        <v>47481.0</v>
      </c>
      <c r="B1826" s="55" t="str">
        <f t="shared" si="10"/>
        <v>Primer dia</v>
      </c>
      <c r="C1826" s="202">
        <f t="shared" si="1"/>
        <v>29</v>
      </c>
      <c r="D1826" s="202" t="str">
        <f t="shared" si="2"/>
        <v> </v>
      </c>
      <c r="E1826" s="202" t="str">
        <f t="shared" si="9"/>
        <v> </v>
      </c>
      <c r="F1826" s="55" t="str">
        <f t="shared" si="4"/>
        <v/>
      </c>
      <c r="G1826" s="202" t="str">
        <f t="shared" si="5"/>
        <v/>
      </c>
      <c r="H1826" s="202" t="str">
        <f t="shared" si="11"/>
        <v> </v>
      </c>
      <c r="I1826" s="205" t="str">
        <f t="shared" si="7"/>
        <v/>
      </c>
      <c r="J1826" s="205"/>
      <c r="K1826" s="205"/>
    </row>
    <row r="1827" ht="14.25" customHeight="1">
      <c r="A1827" s="55">
        <v>47482.0</v>
      </c>
      <c r="B1827" s="55" t="str">
        <f t="shared" si="10"/>
        <v>Primer dia</v>
      </c>
      <c r="C1827" s="202">
        <f t="shared" si="1"/>
        <v>30</v>
      </c>
      <c r="D1827" s="202" t="str">
        <f t="shared" si="2"/>
        <v> </v>
      </c>
      <c r="E1827" s="202" t="str">
        <f t="shared" si="9"/>
        <v> </v>
      </c>
      <c r="F1827" s="55" t="str">
        <f t="shared" si="4"/>
        <v/>
      </c>
      <c r="G1827" s="202" t="str">
        <f t="shared" si="5"/>
        <v/>
      </c>
      <c r="H1827" s="202" t="str">
        <f t="shared" si="11"/>
        <v> </v>
      </c>
      <c r="I1827" s="205" t="str">
        <f t="shared" si="7"/>
        <v/>
      </c>
      <c r="J1827" s="205"/>
      <c r="K1827" s="205"/>
    </row>
    <row r="1828" ht="14.25" customHeight="1">
      <c r="A1828" s="55">
        <v>47483.0</v>
      </c>
      <c r="B1828" s="55" t="str">
        <f t="shared" si="10"/>
        <v>Primer dia</v>
      </c>
      <c r="C1828" s="202">
        <f t="shared" si="1"/>
        <v>31</v>
      </c>
      <c r="D1828" s="202" t="str">
        <f t="shared" si="2"/>
        <v> </v>
      </c>
      <c r="E1828" s="202" t="str">
        <f t="shared" si="9"/>
        <v> </v>
      </c>
      <c r="F1828" s="55" t="str">
        <f t="shared" si="4"/>
        <v/>
      </c>
      <c r="G1828" s="202" t="str">
        <f t="shared" si="5"/>
        <v/>
      </c>
      <c r="H1828" s="202" t="str">
        <f t="shared" si="11"/>
        <v> </v>
      </c>
      <c r="I1828" s="205" t="str">
        <f t="shared" si="7"/>
        <v/>
      </c>
      <c r="J1828" s="205"/>
      <c r="K1828" s="205"/>
    </row>
    <row r="1829" ht="14.25" customHeight="1">
      <c r="A1829" s="55">
        <v>47484.0</v>
      </c>
      <c r="B1829" s="55" t="str">
        <f t="shared" si="10"/>
        <v>Primer dia</v>
      </c>
      <c r="C1829" s="202">
        <f t="shared" si="1"/>
        <v>1</v>
      </c>
      <c r="D1829" s="202" t="str">
        <f t="shared" si="2"/>
        <v> </v>
      </c>
      <c r="E1829" s="202" t="str">
        <f t="shared" si="9"/>
        <v> </v>
      </c>
      <c r="F1829" s="55" t="str">
        <f t="shared" si="4"/>
        <v/>
      </c>
      <c r="G1829" s="202" t="str">
        <f t="shared" si="5"/>
        <v/>
      </c>
      <c r="H1829" s="202" t="str">
        <f t="shared" si="11"/>
        <v> </v>
      </c>
      <c r="I1829" s="205" t="str">
        <f t="shared" si="7"/>
        <v/>
      </c>
      <c r="J1829" s="205"/>
      <c r="K1829" s="205"/>
    </row>
    <row r="1830" ht="14.25" customHeight="1">
      <c r="A1830" s="55">
        <v>47485.0</v>
      </c>
      <c r="B1830" s="55" t="str">
        <f t="shared" si="10"/>
        <v>Primer dia</v>
      </c>
      <c r="C1830" s="202">
        <f t="shared" si="1"/>
        <v>2</v>
      </c>
      <c r="D1830" s="202" t="str">
        <f t="shared" si="2"/>
        <v> </v>
      </c>
      <c r="E1830" s="202">
        <f t="shared" si="9"/>
        <v>2</v>
      </c>
      <c r="F1830" s="55">
        <f t="shared" si="4"/>
        <v>47485</v>
      </c>
      <c r="G1830" s="202">
        <f t="shared" si="5"/>
        <v>95</v>
      </c>
      <c r="H1830" s="202" t="str">
        <f t="shared" si="11"/>
        <v> </v>
      </c>
      <c r="I1830" s="205" t="str">
        <f t="shared" si="7"/>
        <v/>
      </c>
      <c r="J1830" s="205"/>
      <c r="K1830" s="205"/>
    </row>
    <row r="1831" ht="14.25" customHeight="1">
      <c r="A1831" s="55">
        <v>47486.0</v>
      </c>
      <c r="B1831" s="55" t="str">
        <f t="shared" si="10"/>
        <v>Primer dia</v>
      </c>
      <c r="C1831" s="202">
        <f t="shared" si="1"/>
        <v>3</v>
      </c>
      <c r="D1831" s="202" t="str">
        <f t="shared" si="2"/>
        <v> </v>
      </c>
      <c r="E1831" s="202" t="str">
        <f t="shared" si="9"/>
        <v> </v>
      </c>
      <c r="F1831" s="55" t="str">
        <f t="shared" si="4"/>
        <v/>
      </c>
      <c r="G1831" s="202" t="str">
        <f t="shared" si="5"/>
        <v/>
      </c>
      <c r="H1831" s="202" t="str">
        <f t="shared" si="11"/>
        <v> </v>
      </c>
      <c r="I1831" s="205" t="str">
        <f t="shared" si="7"/>
        <v/>
      </c>
      <c r="J1831" s="205"/>
      <c r="K1831" s="205"/>
    </row>
    <row r="1832" ht="14.25" customHeight="1">
      <c r="A1832" s="55">
        <v>47487.0</v>
      </c>
      <c r="B1832" s="55" t="str">
        <f t="shared" si="10"/>
        <v>Primer dia</v>
      </c>
      <c r="C1832" s="202">
        <f t="shared" si="1"/>
        <v>4</v>
      </c>
      <c r="D1832" s="202" t="str">
        <f t="shared" si="2"/>
        <v> </v>
      </c>
      <c r="E1832" s="202" t="str">
        <f t="shared" si="9"/>
        <v> </v>
      </c>
      <c r="F1832" s="55" t="str">
        <f t="shared" si="4"/>
        <v/>
      </c>
      <c r="G1832" s="202" t="str">
        <f t="shared" si="5"/>
        <v/>
      </c>
      <c r="H1832" s="202" t="str">
        <f t="shared" si="11"/>
        <v> </v>
      </c>
      <c r="I1832" s="205" t="str">
        <f t="shared" si="7"/>
        <v/>
      </c>
      <c r="J1832" s="205"/>
      <c r="K1832" s="205"/>
    </row>
    <row r="1833" ht="14.25" customHeight="1">
      <c r="A1833" s="55">
        <v>47488.0</v>
      </c>
      <c r="B1833" s="55" t="str">
        <f t="shared" si="10"/>
        <v>Primer dia</v>
      </c>
      <c r="C1833" s="202">
        <f t="shared" si="1"/>
        <v>5</v>
      </c>
      <c r="D1833" s="202" t="str">
        <f t="shared" si="2"/>
        <v> </v>
      </c>
      <c r="E1833" s="202" t="str">
        <f t="shared" si="9"/>
        <v> </v>
      </c>
      <c r="F1833" s="55" t="str">
        <f t="shared" si="4"/>
        <v/>
      </c>
      <c r="G1833" s="202" t="str">
        <f t="shared" si="5"/>
        <v/>
      </c>
      <c r="H1833" s="202" t="str">
        <f t="shared" si="11"/>
        <v> </v>
      </c>
      <c r="I1833" s="205" t="str">
        <f t="shared" si="7"/>
        <v/>
      </c>
      <c r="J1833" s="205"/>
      <c r="K1833" s="205"/>
    </row>
    <row r="1834" ht="14.25" customHeight="1">
      <c r="A1834" s="55">
        <v>47489.0</v>
      </c>
      <c r="B1834" s="55" t="str">
        <f t="shared" si="10"/>
        <v>Primer dia</v>
      </c>
      <c r="C1834" s="202">
        <f t="shared" si="1"/>
        <v>6</v>
      </c>
      <c r="D1834" s="202" t="str">
        <f t="shared" si="2"/>
        <v> </v>
      </c>
      <c r="E1834" s="202" t="str">
        <f t="shared" si="9"/>
        <v> </v>
      </c>
      <c r="F1834" s="55" t="str">
        <f t="shared" si="4"/>
        <v/>
      </c>
      <c r="G1834" s="202" t="str">
        <f t="shared" si="5"/>
        <v/>
      </c>
      <c r="H1834" s="202" t="str">
        <f t="shared" si="11"/>
        <v> </v>
      </c>
      <c r="I1834" s="205" t="str">
        <f t="shared" si="7"/>
        <v/>
      </c>
      <c r="J1834" s="205"/>
      <c r="K1834" s="205"/>
    </row>
    <row r="1835" ht="14.25" customHeight="1">
      <c r="A1835" s="55">
        <v>47490.0</v>
      </c>
      <c r="B1835" s="55" t="str">
        <f t="shared" si="10"/>
        <v>Primer dia</v>
      </c>
      <c r="C1835" s="202">
        <f t="shared" si="1"/>
        <v>7</v>
      </c>
      <c r="D1835" s="202" t="str">
        <f t="shared" si="2"/>
        <v> </v>
      </c>
      <c r="E1835" s="202" t="str">
        <f t="shared" si="9"/>
        <v> </v>
      </c>
      <c r="F1835" s="55" t="str">
        <f t="shared" si="4"/>
        <v/>
      </c>
      <c r="G1835" s="202" t="str">
        <f t="shared" si="5"/>
        <v/>
      </c>
      <c r="H1835" s="202" t="str">
        <f t="shared" si="11"/>
        <v> </v>
      </c>
      <c r="I1835" s="205" t="str">
        <f t="shared" si="7"/>
        <v/>
      </c>
      <c r="J1835" s="205"/>
      <c r="K1835" s="205"/>
    </row>
    <row r="1836" ht="14.25" customHeight="1">
      <c r="A1836" s="55">
        <v>47491.0</v>
      </c>
      <c r="B1836" s="55" t="str">
        <f t="shared" si="10"/>
        <v>Primer dia</v>
      </c>
      <c r="C1836" s="202">
        <f t="shared" si="1"/>
        <v>8</v>
      </c>
      <c r="D1836" s="202" t="str">
        <f t="shared" si="2"/>
        <v> </v>
      </c>
      <c r="E1836" s="202" t="str">
        <f t="shared" si="9"/>
        <v> </v>
      </c>
      <c r="F1836" s="55" t="str">
        <f t="shared" si="4"/>
        <v/>
      </c>
      <c r="G1836" s="202" t="str">
        <f t="shared" si="5"/>
        <v/>
      </c>
      <c r="H1836" s="202" t="str">
        <f t="shared" si="11"/>
        <v> </v>
      </c>
      <c r="I1836" s="205" t="str">
        <f t="shared" si="7"/>
        <v/>
      </c>
      <c r="J1836" s="205"/>
      <c r="K1836" s="205"/>
    </row>
    <row r="1837" ht="14.25" customHeight="1">
      <c r="A1837" s="55">
        <v>47492.0</v>
      </c>
      <c r="B1837" s="55" t="str">
        <f t="shared" si="10"/>
        <v>Primer dia</v>
      </c>
      <c r="C1837" s="202">
        <f t="shared" si="1"/>
        <v>9</v>
      </c>
      <c r="D1837" s="202" t="str">
        <f t="shared" si="2"/>
        <v> </v>
      </c>
      <c r="E1837" s="202" t="str">
        <f t="shared" si="9"/>
        <v> </v>
      </c>
      <c r="F1837" s="55" t="str">
        <f t="shared" si="4"/>
        <v/>
      </c>
      <c r="G1837" s="202" t="str">
        <f t="shared" si="5"/>
        <v/>
      </c>
      <c r="H1837" s="202" t="str">
        <f t="shared" si="11"/>
        <v> </v>
      </c>
      <c r="I1837" s="205" t="str">
        <f t="shared" si="7"/>
        <v/>
      </c>
      <c r="J1837" s="205"/>
      <c r="K1837" s="205"/>
    </row>
    <row r="1838" ht="14.25" customHeight="1">
      <c r="A1838" s="55">
        <v>47493.0</v>
      </c>
      <c r="B1838" s="55" t="str">
        <f t="shared" si="10"/>
        <v>Primer dia</v>
      </c>
      <c r="C1838" s="202">
        <f t="shared" si="1"/>
        <v>10</v>
      </c>
      <c r="D1838" s="202" t="str">
        <f t="shared" si="2"/>
        <v> </v>
      </c>
      <c r="E1838" s="202" t="str">
        <f t="shared" si="9"/>
        <v> </v>
      </c>
      <c r="F1838" s="55" t="str">
        <f t="shared" si="4"/>
        <v/>
      </c>
      <c r="G1838" s="202" t="str">
        <f t="shared" si="5"/>
        <v/>
      </c>
      <c r="H1838" s="202" t="str">
        <f t="shared" si="11"/>
        <v> </v>
      </c>
      <c r="I1838" s="205" t="str">
        <f t="shared" si="7"/>
        <v/>
      </c>
      <c r="J1838" s="205"/>
      <c r="K1838" s="205"/>
    </row>
    <row r="1839" ht="14.25" customHeight="1">
      <c r="A1839" s="55">
        <v>47494.0</v>
      </c>
      <c r="B1839" s="55" t="str">
        <f t="shared" si="10"/>
        <v>Primer dia</v>
      </c>
      <c r="C1839" s="202">
        <f t="shared" si="1"/>
        <v>11</v>
      </c>
      <c r="D1839" s="202" t="str">
        <f t="shared" si="2"/>
        <v> </v>
      </c>
      <c r="E1839" s="202" t="str">
        <f t="shared" si="9"/>
        <v> </v>
      </c>
      <c r="F1839" s="55" t="str">
        <f t="shared" si="4"/>
        <v/>
      </c>
      <c r="G1839" s="202" t="str">
        <f t="shared" si="5"/>
        <v/>
      </c>
      <c r="H1839" s="202" t="str">
        <f t="shared" si="11"/>
        <v> </v>
      </c>
      <c r="I1839" s="205" t="str">
        <f t="shared" si="7"/>
        <v/>
      </c>
      <c r="J1839" s="205"/>
      <c r="K1839" s="205"/>
    </row>
    <row r="1840" ht="14.25" customHeight="1">
      <c r="A1840" s="55">
        <v>47495.0</v>
      </c>
      <c r="B1840" s="55" t="str">
        <f t="shared" si="10"/>
        <v>Primer dia</v>
      </c>
      <c r="C1840" s="202">
        <f t="shared" si="1"/>
        <v>12</v>
      </c>
      <c r="D1840" s="202" t="str">
        <f t="shared" si="2"/>
        <v> </v>
      </c>
      <c r="E1840" s="202" t="str">
        <f t="shared" si="9"/>
        <v> </v>
      </c>
      <c r="F1840" s="55" t="str">
        <f t="shared" si="4"/>
        <v/>
      </c>
      <c r="G1840" s="202" t="str">
        <f t="shared" si="5"/>
        <v/>
      </c>
      <c r="H1840" s="202" t="str">
        <f t="shared" si="11"/>
        <v> </v>
      </c>
      <c r="I1840" s="205" t="str">
        <f t="shared" si="7"/>
        <v/>
      </c>
      <c r="J1840" s="205"/>
      <c r="K1840" s="205"/>
    </row>
    <row r="1841" ht="14.25" customHeight="1">
      <c r="A1841" s="55">
        <v>47496.0</v>
      </c>
      <c r="B1841" s="55" t="str">
        <f t="shared" si="10"/>
        <v>Primer dia</v>
      </c>
      <c r="C1841" s="202">
        <f t="shared" si="1"/>
        <v>13</v>
      </c>
      <c r="D1841" s="202" t="str">
        <f t="shared" si="2"/>
        <v> </v>
      </c>
      <c r="E1841" s="202" t="str">
        <f t="shared" si="9"/>
        <v> </v>
      </c>
      <c r="F1841" s="55" t="str">
        <f t="shared" si="4"/>
        <v/>
      </c>
      <c r="G1841" s="202" t="str">
        <f t="shared" si="5"/>
        <v/>
      </c>
      <c r="H1841" s="202" t="str">
        <f t="shared" si="11"/>
        <v> </v>
      </c>
      <c r="I1841" s="205" t="str">
        <f t="shared" si="7"/>
        <v/>
      </c>
      <c r="J1841" s="205"/>
      <c r="K1841" s="205"/>
    </row>
    <row r="1842" ht="14.25" customHeight="1">
      <c r="A1842" s="55">
        <v>47497.0</v>
      </c>
      <c r="B1842" s="55" t="str">
        <f t="shared" si="10"/>
        <v>Primer dia</v>
      </c>
      <c r="C1842" s="202">
        <f t="shared" si="1"/>
        <v>14</v>
      </c>
      <c r="D1842" s="202" t="str">
        <f t="shared" si="2"/>
        <v> </v>
      </c>
      <c r="E1842" s="202" t="str">
        <f t="shared" si="9"/>
        <v> </v>
      </c>
      <c r="F1842" s="55" t="str">
        <f t="shared" si="4"/>
        <v/>
      </c>
      <c r="G1842" s="202" t="str">
        <f t="shared" si="5"/>
        <v/>
      </c>
      <c r="H1842" s="202" t="str">
        <f t="shared" si="11"/>
        <v> </v>
      </c>
      <c r="I1842" s="205" t="str">
        <f t="shared" si="7"/>
        <v/>
      </c>
      <c r="J1842" s="205"/>
      <c r="K1842" s="205"/>
    </row>
    <row r="1843" ht="14.25" customHeight="1">
      <c r="A1843" s="55">
        <v>47498.0</v>
      </c>
      <c r="B1843" s="55" t="str">
        <f t="shared" si="10"/>
        <v>Primer dia</v>
      </c>
      <c r="C1843" s="202">
        <f t="shared" si="1"/>
        <v>15</v>
      </c>
      <c r="D1843" s="202" t="str">
        <f t="shared" si="2"/>
        <v> </v>
      </c>
      <c r="E1843" s="202" t="str">
        <f t="shared" si="9"/>
        <v> </v>
      </c>
      <c r="F1843" s="55" t="str">
        <f t="shared" si="4"/>
        <v/>
      </c>
      <c r="G1843" s="202" t="str">
        <f t="shared" si="5"/>
        <v/>
      </c>
      <c r="H1843" s="202" t="str">
        <f t="shared" si="11"/>
        <v> </v>
      </c>
      <c r="I1843" s="205" t="str">
        <f t="shared" si="7"/>
        <v/>
      </c>
      <c r="J1843" s="205"/>
      <c r="K1843" s="205"/>
    </row>
    <row r="1844" ht="14.25" customHeight="1">
      <c r="A1844" s="55">
        <v>47499.0</v>
      </c>
      <c r="B1844" s="55" t="str">
        <f t="shared" si="10"/>
        <v>Primer dia</v>
      </c>
      <c r="C1844" s="202">
        <f t="shared" si="1"/>
        <v>16</v>
      </c>
      <c r="D1844" s="202" t="str">
        <f t="shared" si="2"/>
        <v> </v>
      </c>
      <c r="E1844" s="202" t="str">
        <f t="shared" si="9"/>
        <v> </v>
      </c>
      <c r="F1844" s="55" t="str">
        <f t="shared" si="4"/>
        <v/>
      </c>
      <c r="G1844" s="202" t="str">
        <f t="shared" si="5"/>
        <v/>
      </c>
      <c r="H1844" s="202" t="str">
        <f t="shared" si="11"/>
        <v> </v>
      </c>
      <c r="I1844" s="205" t="str">
        <f t="shared" si="7"/>
        <v/>
      </c>
      <c r="J1844" s="205"/>
      <c r="K1844" s="205"/>
    </row>
    <row r="1845" ht="14.25" customHeight="1">
      <c r="A1845" s="55">
        <v>47500.0</v>
      </c>
      <c r="B1845" s="55" t="str">
        <f t="shared" si="10"/>
        <v>Primer dia</v>
      </c>
      <c r="C1845" s="202">
        <f t="shared" si="1"/>
        <v>17</v>
      </c>
      <c r="D1845" s="202" t="str">
        <f t="shared" si="2"/>
        <v> </v>
      </c>
      <c r="E1845" s="202">
        <f t="shared" si="9"/>
        <v>17</v>
      </c>
      <c r="F1845" s="55">
        <f t="shared" si="4"/>
        <v>47500</v>
      </c>
      <c r="G1845" s="202">
        <f t="shared" si="5"/>
        <v>96</v>
      </c>
      <c r="H1845" s="202" t="str">
        <f t="shared" si="11"/>
        <v> </v>
      </c>
      <c r="I1845" s="205" t="str">
        <f t="shared" si="7"/>
        <v/>
      </c>
      <c r="J1845" s="205"/>
      <c r="K1845" s="205"/>
    </row>
    <row r="1846" ht="14.25" customHeight="1">
      <c r="A1846" s="55">
        <v>47501.0</v>
      </c>
      <c r="B1846" s="55" t="str">
        <f t="shared" si="10"/>
        <v>Primer dia</v>
      </c>
      <c r="C1846" s="202">
        <f t="shared" si="1"/>
        <v>18</v>
      </c>
      <c r="D1846" s="202" t="str">
        <f t="shared" si="2"/>
        <v> </v>
      </c>
      <c r="E1846" s="202" t="str">
        <f t="shared" si="9"/>
        <v> </v>
      </c>
      <c r="F1846" s="55" t="str">
        <f t="shared" si="4"/>
        <v/>
      </c>
      <c r="G1846" s="202" t="str">
        <f t="shared" si="5"/>
        <v/>
      </c>
      <c r="H1846" s="202" t="str">
        <f t="shared" si="11"/>
        <v> </v>
      </c>
      <c r="I1846" s="205" t="str">
        <f t="shared" si="7"/>
        <v/>
      </c>
      <c r="J1846" s="205"/>
      <c r="K1846" s="205"/>
    </row>
    <row r="1847" ht="14.25" customHeight="1">
      <c r="A1847" s="55">
        <v>47502.0</v>
      </c>
      <c r="B1847" s="55" t="str">
        <f t="shared" si="10"/>
        <v>Primer dia</v>
      </c>
      <c r="C1847" s="202">
        <f t="shared" si="1"/>
        <v>19</v>
      </c>
      <c r="D1847" s="202" t="str">
        <f t="shared" si="2"/>
        <v> </v>
      </c>
      <c r="E1847" s="202" t="str">
        <f t="shared" si="9"/>
        <v> </v>
      </c>
      <c r="F1847" s="55" t="str">
        <f t="shared" si="4"/>
        <v/>
      </c>
      <c r="G1847" s="202" t="str">
        <f t="shared" si="5"/>
        <v/>
      </c>
      <c r="H1847" s="202" t="str">
        <f t="shared" si="11"/>
        <v> </v>
      </c>
      <c r="I1847" s="205" t="str">
        <f t="shared" si="7"/>
        <v/>
      </c>
      <c r="J1847" s="205"/>
      <c r="K1847" s="205"/>
    </row>
    <row r="1848" ht="14.25" customHeight="1">
      <c r="A1848" s="55">
        <v>47503.0</v>
      </c>
      <c r="B1848" s="55" t="str">
        <f t="shared" si="10"/>
        <v>Primer dia</v>
      </c>
      <c r="C1848" s="202">
        <f t="shared" si="1"/>
        <v>20</v>
      </c>
      <c r="D1848" s="202" t="str">
        <f t="shared" si="2"/>
        <v> </v>
      </c>
      <c r="E1848" s="202" t="str">
        <f t="shared" si="9"/>
        <v> </v>
      </c>
      <c r="F1848" s="55" t="str">
        <f t="shared" si="4"/>
        <v/>
      </c>
      <c r="G1848" s="202" t="str">
        <f t="shared" si="5"/>
        <v/>
      </c>
      <c r="H1848" s="202" t="str">
        <f t="shared" si="11"/>
        <v> </v>
      </c>
      <c r="I1848" s="205" t="str">
        <f t="shared" si="7"/>
        <v/>
      </c>
      <c r="J1848" s="205"/>
      <c r="K1848" s="205"/>
    </row>
    <row r="1849" ht="14.25" customHeight="1">
      <c r="A1849" s="55">
        <v>47504.0</v>
      </c>
      <c r="B1849" s="55" t="str">
        <f t="shared" si="10"/>
        <v>Primer dia</v>
      </c>
      <c r="C1849" s="202">
        <f t="shared" si="1"/>
        <v>21</v>
      </c>
      <c r="D1849" s="202" t="str">
        <f t="shared" si="2"/>
        <v> </v>
      </c>
      <c r="E1849" s="202" t="str">
        <f t="shared" si="9"/>
        <v> </v>
      </c>
      <c r="F1849" s="55" t="str">
        <f t="shared" si="4"/>
        <v/>
      </c>
      <c r="G1849" s="202" t="str">
        <f t="shared" si="5"/>
        <v/>
      </c>
      <c r="H1849" s="202" t="str">
        <f t="shared" si="11"/>
        <v> </v>
      </c>
      <c r="I1849" s="205" t="str">
        <f t="shared" si="7"/>
        <v/>
      </c>
      <c r="J1849" s="205"/>
      <c r="K1849" s="205"/>
    </row>
    <row r="1850" ht="14.25" customHeight="1">
      <c r="A1850" s="55">
        <v>47505.0</v>
      </c>
      <c r="B1850" s="55" t="str">
        <f t="shared" si="10"/>
        <v>Primer dia</v>
      </c>
      <c r="C1850" s="202">
        <f t="shared" si="1"/>
        <v>22</v>
      </c>
      <c r="D1850" s="202" t="str">
        <f t="shared" si="2"/>
        <v> </v>
      </c>
      <c r="E1850" s="202" t="str">
        <f t="shared" si="9"/>
        <v> </v>
      </c>
      <c r="F1850" s="55" t="str">
        <f t="shared" si="4"/>
        <v/>
      </c>
      <c r="G1850" s="202" t="str">
        <f t="shared" si="5"/>
        <v/>
      </c>
      <c r="H1850" s="202" t="str">
        <f t="shared" si="11"/>
        <v> </v>
      </c>
      <c r="I1850" s="205" t="str">
        <f t="shared" si="7"/>
        <v/>
      </c>
      <c r="J1850" s="205"/>
      <c r="K1850" s="205"/>
    </row>
    <row r="1851" ht="14.25" customHeight="1">
      <c r="A1851" s="55">
        <v>47506.0</v>
      </c>
      <c r="B1851" s="55" t="str">
        <f t="shared" si="10"/>
        <v>Primer dia</v>
      </c>
      <c r="C1851" s="202">
        <f t="shared" si="1"/>
        <v>23</v>
      </c>
      <c r="D1851" s="202" t="str">
        <f t="shared" si="2"/>
        <v> </v>
      </c>
      <c r="E1851" s="202" t="str">
        <f t="shared" si="9"/>
        <v> </v>
      </c>
      <c r="F1851" s="55" t="str">
        <f t="shared" si="4"/>
        <v/>
      </c>
      <c r="G1851" s="202" t="str">
        <f t="shared" si="5"/>
        <v/>
      </c>
      <c r="H1851" s="202" t="str">
        <f t="shared" si="11"/>
        <v> </v>
      </c>
      <c r="I1851" s="205" t="str">
        <f t="shared" si="7"/>
        <v/>
      </c>
      <c r="J1851" s="205"/>
      <c r="K1851" s="205"/>
    </row>
    <row r="1852" ht="14.25" customHeight="1">
      <c r="A1852" s="55">
        <v>47507.0</v>
      </c>
      <c r="B1852" s="55" t="str">
        <f t="shared" si="10"/>
        <v>Primer dia</v>
      </c>
      <c r="C1852" s="202">
        <f t="shared" si="1"/>
        <v>24</v>
      </c>
      <c r="D1852" s="202" t="str">
        <f t="shared" si="2"/>
        <v> </v>
      </c>
      <c r="E1852" s="202" t="str">
        <f t="shared" si="9"/>
        <v> </v>
      </c>
      <c r="F1852" s="55" t="str">
        <f t="shared" si="4"/>
        <v/>
      </c>
      <c r="G1852" s="202" t="str">
        <f t="shared" si="5"/>
        <v/>
      </c>
      <c r="H1852" s="202" t="str">
        <f t="shared" si="11"/>
        <v> </v>
      </c>
      <c r="I1852" s="205" t="str">
        <f t="shared" si="7"/>
        <v/>
      </c>
      <c r="J1852" s="205"/>
      <c r="K1852" s="205"/>
    </row>
    <row r="1853" ht="14.25" customHeight="1">
      <c r="A1853" s="55">
        <v>47508.0</v>
      </c>
      <c r="B1853" s="55" t="str">
        <f t="shared" si="10"/>
        <v>Primer dia</v>
      </c>
      <c r="C1853" s="202">
        <f t="shared" si="1"/>
        <v>25</v>
      </c>
      <c r="D1853" s="202" t="str">
        <f t="shared" si="2"/>
        <v> </v>
      </c>
      <c r="E1853" s="202" t="str">
        <f t="shared" si="9"/>
        <v> </v>
      </c>
      <c r="F1853" s="55" t="str">
        <f t="shared" si="4"/>
        <v/>
      </c>
      <c r="G1853" s="202" t="str">
        <f t="shared" si="5"/>
        <v/>
      </c>
      <c r="H1853" s="202" t="str">
        <f t="shared" si="11"/>
        <v> </v>
      </c>
      <c r="I1853" s="205" t="str">
        <f t="shared" si="7"/>
        <v/>
      </c>
      <c r="J1853" s="205"/>
      <c r="K1853" s="205"/>
    </row>
    <row r="1854" ht="14.25" customHeight="1">
      <c r="A1854" s="55">
        <v>47509.0</v>
      </c>
      <c r="B1854" s="55" t="str">
        <f t="shared" si="10"/>
        <v>Primer dia</v>
      </c>
      <c r="C1854" s="202">
        <f t="shared" si="1"/>
        <v>26</v>
      </c>
      <c r="D1854" s="202" t="str">
        <f t="shared" si="2"/>
        <v> </v>
      </c>
      <c r="E1854" s="202" t="str">
        <f t="shared" si="9"/>
        <v> </v>
      </c>
      <c r="F1854" s="55" t="str">
        <f t="shared" si="4"/>
        <v/>
      </c>
      <c r="G1854" s="202" t="str">
        <f t="shared" si="5"/>
        <v/>
      </c>
      <c r="H1854" s="202" t="str">
        <f t="shared" si="11"/>
        <v> </v>
      </c>
      <c r="I1854" s="205" t="str">
        <f t="shared" si="7"/>
        <v/>
      </c>
      <c r="J1854" s="205"/>
      <c r="K1854" s="205"/>
    </row>
    <row r="1855" ht="14.25" customHeight="1">
      <c r="A1855" s="55">
        <v>47510.0</v>
      </c>
      <c r="B1855" s="55" t="str">
        <f t="shared" si="10"/>
        <v>Primer dia</v>
      </c>
      <c r="C1855" s="202">
        <f t="shared" si="1"/>
        <v>27</v>
      </c>
      <c r="D1855" s="202" t="str">
        <f t="shared" si="2"/>
        <v> </v>
      </c>
      <c r="E1855" s="202" t="str">
        <f t="shared" si="9"/>
        <v> </v>
      </c>
      <c r="F1855" s="55" t="str">
        <f t="shared" si="4"/>
        <v/>
      </c>
      <c r="G1855" s="202" t="str">
        <f t="shared" si="5"/>
        <v/>
      </c>
      <c r="H1855" s="202" t="str">
        <f t="shared" si="11"/>
        <v> </v>
      </c>
      <c r="I1855" s="205" t="str">
        <f t="shared" si="7"/>
        <v/>
      </c>
      <c r="J1855" s="205"/>
      <c r="K1855" s="205"/>
    </row>
    <row r="1856" ht="14.25" customHeight="1">
      <c r="A1856" s="55">
        <v>47511.0</v>
      </c>
      <c r="B1856" s="55" t="str">
        <f t="shared" si="10"/>
        <v>Primer dia</v>
      </c>
      <c r="C1856" s="202">
        <f t="shared" si="1"/>
        <v>28</v>
      </c>
      <c r="D1856" s="202" t="str">
        <f t="shared" si="2"/>
        <v> </v>
      </c>
      <c r="E1856" s="202" t="str">
        <f t="shared" si="9"/>
        <v> </v>
      </c>
      <c r="F1856" s="55" t="str">
        <f t="shared" si="4"/>
        <v/>
      </c>
      <c r="G1856" s="202" t="str">
        <f t="shared" si="5"/>
        <v/>
      </c>
      <c r="H1856" s="202" t="str">
        <f t="shared" si="11"/>
        <v> </v>
      </c>
      <c r="I1856" s="205" t="str">
        <f t="shared" si="7"/>
        <v/>
      </c>
      <c r="J1856" s="205"/>
      <c r="K1856" s="205"/>
    </row>
    <row r="1857" ht="14.25" customHeight="1">
      <c r="A1857" s="55">
        <v>47512.0</v>
      </c>
      <c r="B1857" s="55" t="str">
        <f t="shared" si="10"/>
        <v>Primer dia</v>
      </c>
      <c r="C1857" s="202">
        <f t="shared" si="1"/>
        <v>29</v>
      </c>
      <c r="D1857" s="202" t="str">
        <f t="shared" si="2"/>
        <v> </v>
      </c>
      <c r="E1857" s="202" t="str">
        <f t="shared" si="9"/>
        <v> </v>
      </c>
      <c r="F1857" s="55" t="str">
        <f t="shared" si="4"/>
        <v/>
      </c>
      <c r="G1857" s="202" t="str">
        <f t="shared" si="5"/>
        <v/>
      </c>
      <c r="H1857" s="202" t="str">
        <f t="shared" si="11"/>
        <v> </v>
      </c>
      <c r="I1857" s="205" t="str">
        <f t="shared" si="7"/>
        <v/>
      </c>
      <c r="J1857" s="205"/>
      <c r="K1857" s="205"/>
    </row>
    <row r="1858" ht="14.25" customHeight="1">
      <c r="A1858" s="55">
        <v>47513.0</v>
      </c>
      <c r="B1858" s="55" t="str">
        <f t="shared" si="10"/>
        <v>Primer dia</v>
      </c>
      <c r="C1858" s="202">
        <f t="shared" si="1"/>
        <v>30</v>
      </c>
      <c r="D1858" s="202" t="str">
        <f t="shared" si="2"/>
        <v> </v>
      </c>
      <c r="E1858" s="202" t="str">
        <f t="shared" si="9"/>
        <v> </v>
      </c>
      <c r="F1858" s="55" t="str">
        <f t="shared" si="4"/>
        <v/>
      </c>
      <c r="G1858" s="202" t="str">
        <f t="shared" si="5"/>
        <v/>
      </c>
      <c r="H1858" s="202" t="str">
        <f t="shared" si="11"/>
        <v> </v>
      </c>
      <c r="I1858" s="205" t="str">
        <f t="shared" si="7"/>
        <v/>
      </c>
      <c r="J1858" s="205"/>
      <c r="K1858" s="205"/>
    </row>
    <row r="1859" ht="14.25" customHeight="1">
      <c r="A1859" s="55">
        <v>47514.0</v>
      </c>
      <c r="B1859" s="55" t="str">
        <f t="shared" si="10"/>
        <v>Primer dia</v>
      </c>
      <c r="C1859" s="202">
        <f t="shared" si="1"/>
        <v>31</v>
      </c>
      <c r="D1859" s="202" t="str">
        <f t="shared" si="2"/>
        <v> </v>
      </c>
      <c r="E1859" s="202" t="str">
        <f t="shared" si="9"/>
        <v> </v>
      </c>
      <c r="F1859" s="55" t="str">
        <f t="shared" si="4"/>
        <v/>
      </c>
      <c r="G1859" s="202" t="str">
        <f t="shared" si="5"/>
        <v/>
      </c>
      <c r="H1859" s="202" t="str">
        <f t="shared" si="11"/>
        <v> </v>
      </c>
      <c r="I1859" s="205" t="str">
        <f t="shared" si="7"/>
        <v/>
      </c>
      <c r="J1859" s="205"/>
      <c r="K1859" s="205"/>
    </row>
    <row r="1860" ht="14.25" customHeight="1">
      <c r="A1860" s="55">
        <v>47515.0</v>
      </c>
      <c r="B1860" s="55" t="str">
        <f t="shared" si="10"/>
        <v>Primer dia</v>
      </c>
      <c r="C1860" s="202">
        <f t="shared" si="1"/>
        <v>1</v>
      </c>
      <c r="D1860" s="202" t="str">
        <f t="shared" si="2"/>
        <v> </v>
      </c>
      <c r="E1860" s="202" t="str">
        <f t="shared" si="9"/>
        <v> </v>
      </c>
      <c r="F1860" s="55" t="str">
        <f t="shared" si="4"/>
        <v/>
      </c>
      <c r="G1860" s="202" t="str">
        <f t="shared" si="5"/>
        <v/>
      </c>
      <c r="H1860" s="202" t="str">
        <f t="shared" si="11"/>
        <v> </v>
      </c>
      <c r="I1860" s="205" t="str">
        <f t="shared" si="7"/>
        <v/>
      </c>
      <c r="J1860" s="205"/>
      <c r="K1860" s="205"/>
    </row>
    <row r="1861" ht="14.25" customHeight="1">
      <c r="A1861" s="55">
        <v>47516.0</v>
      </c>
      <c r="B1861" s="55" t="str">
        <f t="shared" si="10"/>
        <v>Primer dia</v>
      </c>
      <c r="C1861" s="202">
        <f t="shared" si="1"/>
        <v>2</v>
      </c>
      <c r="D1861" s="202" t="str">
        <f t="shared" si="2"/>
        <v> </v>
      </c>
      <c r="E1861" s="202">
        <f t="shared" si="9"/>
        <v>2</v>
      </c>
      <c r="F1861" s="55">
        <f t="shared" si="4"/>
        <v>47516</v>
      </c>
      <c r="G1861" s="202">
        <f t="shared" si="5"/>
        <v>97</v>
      </c>
      <c r="H1861" s="202" t="str">
        <f t="shared" si="11"/>
        <v> </v>
      </c>
      <c r="I1861" s="205" t="str">
        <f t="shared" si="7"/>
        <v/>
      </c>
      <c r="J1861" s="205"/>
      <c r="K1861" s="205"/>
    </row>
    <row r="1862" ht="14.25" customHeight="1">
      <c r="A1862" s="55">
        <v>47517.0</v>
      </c>
      <c r="B1862" s="55" t="str">
        <f t="shared" si="10"/>
        <v>Primer dia</v>
      </c>
      <c r="C1862" s="202">
        <f t="shared" si="1"/>
        <v>3</v>
      </c>
      <c r="D1862" s="202" t="str">
        <f t="shared" si="2"/>
        <v> </v>
      </c>
      <c r="E1862" s="202" t="str">
        <f t="shared" si="9"/>
        <v> </v>
      </c>
      <c r="F1862" s="55" t="str">
        <f t="shared" si="4"/>
        <v/>
      </c>
      <c r="G1862" s="202" t="str">
        <f t="shared" si="5"/>
        <v/>
      </c>
      <c r="H1862" s="202" t="str">
        <f t="shared" si="11"/>
        <v> </v>
      </c>
      <c r="I1862" s="205" t="str">
        <f t="shared" si="7"/>
        <v/>
      </c>
      <c r="J1862" s="205"/>
      <c r="K1862" s="205"/>
    </row>
    <row r="1863" ht="14.25" customHeight="1">
      <c r="A1863" s="55">
        <v>47518.0</v>
      </c>
      <c r="B1863" s="55" t="str">
        <f t="shared" si="10"/>
        <v>Primer dia</v>
      </c>
      <c r="C1863" s="202">
        <f t="shared" si="1"/>
        <v>4</v>
      </c>
      <c r="D1863" s="202" t="str">
        <f t="shared" si="2"/>
        <v> </v>
      </c>
      <c r="E1863" s="202" t="str">
        <f t="shared" si="9"/>
        <v> </v>
      </c>
      <c r="F1863" s="55" t="str">
        <f t="shared" si="4"/>
        <v/>
      </c>
      <c r="G1863" s="202" t="str">
        <f t="shared" si="5"/>
        <v/>
      </c>
      <c r="H1863" s="202" t="str">
        <f t="shared" si="11"/>
        <v> </v>
      </c>
      <c r="I1863" s="205" t="str">
        <f t="shared" si="7"/>
        <v/>
      </c>
      <c r="J1863" s="205"/>
      <c r="K1863" s="205"/>
    </row>
    <row r="1864" ht="14.25" customHeight="1">
      <c r="A1864" s="55">
        <v>47519.0</v>
      </c>
      <c r="B1864" s="55" t="str">
        <f t="shared" si="10"/>
        <v>Primer dia</v>
      </c>
      <c r="C1864" s="202">
        <f t="shared" si="1"/>
        <v>5</v>
      </c>
      <c r="D1864" s="202" t="str">
        <f t="shared" si="2"/>
        <v> </v>
      </c>
      <c r="E1864" s="202" t="str">
        <f t="shared" si="9"/>
        <v> </v>
      </c>
      <c r="F1864" s="55" t="str">
        <f t="shared" si="4"/>
        <v/>
      </c>
      <c r="G1864" s="202" t="str">
        <f t="shared" si="5"/>
        <v/>
      </c>
      <c r="H1864" s="202" t="str">
        <f t="shared" si="11"/>
        <v> </v>
      </c>
      <c r="I1864" s="205" t="str">
        <f t="shared" si="7"/>
        <v/>
      </c>
      <c r="J1864" s="205"/>
      <c r="K1864" s="205"/>
    </row>
    <row r="1865" ht="14.25" customHeight="1">
      <c r="A1865" s="55">
        <v>47520.0</v>
      </c>
      <c r="B1865" s="55" t="str">
        <f t="shared" si="10"/>
        <v>Primer dia</v>
      </c>
      <c r="C1865" s="202">
        <f t="shared" si="1"/>
        <v>6</v>
      </c>
      <c r="D1865" s="202" t="str">
        <f t="shared" si="2"/>
        <v> </v>
      </c>
      <c r="E1865" s="202" t="str">
        <f t="shared" si="9"/>
        <v> </v>
      </c>
      <c r="F1865" s="55" t="str">
        <f t="shared" si="4"/>
        <v/>
      </c>
      <c r="G1865" s="202" t="str">
        <f t="shared" si="5"/>
        <v/>
      </c>
      <c r="H1865" s="202" t="str">
        <f t="shared" si="11"/>
        <v> </v>
      </c>
      <c r="I1865" s="205" t="str">
        <f t="shared" si="7"/>
        <v/>
      </c>
      <c r="J1865" s="205"/>
      <c r="K1865" s="205"/>
    </row>
    <row r="1866" ht="14.25" customHeight="1">
      <c r="A1866" s="55">
        <v>47521.0</v>
      </c>
      <c r="B1866" s="55" t="str">
        <f t="shared" si="10"/>
        <v>Primer dia</v>
      </c>
      <c r="C1866" s="202">
        <f t="shared" si="1"/>
        <v>7</v>
      </c>
      <c r="D1866" s="202" t="str">
        <f t="shared" si="2"/>
        <v> </v>
      </c>
      <c r="E1866" s="202" t="str">
        <f t="shared" si="9"/>
        <v> </v>
      </c>
      <c r="F1866" s="55" t="str">
        <f t="shared" si="4"/>
        <v/>
      </c>
      <c r="G1866" s="202" t="str">
        <f t="shared" si="5"/>
        <v/>
      </c>
      <c r="H1866" s="202" t="str">
        <f t="shared" si="11"/>
        <v> </v>
      </c>
      <c r="I1866" s="205" t="str">
        <f t="shared" si="7"/>
        <v/>
      </c>
      <c r="J1866" s="205"/>
      <c r="K1866" s="205"/>
    </row>
    <row r="1867" ht="14.25" customHeight="1">
      <c r="A1867" s="55">
        <v>47522.0</v>
      </c>
      <c r="B1867" s="55" t="str">
        <f t="shared" si="10"/>
        <v>Primer dia</v>
      </c>
      <c r="C1867" s="202">
        <f t="shared" si="1"/>
        <v>8</v>
      </c>
      <c r="D1867" s="202" t="str">
        <f t="shared" si="2"/>
        <v> </v>
      </c>
      <c r="E1867" s="202" t="str">
        <f t="shared" si="9"/>
        <v> </v>
      </c>
      <c r="F1867" s="55" t="str">
        <f t="shared" si="4"/>
        <v/>
      </c>
      <c r="G1867" s="202" t="str">
        <f t="shared" si="5"/>
        <v/>
      </c>
      <c r="H1867" s="202" t="str">
        <f t="shared" si="11"/>
        <v> </v>
      </c>
      <c r="I1867" s="205" t="str">
        <f t="shared" si="7"/>
        <v/>
      </c>
      <c r="J1867" s="205"/>
      <c r="K1867" s="205"/>
    </row>
    <row r="1868" ht="14.25" customHeight="1">
      <c r="A1868" s="55">
        <v>47523.0</v>
      </c>
      <c r="B1868" s="55" t="str">
        <f t="shared" si="10"/>
        <v>Primer dia</v>
      </c>
      <c r="C1868" s="202">
        <f t="shared" si="1"/>
        <v>9</v>
      </c>
      <c r="D1868" s="202" t="str">
        <f t="shared" si="2"/>
        <v> </v>
      </c>
      <c r="E1868" s="202" t="str">
        <f t="shared" si="9"/>
        <v> </v>
      </c>
      <c r="F1868" s="55" t="str">
        <f t="shared" si="4"/>
        <v/>
      </c>
      <c r="G1868" s="202" t="str">
        <f t="shared" si="5"/>
        <v/>
      </c>
      <c r="H1868" s="202" t="str">
        <f t="shared" si="11"/>
        <v> </v>
      </c>
      <c r="I1868" s="205" t="str">
        <f t="shared" si="7"/>
        <v/>
      </c>
      <c r="J1868" s="205"/>
      <c r="K1868" s="205"/>
    </row>
    <row r="1869" ht="14.25" customHeight="1">
      <c r="A1869" s="55">
        <v>47524.0</v>
      </c>
      <c r="B1869" s="55" t="str">
        <f t="shared" si="10"/>
        <v>Primer dia</v>
      </c>
      <c r="C1869" s="202">
        <f t="shared" si="1"/>
        <v>10</v>
      </c>
      <c r="D1869" s="202" t="str">
        <f t="shared" si="2"/>
        <v> </v>
      </c>
      <c r="E1869" s="202" t="str">
        <f t="shared" si="9"/>
        <v> </v>
      </c>
      <c r="F1869" s="55" t="str">
        <f t="shared" si="4"/>
        <v/>
      </c>
      <c r="G1869" s="202" t="str">
        <f t="shared" si="5"/>
        <v/>
      </c>
      <c r="H1869" s="202" t="str">
        <f t="shared" si="11"/>
        <v> </v>
      </c>
      <c r="I1869" s="205" t="str">
        <f t="shared" si="7"/>
        <v/>
      </c>
      <c r="J1869" s="205"/>
      <c r="K1869" s="205"/>
    </row>
    <row r="1870" ht="14.25" customHeight="1">
      <c r="A1870" s="55">
        <v>47525.0</v>
      </c>
      <c r="B1870" s="55" t="str">
        <f t="shared" si="10"/>
        <v>Primer dia</v>
      </c>
      <c r="C1870" s="202">
        <f t="shared" si="1"/>
        <v>11</v>
      </c>
      <c r="D1870" s="202" t="str">
        <f t="shared" si="2"/>
        <v> </v>
      </c>
      <c r="E1870" s="202" t="str">
        <f t="shared" si="9"/>
        <v> </v>
      </c>
      <c r="F1870" s="55" t="str">
        <f t="shared" si="4"/>
        <v/>
      </c>
      <c r="G1870" s="202" t="str">
        <f t="shared" si="5"/>
        <v/>
      </c>
      <c r="H1870" s="202" t="str">
        <f t="shared" si="11"/>
        <v> </v>
      </c>
      <c r="I1870" s="205" t="str">
        <f t="shared" si="7"/>
        <v/>
      </c>
      <c r="J1870" s="205"/>
      <c r="K1870" s="205"/>
    </row>
    <row r="1871" ht="14.25" customHeight="1">
      <c r="A1871" s="55">
        <v>47526.0</v>
      </c>
      <c r="B1871" s="55" t="str">
        <f t="shared" si="10"/>
        <v>Primer dia</v>
      </c>
      <c r="C1871" s="202">
        <f t="shared" si="1"/>
        <v>12</v>
      </c>
      <c r="D1871" s="202" t="str">
        <f t="shared" si="2"/>
        <v> </v>
      </c>
      <c r="E1871" s="202" t="str">
        <f t="shared" si="9"/>
        <v> </v>
      </c>
      <c r="F1871" s="55" t="str">
        <f t="shared" si="4"/>
        <v/>
      </c>
      <c r="G1871" s="202" t="str">
        <f t="shared" si="5"/>
        <v/>
      </c>
      <c r="H1871" s="202" t="str">
        <f t="shared" si="11"/>
        <v> </v>
      </c>
      <c r="I1871" s="205" t="str">
        <f t="shared" si="7"/>
        <v/>
      </c>
      <c r="J1871" s="205"/>
      <c r="K1871" s="205"/>
    </row>
    <row r="1872" ht="14.25" customHeight="1">
      <c r="A1872" s="55">
        <v>47527.0</v>
      </c>
      <c r="B1872" s="55" t="str">
        <f t="shared" si="10"/>
        <v>Primer dia</v>
      </c>
      <c r="C1872" s="202">
        <f t="shared" si="1"/>
        <v>13</v>
      </c>
      <c r="D1872" s="202" t="str">
        <f t="shared" si="2"/>
        <v> </v>
      </c>
      <c r="E1872" s="202" t="str">
        <f t="shared" si="9"/>
        <v> </v>
      </c>
      <c r="F1872" s="55" t="str">
        <f t="shared" si="4"/>
        <v/>
      </c>
      <c r="G1872" s="202" t="str">
        <f t="shared" si="5"/>
        <v/>
      </c>
      <c r="H1872" s="202" t="str">
        <f t="shared" si="11"/>
        <v> </v>
      </c>
      <c r="I1872" s="205" t="str">
        <f t="shared" si="7"/>
        <v/>
      </c>
      <c r="J1872" s="205"/>
      <c r="K1872" s="205"/>
    </row>
    <row r="1873" ht="14.25" customHeight="1">
      <c r="A1873" s="55">
        <v>47528.0</v>
      </c>
      <c r="B1873" s="55" t="str">
        <f t="shared" si="10"/>
        <v>Primer dia</v>
      </c>
      <c r="C1873" s="202">
        <f t="shared" si="1"/>
        <v>14</v>
      </c>
      <c r="D1873" s="202" t="str">
        <f t="shared" si="2"/>
        <v> </v>
      </c>
      <c r="E1873" s="202" t="str">
        <f t="shared" si="9"/>
        <v> </v>
      </c>
      <c r="F1873" s="55" t="str">
        <f t="shared" si="4"/>
        <v/>
      </c>
      <c r="G1873" s="202" t="str">
        <f t="shared" si="5"/>
        <v/>
      </c>
      <c r="H1873" s="202" t="str">
        <f t="shared" si="11"/>
        <v> </v>
      </c>
      <c r="I1873" s="205" t="str">
        <f t="shared" si="7"/>
        <v/>
      </c>
      <c r="J1873" s="205"/>
      <c r="K1873" s="205"/>
    </row>
    <row r="1874" ht="14.25" customHeight="1">
      <c r="A1874" s="55">
        <v>47529.0</v>
      </c>
      <c r="B1874" s="55" t="str">
        <f t="shared" si="10"/>
        <v>Primer dia</v>
      </c>
      <c r="C1874" s="202">
        <f t="shared" si="1"/>
        <v>15</v>
      </c>
      <c r="D1874" s="202" t="str">
        <f t="shared" si="2"/>
        <v> </v>
      </c>
      <c r="E1874" s="202" t="str">
        <f t="shared" si="9"/>
        <v> </v>
      </c>
      <c r="F1874" s="55" t="str">
        <f t="shared" si="4"/>
        <v/>
      </c>
      <c r="G1874" s="202" t="str">
        <f t="shared" si="5"/>
        <v/>
      </c>
      <c r="H1874" s="202" t="str">
        <f t="shared" si="11"/>
        <v> </v>
      </c>
      <c r="I1874" s="205" t="str">
        <f t="shared" si="7"/>
        <v/>
      </c>
      <c r="J1874" s="205"/>
      <c r="K1874" s="205"/>
    </row>
    <row r="1875" ht="14.25" customHeight="1">
      <c r="A1875" s="55">
        <v>47530.0</v>
      </c>
      <c r="B1875" s="55" t="str">
        <f t="shared" si="10"/>
        <v>Primer dia</v>
      </c>
      <c r="C1875" s="202">
        <f t="shared" si="1"/>
        <v>16</v>
      </c>
      <c r="D1875" s="202" t="str">
        <f t="shared" si="2"/>
        <v> </v>
      </c>
      <c r="E1875" s="202" t="str">
        <f t="shared" si="9"/>
        <v> </v>
      </c>
      <c r="F1875" s="55" t="str">
        <f t="shared" si="4"/>
        <v/>
      </c>
      <c r="G1875" s="202" t="str">
        <f t="shared" si="5"/>
        <v/>
      </c>
      <c r="H1875" s="202" t="str">
        <f t="shared" si="11"/>
        <v> </v>
      </c>
      <c r="I1875" s="205" t="str">
        <f t="shared" si="7"/>
        <v/>
      </c>
      <c r="J1875" s="205"/>
      <c r="K1875" s="205"/>
    </row>
    <row r="1876" ht="14.25" customHeight="1">
      <c r="A1876" s="55">
        <v>47531.0</v>
      </c>
      <c r="B1876" s="55" t="str">
        <f t="shared" si="10"/>
        <v>Primer dia</v>
      </c>
      <c r="C1876" s="202">
        <f t="shared" si="1"/>
        <v>17</v>
      </c>
      <c r="D1876" s="202" t="str">
        <f t="shared" si="2"/>
        <v> </v>
      </c>
      <c r="E1876" s="202">
        <f t="shared" si="9"/>
        <v>17</v>
      </c>
      <c r="F1876" s="55">
        <f t="shared" si="4"/>
        <v>47531</v>
      </c>
      <c r="G1876" s="202">
        <f t="shared" si="5"/>
        <v>98</v>
      </c>
      <c r="H1876" s="202" t="str">
        <f t="shared" si="11"/>
        <v> </v>
      </c>
      <c r="I1876" s="205" t="str">
        <f t="shared" si="7"/>
        <v/>
      </c>
      <c r="J1876" s="205"/>
      <c r="K1876" s="205"/>
    </row>
    <row r="1877" ht="14.25" customHeight="1">
      <c r="A1877" s="55">
        <v>47532.0</v>
      </c>
      <c r="B1877" s="55" t="str">
        <f t="shared" si="10"/>
        <v>Primer dia</v>
      </c>
      <c r="C1877" s="202">
        <f t="shared" si="1"/>
        <v>18</v>
      </c>
      <c r="D1877" s="202" t="str">
        <f t="shared" si="2"/>
        <v> </v>
      </c>
      <c r="E1877" s="202" t="str">
        <f t="shared" si="9"/>
        <v> </v>
      </c>
      <c r="F1877" s="55" t="str">
        <f t="shared" si="4"/>
        <v/>
      </c>
      <c r="G1877" s="202" t="str">
        <f t="shared" si="5"/>
        <v/>
      </c>
      <c r="H1877" s="202" t="str">
        <f t="shared" si="11"/>
        <v> </v>
      </c>
      <c r="I1877" s="205" t="str">
        <f t="shared" si="7"/>
        <v/>
      </c>
      <c r="J1877" s="205"/>
      <c r="K1877" s="205"/>
    </row>
    <row r="1878" ht="14.25" customHeight="1">
      <c r="A1878" s="55">
        <v>47533.0</v>
      </c>
      <c r="B1878" s="55" t="str">
        <f t="shared" si="10"/>
        <v>Primer dia</v>
      </c>
      <c r="C1878" s="202">
        <f t="shared" si="1"/>
        <v>19</v>
      </c>
      <c r="D1878" s="202" t="str">
        <f t="shared" si="2"/>
        <v> </v>
      </c>
      <c r="E1878" s="202" t="str">
        <f t="shared" si="9"/>
        <v> </v>
      </c>
      <c r="F1878" s="55" t="str">
        <f t="shared" si="4"/>
        <v/>
      </c>
      <c r="G1878" s="202" t="str">
        <f t="shared" si="5"/>
        <v/>
      </c>
      <c r="H1878" s="202" t="str">
        <f t="shared" si="11"/>
        <v> </v>
      </c>
      <c r="I1878" s="205" t="str">
        <f t="shared" si="7"/>
        <v/>
      </c>
      <c r="J1878" s="205"/>
      <c r="K1878" s="205"/>
    </row>
    <row r="1879" ht="14.25" customHeight="1">
      <c r="A1879" s="55">
        <v>47534.0</v>
      </c>
      <c r="B1879" s="55" t="str">
        <f t="shared" si="10"/>
        <v>Primer dia</v>
      </c>
      <c r="C1879" s="202">
        <f t="shared" si="1"/>
        <v>20</v>
      </c>
      <c r="D1879" s="202" t="str">
        <f t="shared" si="2"/>
        <v> </v>
      </c>
      <c r="E1879" s="202" t="str">
        <f t="shared" si="9"/>
        <v> </v>
      </c>
      <c r="F1879" s="55" t="str">
        <f t="shared" si="4"/>
        <v/>
      </c>
      <c r="G1879" s="202" t="str">
        <f t="shared" si="5"/>
        <v/>
      </c>
      <c r="H1879" s="202" t="str">
        <f t="shared" si="11"/>
        <v> </v>
      </c>
      <c r="I1879" s="205" t="str">
        <f t="shared" si="7"/>
        <v/>
      </c>
      <c r="J1879" s="205"/>
      <c r="K1879" s="205"/>
    </row>
    <row r="1880" ht="14.25" customHeight="1">
      <c r="A1880" s="55">
        <v>47535.0</v>
      </c>
      <c r="B1880" s="55" t="str">
        <f t="shared" si="10"/>
        <v>Primer dia</v>
      </c>
      <c r="C1880" s="202">
        <f t="shared" si="1"/>
        <v>21</v>
      </c>
      <c r="D1880" s="202" t="str">
        <f t="shared" si="2"/>
        <v> </v>
      </c>
      <c r="E1880" s="202" t="str">
        <f t="shared" si="9"/>
        <v> </v>
      </c>
      <c r="F1880" s="55" t="str">
        <f t="shared" si="4"/>
        <v/>
      </c>
      <c r="G1880" s="202" t="str">
        <f t="shared" si="5"/>
        <v/>
      </c>
      <c r="H1880" s="202" t="str">
        <f t="shared" si="11"/>
        <v> </v>
      </c>
      <c r="I1880" s="205" t="str">
        <f t="shared" si="7"/>
        <v/>
      </c>
      <c r="J1880" s="205"/>
      <c r="K1880" s="205"/>
    </row>
    <row r="1881" ht="14.25" customHeight="1">
      <c r="A1881" s="55">
        <v>47536.0</v>
      </c>
      <c r="B1881" s="55" t="str">
        <f t="shared" si="10"/>
        <v>Primer dia</v>
      </c>
      <c r="C1881" s="202">
        <f t="shared" si="1"/>
        <v>22</v>
      </c>
      <c r="D1881" s="202" t="str">
        <f t="shared" si="2"/>
        <v> </v>
      </c>
      <c r="E1881" s="202" t="str">
        <f t="shared" si="9"/>
        <v> </v>
      </c>
      <c r="F1881" s="55" t="str">
        <f t="shared" si="4"/>
        <v/>
      </c>
      <c r="G1881" s="202" t="str">
        <f t="shared" si="5"/>
        <v/>
      </c>
      <c r="H1881" s="202" t="str">
        <f t="shared" si="11"/>
        <v> </v>
      </c>
      <c r="I1881" s="205" t="str">
        <f t="shared" si="7"/>
        <v/>
      </c>
      <c r="J1881" s="205"/>
      <c r="K1881" s="205"/>
    </row>
    <row r="1882" ht="14.25" customHeight="1">
      <c r="A1882" s="55">
        <v>47537.0</v>
      </c>
      <c r="B1882" s="55" t="str">
        <f t="shared" si="10"/>
        <v>Primer dia</v>
      </c>
      <c r="C1882" s="202">
        <f t="shared" si="1"/>
        <v>23</v>
      </c>
      <c r="D1882" s="202" t="str">
        <f t="shared" si="2"/>
        <v> </v>
      </c>
      <c r="E1882" s="202" t="str">
        <f t="shared" si="9"/>
        <v> </v>
      </c>
      <c r="F1882" s="55" t="str">
        <f t="shared" si="4"/>
        <v/>
      </c>
      <c r="G1882" s="202" t="str">
        <f t="shared" si="5"/>
        <v/>
      </c>
      <c r="H1882" s="202" t="str">
        <f t="shared" si="11"/>
        <v> </v>
      </c>
      <c r="I1882" s="205" t="str">
        <f t="shared" si="7"/>
        <v/>
      </c>
      <c r="J1882" s="205"/>
      <c r="K1882" s="205"/>
    </row>
    <row r="1883" ht="14.25" customHeight="1">
      <c r="A1883" s="55">
        <v>47538.0</v>
      </c>
      <c r="B1883" s="55" t="str">
        <f t="shared" si="10"/>
        <v>Primer dia</v>
      </c>
      <c r="C1883" s="202">
        <f t="shared" si="1"/>
        <v>24</v>
      </c>
      <c r="D1883" s="202" t="str">
        <f t="shared" si="2"/>
        <v> </v>
      </c>
      <c r="E1883" s="202" t="str">
        <f t="shared" si="9"/>
        <v> </v>
      </c>
      <c r="F1883" s="55" t="str">
        <f t="shared" si="4"/>
        <v/>
      </c>
      <c r="G1883" s="202" t="str">
        <f t="shared" si="5"/>
        <v/>
      </c>
      <c r="H1883" s="202" t="str">
        <f t="shared" si="11"/>
        <v> </v>
      </c>
      <c r="I1883" s="205" t="str">
        <f t="shared" si="7"/>
        <v/>
      </c>
      <c r="J1883" s="205"/>
      <c r="K1883" s="205"/>
    </row>
    <row r="1884" ht="14.25" customHeight="1">
      <c r="A1884" s="55">
        <v>47539.0</v>
      </c>
      <c r="B1884" s="55" t="str">
        <f t="shared" si="10"/>
        <v>Primer dia</v>
      </c>
      <c r="C1884" s="202">
        <f t="shared" si="1"/>
        <v>25</v>
      </c>
      <c r="D1884" s="202" t="str">
        <f t="shared" si="2"/>
        <v> </v>
      </c>
      <c r="E1884" s="202" t="str">
        <f t="shared" si="9"/>
        <v> </v>
      </c>
      <c r="F1884" s="55" t="str">
        <f t="shared" si="4"/>
        <v/>
      </c>
      <c r="G1884" s="202" t="str">
        <f t="shared" si="5"/>
        <v/>
      </c>
      <c r="H1884" s="202" t="str">
        <f t="shared" si="11"/>
        <v> </v>
      </c>
      <c r="I1884" s="205" t="str">
        <f t="shared" si="7"/>
        <v/>
      </c>
      <c r="J1884" s="205"/>
      <c r="K1884" s="205"/>
    </row>
    <row r="1885" ht="14.25" customHeight="1">
      <c r="A1885" s="55">
        <v>47540.0</v>
      </c>
      <c r="B1885" s="55" t="str">
        <f t="shared" si="10"/>
        <v>Primer dia</v>
      </c>
      <c r="C1885" s="202">
        <f t="shared" si="1"/>
        <v>26</v>
      </c>
      <c r="D1885" s="202" t="str">
        <f t="shared" si="2"/>
        <v> </v>
      </c>
      <c r="E1885" s="202" t="str">
        <f t="shared" si="9"/>
        <v> </v>
      </c>
      <c r="F1885" s="55" t="str">
        <f t="shared" si="4"/>
        <v/>
      </c>
      <c r="G1885" s="202" t="str">
        <f t="shared" si="5"/>
        <v/>
      </c>
      <c r="H1885" s="202" t="str">
        <f t="shared" si="11"/>
        <v> </v>
      </c>
      <c r="I1885" s="205" t="str">
        <f t="shared" si="7"/>
        <v/>
      </c>
      <c r="J1885" s="205"/>
      <c r="K1885" s="205"/>
    </row>
    <row r="1886" ht="14.25" customHeight="1">
      <c r="A1886" s="55">
        <v>47541.0</v>
      </c>
      <c r="B1886" s="55" t="str">
        <f t="shared" si="10"/>
        <v>Primer dia</v>
      </c>
      <c r="C1886" s="202">
        <f t="shared" si="1"/>
        <v>27</v>
      </c>
      <c r="D1886" s="202" t="str">
        <f t="shared" si="2"/>
        <v> </v>
      </c>
      <c r="E1886" s="202" t="str">
        <f t="shared" si="9"/>
        <v> </v>
      </c>
      <c r="F1886" s="55" t="str">
        <f t="shared" si="4"/>
        <v/>
      </c>
      <c r="G1886" s="202" t="str">
        <f t="shared" si="5"/>
        <v/>
      </c>
      <c r="H1886" s="202" t="str">
        <f t="shared" si="11"/>
        <v> </v>
      </c>
      <c r="I1886" s="205" t="str">
        <f t="shared" si="7"/>
        <v/>
      </c>
      <c r="J1886" s="205"/>
      <c r="K1886" s="205"/>
    </row>
    <row r="1887" ht="14.25" customHeight="1">
      <c r="A1887" s="55">
        <v>47542.0</v>
      </c>
      <c r="B1887" s="55" t="str">
        <f t="shared" si="10"/>
        <v>Primer dia</v>
      </c>
      <c r="C1887" s="202">
        <f t="shared" si="1"/>
        <v>28</v>
      </c>
      <c r="D1887" s="202" t="str">
        <f t="shared" si="2"/>
        <v> </v>
      </c>
      <c r="E1887" s="202" t="str">
        <f t="shared" si="9"/>
        <v> </v>
      </c>
      <c r="F1887" s="55" t="str">
        <f t="shared" si="4"/>
        <v/>
      </c>
      <c r="G1887" s="202" t="str">
        <f t="shared" si="5"/>
        <v/>
      </c>
      <c r="H1887" s="202" t="str">
        <f t="shared" si="11"/>
        <v> </v>
      </c>
      <c r="I1887" s="205" t="str">
        <f t="shared" si="7"/>
        <v/>
      </c>
      <c r="J1887" s="205"/>
      <c r="K1887" s="205"/>
    </row>
    <row r="1888" ht="14.25" customHeight="1">
      <c r="A1888" s="55">
        <v>47543.0</v>
      </c>
      <c r="B1888" s="55" t="str">
        <f t="shared" si="10"/>
        <v>Primer dia</v>
      </c>
      <c r="C1888" s="202">
        <f t="shared" si="1"/>
        <v>1</v>
      </c>
      <c r="D1888" s="202" t="str">
        <f t="shared" si="2"/>
        <v> </v>
      </c>
      <c r="E1888" s="202" t="str">
        <f t="shared" si="9"/>
        <v> </v>
      </c>
      <c r="F1888" s="55" t="str">
        <f t="shared" si="4"/>
        <v/>
      </c>
      <c r="G1888" s="202" t="str">
        <f t="shared" si="5"/>
        <v/>
      </c>
      <c r="H1888" s="202" t="str">
        <f t="shared" si="11"/>
        <v> </v>
      </c>
      <c r="I1888" s="205" t="str">
        <f t="shared" si="7"/>
        <v/>
      </c>
      <c r="J1888" s="205"/>
      <c r="K1888" s="205"/>
    </row>
    <row r="1889" ht="14.25" customHeight="1">
      <c r="A1889" s="55">
        <v>47544.0</v>
      </c>
      <c r="B1889" s="55" t="str">
        <f t="shared" si="10"/>
        <v>Primer dia</v>
      </c>
      <c r="C1889" s="202">
        <f t="shared" si="1"/>
        <v>2</v>
      </c>
      <c r="D1889" s="202" t="str">
        <f t="shared" si="2"/>
        <v> </v>
      </c>
      <c r="E1889" s="202">
        <f t="shared" si="9"/>
        <v>2</v>
      </c>
      <c r="F1889" s="55">
        <f t="shared" si="4"/>
        <v>47544</v>
      </c>
      <c r="G1889" s="202">
        <f t="shared" si="5"/>
        <v>99</v>
      </c>
      <c r="H1889" s="202" t="str">
        <f t="shared" si="11"/>
        <v> </v>
      </c>
      <c r="I1889" s="205" t="str">
        <f t="shared" si="7"/>
        <v/>
      </c>
      <c r="J1889" s="205"/>
      <c r="K1889" s="205"/>
    </row>
    <row r="1890" ht="14.25" customHeight="1">
      <c r="A1890" s="55">
        <v>47545.0</v>
      </c>
      <c r="B1890" s="55" t="str">
        <f t="shared" si="10"/>
        <v>Primer dia</v>
      </c>
      <c r="C1890" s="202">
        <f t="shared" si="1"/>
        <v>3</v>
      </c>
      <c r="D1890" s="202" t="str">
        <f t="shared" si="2"/>
        <v> </v>
      </c>
      <c r="E1890" s="202" t="str">
        <f t="shared" si="9"/>
        <v> </v>
      </c>
      <c r="F1890" s="55" t="str">
        <f t="shared" si="4"/>
        <v/>
      </c>
      <c r="G1890" s="202" t="str">
        <f t="shared" si="5"/>
        <v/>
      </c>
      <c r="H1890" s="202" t="str">
        <f t="shared" si="11"/>
        <v> </v>
      </c>
      <c r="I1890" s="205" t="str">
        <f t="shared" si="7"/>
        <v/>
      </c>
      <c r="J1890" s="205"/>
      <c r="K1890" s="205"/>
    </row>
    <row r="1891" ht="14.25" customHeight="1">
      <c r="A1891" s="55">
        <v>47546.0</v>
      </c>
      <c r="B1891" s="55" t="str">
        <f t="shared" si="10"/>
        <v>Primer dia</v>
      </c>
      <c r="C1891" s="202">
        <f t="shared" si="1"/>
        <v>4</v>
      </c>
      <c r="D1891" s="202" t="str">
        <f t="shared" si="2"/>
        <v> </v>
      </c>
      <c r="E1891" s="202" t="str">
        <f t="shared" si="9"/>
        <v> </v>
      </c>
      <c r="F1891" s="55" t="str">
        <f t="shared" si="4"/>
        <v/>
      </c>
      <c r="G1891" s="202" t="str">
        <f t="shared" si="5"/>
        <v/>
      </c>
      <c r="H1891" s="202" t="str">
        <f t="shared" si="11"/>
        <v> </v>
      </c>
      <c r="I1891" s="205" t="str">
        <f t="shared" si="7"/>
        <v/>
      </c>
      <c r="J1891" s="205"/>
      <c r="K1891" s="205"/>
    </row>
    <row r="1892" ht="14.25" customHeight="1">
      <c r="A1892" s="55">
        <v>47547.0</v>
      </c>
      <c r="B1892" s="55" t="str">
        <f t="shared" si="10"/>
        <v>Primer dia</v>
      </c>
      <c r="C1892" s="202">
        <f t="shared" si="1"/>
        <v>5</v>
      </c>
      <c r="D1892" s="202" t="str">
        <f t="shared" si="2"/>
        <v> </v>
      </c>
      <c r="E1892" s="202" t="str">
        <f t="shared" si="9"/>
        <v> </v>
      </c>
      <c r="F1892" s="55" t="str">
        <f t="shared" si="4"/>
        <v/>
      </c>
      <c r="G1892" s="202" t="str">
        <f t="shared" si="5"/>
        <v/>
      </c>
      <c r="H1892" s="202" t="str">
        <f t="shared" si="11"/>
        <v> </v>
      </c>
      <c r="I1892" s="205" t="str">
        <f t="shared" si="7"/>
        <v/>
      </c>
      <c r="J1892" s="205"/>
      <c r="K1892" s="205"/>
    </row>
    <row r="1893" ht="14.25" customHeight="1">
      <c r="A1893" s="55">
        <v>47548.0</v>
      </c>
      <c r="B1893" s="55" t="str">
        <f t="shared" si="10"/>
        <v>Primer dia</v>
      </c>
      <c r="C1893" s="202">
        <f t="shared" si="1"/>
        <v>6</v>
      </c>
      <c r="D1893" s="202" t="str">
        <f t="shared" si="2"/>
        <v> </v>
      </c>
      <c r="E1893" s="202" t="str">
        <f t="shared" si="9"/>
        <v> </v>
      </c>
      <c r="F1893" s="55" t="str">
        <f t="shared" si="4"/>
        <v/>
      </c>
      <c r="G1893" s="202" t="str">
        <f t="shared" si="5"/>
        <v/>
      </c>
      <c r="H1893" s="202" t="str">
        <f t="shared" si="11"/>
        <v> </v>
      </c>
      <c r="I1893" s="205" t="str">
        <f t="shared" si="7"/>
        <v/>
      </c>
      <c r="J1893" s="205"/>
      <c r="K1893" s="205"/>
    </row>
    <row r="1894" ht="14.25" customHeight="1">
      <c r="A1894" s="55">
        <v>47549.0</v>
      </c>
      <c r="B1894" s="55" t="str">
        <f t="shared" si="10"/>
        <v>Primer dia</v>
      </c>
      <c r="C1894" s="202">
        <f t="shared" si="1"/>
        <v>7</v>
      </c>
      <c r="D1894" s="202" t="str">
        <f t="shared" si="2"/>
        <v> </v>
      </c>
      <c r="E1894" s="202" t="str">
        <f t="shared" si="9"/>
        <v> </v>
      </c>
      <c r="F1894" s="55" t="str">
        <f t="shared" si="4"/>
        <v/>
      </c>
      <c r="G1894" s="202" t="str">
        <f t="shared" si="5"/>
        <v/>
      </c>
      <c r="H1894" s="202" t="str">
        <f t="shared" si="11"/>
        <v> </v>
      </c>
      <c r="I1894" s="205" t="str">
        <f t="shared" si="7"/>
        <v/>
      </c>
      <c r="J1894" s="205"/>
      <c r="K1894" s="205"/>
    </row>
    <row r="1895" ht="14.25" customHeight="1">
      <c r="A1895" s="55">
        <v>47550.0</v>
      </c>
      <c r="B1895" s="55" t="str">
        <f t="shared" si="10"/>
        <v>Primer dia</v>
      </c>
      <c r="C1895" s="202">
        <f t="shared" si="1"/>
        <v>8</v>
      </c>
      <c r="D1895" s="202" t="str">
        <f t="shared" si="2"/>
        <v> </v>
      </c>
      <c r="E1895" s="202" t="str">
        <f t="shared" si="9"/>
        <v> </v>
      </c>
      <c r="F1895" s="55" t="str">
        <f t="shared" si="4"/>
        <v/>
      </c>
      <c r="G1895" s="202" t="str">
        <f t="shared" si="5"/>
        <v/>
      </c>
      <c r="H1895" s="202" t="str">
        <f t="shared" si="11"/>
        <v> </v>
      </c>
      <c r="I1895" s="205" t="str">
        <f t="shared" si="7"/>
        <v/>
      </c>
      <c r="J1895" s="205"/>
      <c r="K1895" s="205"/>
    </row>
    <row r="1896" ht="14.25" customHeight="1">
      <c r="A1896" s="55">
        <v>47551.0</v>
      </c>
      <c r="B1896" s="55" t="str">
        <f t="shared" si="10"/>
        <v>Primer dia</v>
      </c>
      <c r="C1896" s="202">
        <f t="shared" si="1"/>
        <v>9</v>
      </c>
      <c r="D1896" s="202" t="str">
        <f t="shared" si="2"/>
        <v> </v>
      </c>
      <c r="E1896" s="202" t="str">
        <f t="shared" si="9"/>
        <v> </v>
      </c>
      <c r="F1896" s="55" t="str">
        <f t="shared" si="4"/>
        <v/>
      </c>
      <c r="G1896" s="202" t="str">
        <f t="shared" si="5"/>
        <v/>
      </c>
      <c r="H1896" s="202" t="str">
        <f t="shared" si="11"/>
        <v> </v>
      </c>
      <c r="I1896" s="205" t="str">
        <f t="shared" si="7"/>
        <v/>
      </c>
      <c r="J1896" s="205"/>
      <c r="K1896" s="205"/>
    </row>
    <row r="1897" ht="14.25" customHeight="1">
      <c r="A1897" s="55">
        <v>47552.0</v>
      </c>
      <c r="B1897" s="55" t="str">
        <f t="shared" si="10"/>
        <v>Primer dia</v>
      </c>
      <c r="C1897" s="202">
        <f t="shared" si="1"/>
        <v>10</v>
      </c>
      <c r="D1897" s="202" t="str">
        <f t="shared" si="2"/>
        <v> </v>
      </c>
      <c r="E1897" s="202" t="str">
        <f t="shared" si="9"/>
        <v> </v>
      </c>
      <c r="F1897" s="55" t="str">
        <f t="shared" si="4"/>
        <v/>
      </c>
      <c r="G1897" s="202" t="str">
        <f t="shared" si="5"/>
        <v/>
      </c>
      <c r="H1897" s="202" t="str">
        <f t="shared" si="11"/>
        <v> </v>
      </c>
      <c r="I1897" s="205" t="str">
        <f t="shared" si="7"/>
        <v/>
      </c>
      <c r="J1897" s="205"/>
      <c r="K1897" s="205"/>
    </row>
    <row r="1898" ht="14.25" customHeight="1">
      <c r="A1898" s="55">
        <v>47553.0</v>
      </c>
      <c r="B1898" s="55" t="str">
        <f t="shared" si="10"/>
        <v>Primer dia</v>
      </c>
      <c r="C1898" s="202">
        <f t="shared" si="1"/>
        <v>11</v>
      </c>
      <c r="D1898" s="202" t="str">
        <f t="shared" si="2"/>
        <v> </v>
      </c>
      <c r="E1898" s="202" t="str">
        <f t="shared" si="9"/>
        <v> </v>
      </c>
      <c r="F1898" s="55" t="str">
        <f t="shared" si="4"/>
        <v/>
      </c>
      <c r="G1898" s="202" t="str">
        <f t="shared" si="5"/>
        <v/>
      </c>
      <c r="H1898" s="202" t="str">
        <f t="shared" si="11"/>
        <v> </v>
      </c>
      <c r="I1898" s="205" t="str">
        <f t="shared" si="7"/>
        <v/>
      </c>
      <c r="J1898" s="205"/>
      <c r="K1898" s="205"/>
    </row>
    <row r="1899" ht="14.25" customHeight="1">
      <c r="A1899" s="55">
        <v>47554.0</v>
      </c>
      <c r="B1899" s="55" t="str">
        <f t="shared" si="10"/>
        <v>Primer dia</v>
      </c>
      <c r="C1899" s="202">
        <f t="shared" si="1"/>
        <v>12</v>
      </c>
      <c r="D1899" s="202" t="str">
        <f t="shared" si="2"/>
        <v> </v>
      </c>
      <c r="E1899" s="202" t="str">
        <f t="shared" si="9"/>
        <v> </v>
      </c>
      <c r="F1899" s="55" t="str">
        <f t="shared" si="4"/>
        <v/>
      </c>
      <c r="G1899" s="202" t="str">
        <f t="shared" si="5"/>
        <v/>
      </c>
      <c r="H1899" s="202" t="str">
        <f t="shared" si="11"/>
        <v> </v>
      </c>
      <c r="I1899" s="205" t="str">
        <f t="shared" si="7"/>
        <v/>
      </c>
      <c r="J1899" s="205"/>
      <c r="K1899" s="205"/>
    </row>
    <row r="1900" ht="14.25" customHeight="1">
      <c r="A1900" s="55">
        <v>47555.0</v>
      </c>
      <c r="B1900" s="55" t="str">
        <f t="shared" si="10"/>
        <v>Primer dia</v>
      </c>
      <c r="C1900" s="202">
        <f t="shared" si="1"/>
        <v>13</v>
      </c>
      <c r="D1900" s="202" t="str">
        <f t="shared" si="2"/>
        <v> </v>
      </c>
      <c r="E1900" s="202" t="str">
        <f t="shared" si="9"/>
        <v> </v>
      </c>
      <c r="F1900" s="55" t="str">
        <f t="shared" si="4"/>
        <v/>
      </c>
      <c r="G1900" s="202" t="str">
        <f t="shared" si="5"/>
        <v/>
      </c>
      <c r="H1900" s="202" t="str">
        <f t="shared" si="11"/>
        <v> </v>
      </c>
      <c r="I1900" s="205" t="str">
        <f t="shared" si="7"/>
        <v/>
      </c>
      <c r="J1900" s="205"/>
      <c r="K1900" s="205"/>
    </row>
    <row r="1901" ht="14.25" customHeight="1">
      <c r="A1901" s="55">
        <v>47556.0</v>
      </c>
      <c r="B1901" s="55" t="str">
        <f t="shared" si="10"/>
        <v>Primer dia</v>
      </c>
      <c r="C1901" s="202">
        <f t="shared" si="1"/>
        <v>14</v>
      </c>
      <c r="D1901" s="202" t="str">
        <f t="shared" si="2"/>
        <v> </v>
      </c>
      <c r="E1901" s="202" t="str">
        <f t="shared" si="9"/>
        <v> </v>
      </c>
      <c r="F1901" s="55" t="str">
        <f t="shared" si="4"/>
        <v/>
      </c>
      <c r="G1901" s="202" t="str">
        <f t="shared" si="5"/>
        <v/>
      </c>
      <c r="H1901" s="202" t="str">
        <f t="shared" si="11"/>
        <v> </v>
      </c>
      <c r="I1901" s="205" t="str">
        <f t="shared" si="7"/>
        <v/>
      </c>
      <c r="J1901" s="205"/>
      <c r="K1901" s="205"/>
    </row>
    <row r="1902" ht="14.25" customHeight="1">
      <c r="A1902" s="55">
        <v>47557.0</v>
      </c>
      <c r="B1902" s="55" t="str">
        <f t="shared" si="10"/>
        <v>Primer dia</v>
      </c>
      <c r="C1902" s="202">
        <f t="shared" si="1"/>
        <v>15</v>
      </c>
      <c r="D1902" s="202" t="str">
        <f t="shared" si="2"/>
        <v> </v>
      </c>
      <c r="E1902" s="202" t="str">
        <f t="shared" si="9"/>
        <v> </v>
      </c>
      <c r="F1902" s="55" t="str">
        <f t="shared" si="4"/>
        <v/>
      </c>
      <c r="G1902" s="202" t="str">
        <f t="shared" si="5"/>
        <v/>
      </c>
      <c r="H1902" s="202" t="str">
        <f t="shared" si="11"/>
        <v> </v>
      </c>
      <c r="I1902" s="205" t="str">
        <f t="shared" si="7"/>
        <v/>
      </c>
      <c r="J1902" s="205"/>
      <c r="K1902" s="205"/>
    </row>
    <row r="1903" ht="14.25" customHeight="1">
      <c r="A1903" s="55">
        <v>47558.0</v>
      </c>
      <c r="B1903" s="55" t="str">
        <f t="shared" si="10"/>
        <v>Primer dia</v>
      </c>
      <c r="C1903" s="202">
        <f t="shared" si="1"/>
        <v>16</v>
      </c>
      <c r="D1903" s="202" t="str">
        <f t="shared" si="2"/>
        <v> </v>
      </c>
      <c r="E1903" s="202" t="str">
        <f t="shared" si="9"/>
        <v> </v>
      </c>
      <c r="F1903" s="55" t="str">
        <f t="shared" si="4"/>
        <v/>
      </c>
      <c r="G1903" s="202" t="str">
        <f t="shared" si="5"/>
        <v/>
      </c>
      <c r="H1903" s="202" t="str">
        <f t="shared" si="11"/>
        <v> </v>
      </c>
      <c r="I1903" s="205" t="str">
        <f t="shared" si="7"/>
        <v/>
      </c>
      <c r="J1903" s="205"/>
      <c r="K1903" s="205"/>
    </row>
    <row r="1904" ht="14.25" customHeight="1">
      <c r="A1904" s="55">
        <v>47559.0</v>
      </c>
      <c r="B1904" s="55" t="str">
        <f t="shared" si="10"/>
        <v>Primer dia</v>
      </c>
      <c r="C1904" s="202">
        <f t="shared" si="1"/>
        <v>17</v>
      </c>
      <c r="D1904" s="202" t="str">
        <f t="shared" si="2"/>
        <v> </v>
      </c>
      <c r="E1904" s="202">
        <f t="shared" si="9"/>
        <v>17</v>
      </c>
      <c r="F1904" s="55">
        <f t="shared" si="4"/>
        <v>47559</v>
      </c>
      <c r="G1904" s="202">
        <f t="shared" si="5"/>
        <v>100</v>
      </c>
      <c r="H1904" s="202" t="str">
        <f t="shared" si="11"/>
        <v> </v>
      </c>
      <c r="I1904" s="205" t="str">
        <f t="shared" si="7"/>
        <v/>
      </c>
      <c r="J1904" s="205"/>
      <c r="K1904" s="205"/>
    </row>
    <row r="1905" ht="14.25" customHeight="1">
      <c r="A1905" s="55">
        <v>47560.0</v>
      </c>
      <c r="B1905" s="55" t="str">
        <f t="shared" si="10"/>
        <v>Primer dia</v>
      </c>
      <c r="C1905" s="202">
        <f t="shared" si="1"/>
        <v>18</v>
      </c>
      <c r="D1905" s="202" t="str">
        <f t="shared" si="2"/>
        <v> </v>
      </c>
      <c r="E1905" s="202" t="str">
        <f t="shared" si="9"/>
        <v> </v>
      </c>
      <c r="F1905" s="55" t="str">
        <f t="shared" si="4"/>
        <v/>
      </c>
      <c r="G1905" s="202" t="str">
        <f t="shared" si="5"/>
        <v/>
      </c>
      <c r="H1905" s="202" t="str">
        <f t="shared" si="11"/>
        <v> </v>
      </c>
      <c r="I1905" s="205" t="str">
        <f t="shared" si="7"/>
        <v/>
      </c>
      <c r="J1905" s="205"/>
      <c r="K1905" s="205"/>
    </row>
    <row r="1906" ht="14.25" customHeight="1">
      <c r="A1906" s="55">
        <v>47561.0</v>
      </c>
      <c r="B1906" s="55" t="str">
        <f t="shared" si="10"/>
        <v>Primer dia</v>
      </c>
      <c r="C1906" s="202">
        <f t="shared" si="1"/>
        <v>19</v>
      </c>
      <c r="D1906" s="202" t="str">
        <f t="shared" si="2"/>
        <v> </v>
      </c>
      <c r="E1906" s="202" t="str">
        <f t="shared" si="9"/>
        <v> </v>
      </c>
      <c r="F1906" s="55" t="str">
        <f t="shared" si="4"/>
        <v/>
      </c>
      <c r="G1906" s="202" t="str">
        <f t="shared" si="5"/>
        <v/>
      </c>
      <c r="H1906" s="202" t="str">
        <f t="shared" si="11"/>
        <v> </v>
      </c>
      <c r="I1906" s="205" t="str">
        <f t="shared" si="7"/>
        <v/>
      </c>
      <c r="J1906" s="205"/>
      <c r="K1906" s="205"/>
    </row>
    <row r="1907" ht="14.25" customHeight="1">
      <c r="A1907" s="55">
        <v>47562.0</v>
      </c>
      <c r="B1907" s="55" t="str">
        <f t="shared" si="10"/>
        <v>Primer dia</v>
      </c>
      <c r="C1907" s="202">
        <f t="shared" si="1"/>
        <v>20</v>
      </c>
      <c r="D1907" s="202" t="str">
        <f t="shared" si="2"/>
        <v> </v>
      </c>
      <c r="E1907" s="202" t="str">
        <f t="shared" si="9"/>
        <v> </v>
      </c>
      <c r="F1907" s="55" t="str">
        <f t="shared" si="4"/>
        <v/>
      </c>
      <c r="G1907" s="202" t="str">
        <f t="shared" si="5"/>
        <v/>
      </c>
      <c r="H1907" s="202" t="str">
        <f t="shared" si="11"/>
        <v> </v>
      </c>
      <c r="I1907" s="205" t="str">
        <f t="shared" si="7"/>
        <v/>
      </c>
      <c r="J1907" s="205"/>
      <c r="K1907" s="205"/>
    </row>
    <row r="1908" ht="14.25" customHeight="1">
      <c r="A1908" s="55">
        <v>47563.0</v>
      </c>
      <c r="B1908" s="55" t="str">
        <f t="shared" si="10"/>
        <v>Primer dia</v>
      </c>
      <c r="C1908" s="202">
        <f t="shared" si="1"/>
        <v>21</v>
      </c>
      <c r="D1908" s="202" t="str">
        <f t="shared" si="2"/>
        <v> </v>
      </c>
      <c r="E1908" s="202" t="str">
        <f t="shared" si="9"/>
        <v> </v>
      </c>
      <c r="F1908" s="55" t="str">
        <f t="shared" si="4"/>
        <v/>
      </c>
      <c r="G1908" s="202" t="str">
        <f t="shared" si="5"/>
        <v/>
      </c>
      <c r="H1908" s="202" t="str">
        <f t="shared" si="11"/>
        <v> </v>
      </c>
      <c r="I1908" s="205" t="str">
        <f t="shared" si="7"/>
        <v/>
      </c>
      <c r="J1908" s="205"/>
      <c r="K1908" s="205"/>
    </row>
    <row r="1909" ht="14.25" customHeight="1">
      <c r="A1909" s="55">
        <v>47564.0</v>
      </c>
      <c r="B1909" s="55" t="str">
        <f t="shared" si="10"/>
        <v>Primer dia</v>
      </c>
      <c r="C1909" s="202">
        <f t="shared" si="1"/>
        <v>22</v>
      </c>
      <c r="D1909" s="202" t="str">
        <f t="shared" si="2"/>
        <v> </v>
      </c>
      <c r="E1909" s="202" t="str">
        <f t="shared" si="9"/>
        <v> </v>
      </c>
      <c r="F1909" s="55" t="str">
        <f t="shared" si="4"/>
        <v/>
      </c>
      <c r="G1909" s="202" t="str">
        <f t="shared" si="5"/>
        <v/>
      </c>
      <c r="H1909" s="202" t="str">
        <f t="shared" si="11"/>
        <v> </v>
      </c>
      <c r="I1909" s="205" t="str">
        <f t="shared" si="7"/>
        <v/>
      </c>
      <c r="J1909" s="205"/>
      <c r="K1909" s="205"/>
    </row>
    <row r="1910" ht="14.25" customHeight="1">
      <c r="A1910" s="55">
        <v>47565.0</v>
      </c>
      <c r="B1910" s="55" t="str">
        <f t="shared" si="10"/>
        <v>Primer dia</v>
      </c>
      <c r="C1910" s="202">
        <f t="shared" si="1"/>
        <v>23</v>
      </c>
      <c r="D1910" s="202" t="str">
        <f t="shared" si="2"/>
        <v> </v>
      </c>
      <c r="E1910" s="202" t="str">
        <f t="shared" si="9"/>
        <v> </v>
      </c>
      <c r="F1910" s="55" t="str">
        <f t="shared" si="4"/>
        <v/>
      </c>
      <c r="G1910" s="202" t="str">
        <f t="shared" si="5"/>
        <v/>
      </c>
      <c r="H1910" s="202" t="str">
        <f t="shared" si="11"/>
        <v> </v>
      </c>
      <c r="I1910" s="205" t="str">
        <f t="shared" si="7"/>
        <v/>
      </c>
      <c r="J1910" s="205"/>
      <c r="K1910" s="205"/>
    </row>
    <row r="1911" ht="14.25" customHeight="1">
      <c r="A1911" s="55">
        <v>47566.0</v>
      </c>
      <c r="B1911" s="55" t="str">
        <f t="shared" si="10"/>
        <v>Primer dia</v>
      </c>
      <c r="C1911" s="202">
        <f t="shared" si="1"/>
        <v>24</v>
      </c>
      <c r="D1911" s="202" t="str">
        <f t="shared" si="2"/>
        <v> </v>
      </c>
      <c r="E1911" s="202" t="str">
        <f t="shared" si="9"/>
        <v> </v>
      </c>
      <c r="F1911" s="55" t="str">
        <f t="shared" si="4"/>
        <v/>
      </c>
      <c r="G1911" s="202" t="str">
        <f t="shared" si="5"/>
        <v/>
      </c>
      <c r="H1911" s="202" t="str">
        <f t="shared" si="11"/>
        <v> </v>
      </c>
      <c r="I1911" s="205" t="str">
        <f t="shared" si="7"/>
        <v/>
      </c>
      <c r="J1911" s="205"/>
      <c r="K1911" s="205"/>
    </row>
    <row r="1912" ht="14.25" customHeight="1">
      <c r="A1912" s="55">
        <v>47567.0</v>
      </c>
      <c r="B1912" s="55" t="str">
        <f t="shared" si="10"/>
        <v>Primer dia</v>
      </c>
      <c r="C1912" s="202">
        <f t="shared" si="1"/>
        <v>25</v>
      </c>
      <c r="D1912" s="202" t="str">
        <f t="shared" si="2"/>
        <v> </v>
      </c>
      <c r="E1912" s="202" t="str">
        <f t="shared" si="9"/>
        <v> </v>
      </c>
      <c r="F1912" s="55" t="str">
        <f t="shared" si="4"/>
        <v/>
      </c>
      <c r="G1912" s="202" t="str">
        <f t="shared" si="5"/>
        <v/>
      </c>
      <c r="H1912" s="202" t="str">
        <f t="shared" si="11"/>
        <v> </v>
      </c>
      <c r="I1912" s="205" t="str">
        <f t="shared" si="7"/>
        <v/>
      </c>
      <c r="J1912" s="205"/>
      <c r="K1912" s="205"/>
    </row>
    <row r="1913" ht="14.25" customHeight="1">
      <c r="A1913" s="55">
        <v>47568.0</v>
      </c>
      <c r="B1913" s="55" t="str">
        <f t="shared" si="10"/>
        <v>Primer dia</v>
      </c>
      <c r="C1913" s="202">
        <f t="shared" si="1"/>
        <v>26</v>
      </c>
      <c r="D1913" s="202" t="str">
        <f t="shared" si="2"/>
        <v> </v>
      </c>
      <c r="E1913" s="202" t="str">
        <f t="shared" si="9"/>
        <v> </v>
      </c>
      <c r="F1913" s="55" t="str">
        <f t="shared" si="4"/>
        <v/>
      </c>
      <c r="G1913" s="202" t="str">
        <f t="shared" si="5"/>
        <v/>
      </c>
      <c r="H1913" s="202" t="str">
        <f t="shared" si="11"/>
        <v> </v>
      </c>
      <c r="I1913" s="205" t="str">
        <f t="shared" si="7"/>
        <v/>
      </c>
      <c r="J1913" s="205"/>
      <c r="K1913" s="205"/>
    </row>
    <row r="1914" ht="14.25" customHeight="1">
      <c r="A1914" s="55">
        <v>47569.0</v>
      </c>
      <c r="B1914" s="55" t="str">
        <f t="shared" si="10"/>
        <v>Primer dia</v>
      </c>
      <c r="C1914" s="202">
        <f t="shared" si="1"/>
        <v>27</v>
      </c>
      <c r="D1914" s="202" t="str">
        <f t="shared" si="2"/>
        <v> </v>
      </c>
      <c r="E1914" s="202" t="str">
        <f t="shared" si="9"/>
        <v> </v>
      </c>
      <c r="F1914" s="55" t="str">
        <f t="shared" si="4"/>
        <v/>
      </c>
      <c r="G1914" s="202" t="str">
        <f t="shared" si="5"/>
        <v/>
      </c>
      <c r="H1914" s="202" t="str">
        <f t="shared" si="11"/>
        <v> </v>
      </c>
      <c r="I1914" s="205" t="str">
        <f t="shared" si="7"/>
        <v/>
      </c>
      <c r="J1914" s="205"/>
      <c r="K1914" s="205"/>
    </row>
    <row r="1915" ht="14.25" customHeight="1">
      <c r="A1915" s="55">
        <v>47570.0</v>
      </c>
      <c r="B1915" s="55" t="str">
        <f t="shared" si="10"/>
        <v>Primer dia</v>
      </c>
      <c r="C1915" s="202">
        <f t="shared" si="1"/>
        <v>28</v>
      </c>
      <c r="D1915" s="202" t="str">
        <f t="shared" si="2"/>
        <v> </v>
      </c>
      <c r="E1915" s="202" t="str">
        <f t="shared" si="9"/>
        <v> </v>
      </c>
      <c r="F1915" s="55" t="str">
        <f t="shared" si="4"/>
        <v/>
      </c>
      <c r="G1915" s="202" t="str">
        <f t="shared" si="5"/>
        <v/>
      </c>
      <c r="H1915" s="202" t="str">
        <f t="shared" si="11"/>
        <v> </v>
      </c>
      <c r="I1915" s="205" t="str">
        <f t="shared" si="7"/>
        <v/>
      </c>
      <c r="J1915" s="205"/>
      <c r="K1915" s="205"/>
    </row>
    <row r="1916" ht="14.25" customHeight="1">
      <c r="A1916" s="55">
        <v>47571.0</v>
      </c>
      <c r="B1916" s="55" t="str">
        <f t="shared" si="10"/>
        <v>Primer dia</v>
      </c>
      <c r="C1916" s="202">
        <f t="shared" si="1"/>
        <v>29</v>
      </c>
      <c r="D1916" s="202" t="str">
        <f t="shared" si="2"/>
        <v> </v>
      </c>
      <c r="E1916" s="202" t="str">
        <f t="shared" si="9"/>
        <v> </v>
      </c>
      <c r="F1916" s="55" t="str">
        <f t="shared" si="4"/>
        <v/>
      </c>
      <c r="G1916" s="202" t="str">
        <f t="shared" si="5"/>
        <v/>
      </c>
      <c r="H1916" s="202" t="str">
        <f t="shared" si="11"/>
        <v> </v>
      </c>
      <c r="I1916" s="205" t="str">
        <f t="shared" si="7"/>
        <v/>
      </c>
      <c r="J1916" s="205"/>
      <c r="K1916" s="205"/>
    </row>
    <row r="1917" ht="14.25" customHeight="1">
      <c r="A1917" s="55">
        <v>47572.0</v>
      </c>
      <c r="B1917" s="55" t="str">
        <f t="shared" si="10"/>
        <v>Primer dia</v>
      </c>
      <c r="C1917" s="202">
        <f t="shared" si="1"/>
        <v>30</v>
      </c>
      <c r="D1917" s="202" t="str">
        <f t="shared" si="2"/>
        <v> </v>
      </c>
      <c r="E1917" s="202" t="str">
        <f t="shared" si="9"/>
        <v> </v>
      </c>
      <c r="F1917" s="55" t="str">
        <f t="shared" si="4"/>
        <v/>
      </c>
      <c r="G1917" s="202" t="str">
        <f t="shared" si="5"/>
        <v/>
      </c>
      <c r="H1917" s="202" t="str">
        <f t="shared" si="11"/>
        <v> </v>
      </c>
      <c r="I1917" s="205" t="str">
        <f t="shared" si="7"/>
        <v/>
      </c>
      <c r="J1917" s="205"/>
      <c r="K1917" s="205"/>
    </row>
    <row r="1918" ht="14.25" customHeight="1">
      <c r="A1918" s="55">
        <v>47573.0</v>
      </c>
      <c r="B1918" s="55" t="str">
        <f t="shared" si="10"/>
        <v>Primer dia</v>
      </c>
      <c r="C1918" s="202">
        <f t="shared" si="1"/>
        <v>31</v>
      </c>
      <c r="D1918" s="202" t="str">
        <f t="shared" si="2"/>
        <v> </v>
      </c>
      <c r="E1918" s="202" t="str">
        <f t="shared" si="9"/>
        <v> </v>
      </c>
      <c r="F1918" s="55" t="str">
        <f t="shared" si="4"/>
        <v/>
      </c>
      <c r="G1918" s="202" t="str">
        <f t="shared" si="5"/>
        <v/>
      </c>
      <c r="H1918" s="202" t="str">
        <f t="shared" si="11"/>
        <v> </v>
      </c>
      <c r="I1918" s="205" t="str">
        <f t="shared" si="7"/>
        <v/>
      </c>
      <c r="J1918" s="205"/>
      <c r="K1918" s="205"/>
    </row>
    <row r="1919" ht="14.25" customHeight="1">
      <c r="A1919" s="55">
        <v>47574.0</v>
      </c>
      <c r="B1919" s="55" t="str">
        <f t="shared" si="10"/>
        <v>Primer dia</v>
      </c>
      <c r="C1919" s="202">
        <f t="shared" si="1"/>
        <v>1</v>
      </c>
      <c r="D1919" s="202" t="str">
        <f t="shared" si="2"/>
        <v> </v>
      </c>
      <c r="E1919" s="202" t="str">
        <f t="shared" si="9"/>
        <v> </v>
      </c>
      <c r="F1919" s="55" t="str">
        <f t="shared" si="4"/>
        <v/>
      </c>
      <c r="G1919" s="202" t="str">
        <f t="shared" si="5"/>
        <v/>
      </c>
      <c r="H1919" s="202" t="str">
        <f t="shared" si="11"/>
        <v> </v>
      </c>
      <c r="I1919" s="205" t="str">
        <f t="shared" si="7"/>
        <v/>
      </c>
      <c r="J1919" s="205"/>
      <c r="K1919" s="205"/>
    </row>
    <row r="1920" ht="14.25" customHeight="1">
      <c r="A1920" s="55">
        <v>47575.0</v>
      </c>
      <c r="B1920" s="55" t="str">
        <f t="shared" si="10"/>
        <v>Primer dia</v>
      </c>
      <c r="C1920" s="202">
        <f t="shared" si="1"/>
        <v>2</v>
      </c>
      <c r="D1920" s="202" t="str">
        <f t="shared" si="2"/>
        <v> </v>
      </c>
      <c r="E1920" s="202">
        <f t="shared" si="9"/>
        <v>2</v>
      </c>
      <c r="F1920" s="55">
        <f t="shared" si="4"/>
        <v>47575</v>
      </c>
      <c r="G1920" s="202">
        <f t="shared" si="5"/>
        <v>101</v>
      </c>
      <c r="H1920" s="202" t="str">
        <f t="shared" si="11"/>
        <v> </v>
      </c>
      <c r="I1920" s="205" t="str">
        <f t="shared" si="7"/>
        <v/>
      </c>
      <c r="J1920" s="205"/>
      <c r="K1920" s="205"/>
    </row>
    <row r="1921" ht="14.25" customHeight="1">
      <c r="A1921" s="55">
        <v>47576.0</v>
      </c>
      <c r="B1921" s="55" t="str">
        <f t="shared" si="10"/>
        <v>Primer dia</v>
      </c>
      <c r="C1921" s="202">
        <f t="shared" si="1"/>
        <v>3</v>
      </c>
      <c r="D1921" s="202" t="str">
        <f t="shared" si="2"/>
        <v> </v>
      </c>
      <c r="E1921" s="202" t="str">
        <f t="shared" si="9"/>
        <v> </v>
      </c>
      <c r="F1921" s="55" t="str">
        <f t="shared" si="4"/>
        <v/>
      </c>
      <c r="G1921" s="202" t="str">
        <f t="shared" si="5"/>
        <v/>
      </c>
      <c r="H1921" s="202" t="str">
        <f t="shared" si="11"/>
        <v> </v>
      </c>
      <c r="I1921" s="205" t="str">
        <f t="shared" si="7"/>
        <v/>
      </c>
      <c r="J1921" s="205"/>
      <c r="K1921" s="205"/>
    </row>
    <row r="1922" ht="14.25" customHeight="1">
      <c r="A1922" s="55">
        <v>47577.0</v>
      </c>
      <c r="B1922" s="55" t="str">
        <f t="shared" si="10"/>
        <v>Primer dia</v>
      </c>
      <c r="C1922" s="202">
        <f t="shared" si="1"/>
        <v>4</v>
      </c>
      <c r="D1922" s="202" t="str">
        <f t="shared" si="2"/>
        <v> </v>
      </c>
      <c r="E1922" s="202" t="str">
        <f t="shared" si="9"/>
        <v> </v>
      </c>
      <c r="F1922" s="55" t="str">
        <f t="shared" si="4"/>
        <v/>
      </c>
      <c r="G1922" s="202" t="str">
        <f t="shared" si="5"/>
        <v/>
      </c>
      <c r="H1922" s="202" t="str">
        <f t="shared" si="11"/>
        <v> </v>
      </c>
      <c r="I1922" s="205" t="str">
        <f t="shared" si="7"/>
        <v/>
      </c>
      <c r="J1922" s="205"/>
      <c r="K1922" s="205"/>
    </row>
    <row r="1923" ht="14.25" customHeight="1">
      <c r="A1923" s="55">
        <v>47578.0</v>
      </c>
      <c r="B1923" s="55" t="str">
        <f t="shared" si="10"/>
        <v>Primer dia</v>
      </c>
      <c r="C1923" s="202">
        <f t="shared" si="1"/>
        <v>5</v>
      </c>
      <c r="D1923" s="202" t="str">
        <f t="shared" si="2"/>
        <v> </v>
      </c>
      <c r="E1923" s="202" t="str">
        <f t="shared" si="9"/>
        <v> </v>
      </c>
      <c r="F1923" s="55" t="str">
        <f t="shared" si="4"/>
        <v/>
      </c>
      <c r="G1923" s="202" t="str">
        <f t="shared" si="5"/>
        <v/>
      </c>
      <c r="H1923" s="202" t="str">
        <f t="shared" si="11"/>
        <v> </v>
      </c>
      <c r="I1923" s="205" t="str">
        <f t="shared" si="7"/>
        <v/>
      </c>
      <c r="J1923" s="205"/>
      <c r="K1923" s="205"/>
    </row>
    <row r="1924" ht="14.25" customHeight="1">
      <c r="A1924" s="55">
        <v>47579.0</v>
      </c>
      <c r="B1924" s="55" t="str">
        <f t="shared" si="10"/>
        <v>Primer dia</v>
      </c>
      <c r="C1924" s="202">
        <f t="shared" si="1"/>
        <v>6</v>
      </c>
      <c r="D1924" s="202" t="str">
        <f t="shared" si="2"/>
        <v> </v>
      </c>
      <c r="E1924" s="202" t="str">
        <f t="shared" si="9"/>
        <v> </v>
      </c>
      <c r="F1924" s="55" t="str">
        <f t="shared" si="4"/>
        <v/>
      </c>
      <c r="G1924" s="202" t="str">
        <f t="shared" si="5"/>
        <v/>
      </c>
      <c r="H1924" s="202" t="str">
        <f t="shared" si="11"/>
        <v> </v>
      </c>
      <c r="I1924" s="205" t="str">
        <f t="shared" si="7"/>
        <v/>
      </c>
      <c r="J1924" s="205"/>
      <c r="K1924" s="205"/>
    </row>
    <row r="1925" ht="14.25" customHeight="1">
      <c r="A1925" s="55">
        <v>47580.0</v>
      </c>
      <c r="B1925" s="55" t="str">
        <f t="shared" si="10"/>
        <v>Primer dia</v>
      </c>
      <c r="C1925" s="202">
        <f t="shared" si="1"/>
        <v>7</v>
      </c>
      <c r="D1925" s="202" t="str">
        <f t="shared" si="2"/>
        <v> </v>
      </c>
      <c r="E1925" s="202" t="str">
        <f t="shared" si="9"/>
        <v> </v>
      </c>
      <c r="F1925" s="55" t="str">
        <f t="shared" si="4"/>
        <v/>
      </c>
      <c r="G1925" s="202" t="str">
        <f t="shared" si="5"/>
        <v/>
      </c>
      <c r="H1925" s="202" t="str">
        <f t="shared" si="11"/>
        <v> </v>
      </c>
      <c r="I1925" s="205" t="str">
        <f t="shared" si="7"/>
        <v/>
      </c>
      <c r="J1925" s="205"/>
      <c r="K1925" s="205"/>
    </row>
    <row r="1926" ht="14.25" customHeight="1">
      <c r="A1926" s="55">
        <v>47581.0</v>
      </c>
      <c r="B1926" s="55" t="str">
        <f t="shared" si="10"/>
        <v>Primer dia</v>
      </c>
      <c r="C1926" s="202">
        <f t="shared" si="1"/>
        <v>8</v>
      </c>
      <c r="D1926" s="202" t="str">
        <f t="shared" si="2"/>
        <v> </v>
      </c>
      <c r="E1926" s="202" t="str">
        <f t="shared" si="9"/>
        <v> </v>
      </c>
      <c r="F1926" s="55" t="str">
        <f t="shared" si="4"/>
        <v/>
      </c>
      <c r="G1926" s="202" t="str">
        <f t="shared" si="5"/>
        <v/>
      </c>
      <c r="H1926" s="202" t="str">
        <f t="shared" si="11"/>
        <v> </v>
      </c>
      <c r="I1926" s="205" t="str">
        <f t="shared" si="7"/>
        <v/>
      </c>
      <c r="J1926" s="205"/>
      <c r="K1926" s="205"/>
    </row>
    <row r="1927" ht="14.25" customHeight="1">
      <c r="A1927" s="55">
        <v>47582.0</v>
      </c>
      <c r="B1927" s="55" t="str">
        <f t="shared" si="10"/>
        <v>Primer dia</v>
      </c>
      <c r="C1927" s="202">
        <f t="shared" si="1"/>
        <v>9</v>
      </c>
      <c r="D1927" s="202" t="str">
        <f t="shared" si="2"/>
        <v> </v>
      </c>
      <c r="E1927" s="202" t="str">
        <f t="shared" si="9"/>
        <v> </v>
      </c>
      <c r="F1927" s="55" t="str">
        <f t="shared" si="4"/>
        <v/>
      </c>
      <c r="G1927" s="202" t="str">
        <f t="shared" si="5"/>
        <v/>
      </c>
      <c r="H1927" s="202" t="str">
        <f t="shared" si="11"/>
        <v> </v>
      </c>
      <c r="I1927" s="205" t="str">
        <f t="shared" si="7"/>
        <v/>
      </c>
      <c r="J1927" s="205"/>
      <c r="K1927" s="205"/>
    </row>
    <row r="1928" ht="14.25" customHeight="1">
      <c r="A1928" s="55">
        <v>47583.0</v>
      </c>
      <c r="B1928" s="55" t="str">
        <f t="shared" si="10"/>
        <v>Primer dia</v>
      </c>
      <c r="C1928" s="202">
        <f t="shared" si="1"/>
        <v>10</v>
      </c>
      <c r="D1928" s="202" t="str">
        <f t="shared" si="2"/>
        <v> </v>
      </c>
      <c r="E1928" s="202" t="str">
        <f t="shared" si="9"/>
        <v> </v>
      </c>
      <c r="F1928" s="55" t="str">
        <f t="shared" si="4"/>
        <v/>
      </c>
      <c r="G1928" s="202" t="str">
        <f t="shared" si="5"/>
        <v/>
      </c>
      <c r="H1928" s="202" t="str">
        <f t="shared" si="11"/>
        <v> </v>
      </c>
      <c r="I1928" s="205" t="str">
        <f t="shared" si="7"/>
        <v/>
      </c>
      <c r="J1928" s="205"/>
      <c r="K1928" s="205"/>
    </row>
    <row r="1929" ht="14.25" customHeight="1">
      <c r="A1929" s="55">
        <v>47584.0</v>
      </c>
      <c r="B1929" s="55" t="str">
        <f t="shared" si="10"/>
        <v>Primer dia</v>
      </c>
      <c r="C1929" s="202">
        <f t="shared" si="1"/>
        <v>11</v>
      </c>
      <c r="D1929" s="202" t="str">
        <f t="shared" si="2"/>
        <v> </v>
      </c>
      <c r="E1929" s="202" t="str">
        <f t="shared" si="9"/>
        <v> </v>
      </c>
      <c r="F1929" s="55" t="str">
        <f t="shared" si="4"/>
        <v/>
      </c>
      <c r="G1929" s="202" t="str">
        <f t="shared" si="5"/>
        <v/>
      </c>
      <c r="H1929" s="202" t="str">
        <f t="shared" si="11"/>
        <v> </v>
      </c>
      <c r="I1929" s="205" t="str">
        <f t="shared" si="7"/>
        <v/>
      </c>
      <c r="J1929" s="205"/>
      <c r="K1929" s="205"/>
    </row>
    <row r="1930" ht="14.25" customHeight="1">
      <c r="A1930" s="55">
        <v>47585.0</v>
      </c>
      <c r="B1930" s="55" t="str">
        <f t="shared" si="10"/>
        <v>Primer dia</v>
      </c>
      <c r="C1930" s="202">
        <f t="shared" si="1"/>
        <v>12</v>
      </c>
      <c r="D1930" s="202" t="str">
        <f t="shared" si="2"/>
        <v> </v>
      </c>
      <c r="E1930" s="202" t="str">
        <f t="shared" si="9"/>
        <v> </v>
      </c>
      <c r="F1930" s="55" t="str">
        <f t="shared" si="4"/>
        <v/>
      </c>
      <c r="G1930" s="202" t="str">
        <f t="shared" si="5"/>
        <v/>
      </c>
      <c r="H1930" s="202" t="str">
        <f t="shared" si="11"/>
        <v> </v>
      </c>
      <c r="I1930" s="205" t="str">
        <f t="shared" si="7"/>
        <v/>
      </c>
      <c r="J1930" s="205"/>
      <c r="K1930" s="205"/>
    </row>
    <row r="1931" ht="14.25" customHeight="1">
      <c r="A1931" s="55">
        <v>47586.0</v>
      </c>
      <c r="B1931" s="55" t="str">
        <f t="shared" si="10"/>
        <v>Primer dia</v>
      </c>
      <c r="C1931" s="202">
        <f t="shared" si="1"/>
        <v>13</v>
      </c>
      <c r="D1931" s="202" t="str">
        <f t="shared" si="2"/>
        <v> </v>
      </c>
      <c r="E1931" s="202" t="str">
        <f t="shared" si="9"/>
        <v> </v>
      </c>
      <c r="F1931" s="55" t="str">
        <f t="shared" si="4"/>
        <v/>
      </c>
      <c r="G1931" s="202" t="str">
        <f t="shared" si="5"/>
        <v/>
      </c>
      <c r="H1931" s="202" t="str">
        <f t="shared" si="11"/>
        <v> </v>
      </c>
      <c r="I1931" s="205" t="str">
        <f t="shared" si="7"/>
        <v/>
      </c>
      <c r="J1931" s="205"/>
      <c r="K1931" s="205"/>
    </row>
    <row r="1932" ht="14.25" customHeight="1">
      <c r="A1932" s="55">
        <v>47587.0</v>
      </c>
      <c r="B1932" s="55" t="str">
        <f t="shared" si="10"/>
        <v>Primer dia</v>
      </c>
      <c r="C1932" s="202">
        <f t="shared" si="1"/>
        <v>14</v>
      </c>
      <c r="D1932" s="202" t="str">
        <f t="shared" si="2"/>
        <v> </v>
      </c>
      <c r="E1932" s="202" t="str">
        <f t="shared" si="9"/>
        <v> </v>
      </c>
      <c r="F1932" s="55" t="str">
        <f t="shared" si="4"/>
        <v/>
      </c>
      <c r="G1932" s="202" t="str">
        <f t="shared" si="5"/>
        <v/>
      </c>
      <c r="H1932" s="202" t="str">
        <f t="shared" si="11"/>
        <v> </v>
      </c>
      <c r="I1932" s="205" t="str">
        <f t="shared" si="7"/>
        <v/>
      </c>
      <c r="J1932" s="205"/>
      <c r="K1932" s="205"/>
    </row>
    <row r="1933" ht="14.25" customHeight="1">
      <c r="A1933" s="55">
        <v>47588.0</v>
      </c>
      <c r="B1933" s="55" t="str">
        <f t="shared" si="10"/>
        <v>Primer dia</v>
      </c>
      <c r="C1933" s="202">
        <f t="shared" si="1"/>
        <v>15</v>
      </c>
      <c r="D1933" s="202" t="str">
        <f t="shared" si="2"/>
        <v> </v>
      </c>
      <c r="E1933" s="202" t="str">
        <f t="shared" si="9"/>
        <v> </v>
      </c>
      <c r="F1933" s="55" t="str">
        <f t="shared" si="4"/>
        <v/>
      </c>
      <c r="G1933" s="202" t="str">
        <f t="shared" si="5"/>
        <v/>
      </c>
      <c r="H1933" s="202" t="str">
        <f t="shared" si="11"/>
        <v> </v>
      </c>
      <c r="I1933" s="205" t="str">
        <f t="shared" si="7"/>
        <v/>
      </c>
      <c r="J1933" s="205"/>
      <c r="K1933" s="205"/>
    </row>
    <row r="1934" ht="14.25" customHeight="1">
      <c r="A1934" s="55">
        <v>47589.0</v>
      </c>
      <c r="B1934" s="55" t="str">
        <f t="shared" si="10"/>
        <v>Primer dia</v>
      </c>
      <c r="C1934" s="202">
        <f t="shared" si="1"/>
        <v>16</v>
      </c>
      <c r="D1934" s="202" t="str">
        <f t="shared" si="2"/>
        <v> </v>
      </c>
      <c r="E1934" s="202" t="str">
        <f t="shared" si="9"/>
        <v> </v>
      </c>
      <c r="F1934" s="55" t="str">
        <f t="shared" si="4"/>
        <v/>
      </c>
      <c r="G1934" s="202" t="str">
        <f t="shared" si="5"/>
        <v/>
      </c>
      <c r="H1934" s="202" t="str">
        <f t="shared" si="11"/>
        <v> </v>
      </c>
      <c r="I1934" s="205" t="str">
        <f t="shared" si="7"/>
        <v/>
      </c>
      <c r="J1934" s="205"/>
      <c r="K1934" s="205"/>
    </row>
    <row r="1935" ht="14.25" customHeight="1">
      <c r="A1935" s="55">
        <v>47590.0</v>
      </c>
      <c r="B1935" s="55" t="str">
        <f t="shared" si="10"/>
        <v>Primer dia</v>
      </c>
      <c r="C1935" s="202">
        <f t="shared" si="1"/>
        <v>17</v>
      </c>
      <c r="D1935" s="202" t="str">
        <f t="shared" si="2"/>
        <v> </v>
      </c>
      <c r="E1935" s="202">
        <f t="shared" si="9"/>
        <v>17</v>
      </c>
      <c r="F1935" s="55">
        <f t="shared" si="4"/>
        <v>47590</v>
      </c>
      <c r="G1935" s="202">
        <f t="shared" si="5"/>
        <v>102</v>
      </c>
      <c r="H1935" s="202" t="str">
        <f t="shared" si="11"/>
        <v> </v>
      </c>
      <c r="I1935" s="205" t="str">
        <f t="shared" si="7"/>
        <v/>
      </c>
      <c r="J1935" s="205"/>
      <c r="K1935" s="205"/>
    </row>
    <row r="1936" ht="14.25" customHeight="1">
      <c r="A1936" s="55">
        <v>47591.0</v>
      </c>
      <c r="B1936" s="55" t="str">
        <f t="shared" si="10"/>
        <v>Primer dia</v>
      </c>
      <c r="C1936" s="202">
        <f t="shared" si="1"/>
        <v>18</v>
      </c>
      <c r="D1936" s="202" t="str">
        <f t="shared" si="2"/>
        <v> </v>
      </c>
      <c r="E1936" s="202" t="str">
        <f t="shared" si="9"/>
        <v> </v>
      </c>
      <c r="F1936" s="55" t="str">
        <f t="shared" si="4"/>
        <v/>
      </c>
      <c r="G1936" s="202" t="str">
        <f t="shared" si="5"/>
        <v/>
      </c>
      <c r="H1936" s="202" t="str">
        <f t="shared" si="11"/>
        <v> </v>
      </c>
      <c r="I1936" s="205" t="str">
        <f t="shared" si="7"/>
        <v/>
      </c>
      <c r="J1936" s="205"/>
      <c r="K1936" s="205"/>
    </row>
    <row r="1937" ht="14.25" customHeight="1">
      <c r="A1937" s="55">
        <v>47592.0</v>
      </c>
      <c r="B1937" s="55" t="str">
        <f t="shared" si="10"/>
        <v>Primer dia</v>
      </c>
      <c r="C1937" s="202">
        <f t="shared" si="1"/>
        <v>19</v>
      </c>
      <c r="D1937" s="202" t="str">
        <f t="shared" si="2"/>
        <v> </v>
      </c>
      <c r="E1937" s="202" t="str">
        <f t="shared" si="9"/>
        <v> </v>
      </c>
      <c r="F1937" s="55" t="str">
        <f t="shared" si="4"/>
        <v/>
      </c>
      <c r="G1937" s="202" t="str">
        <f t="shared" si="5"/>
        <v/>
      </c>
      <c r="H1937" s="202" t="str">
        <f t="shared" si="11"/>
        <v> </v>
      </c>
      <c r="I1937" s="205" t="str">
        <f t="shared" si="7"/>
        <v/>
      </c>
      <c r="J1937" s="205"/>
      <c r="K1937" s="205"/>
    </row>
    <row r="1938" ht="14.25" customHeight="1">
      <c r="A1938" s="55">
        <v>47593.0</v>
      </c>
      <c r="B1938" s="55" t="str">
        <f t="shared" si="10"/>
        <v>Primer dia</v>
      </c>
      <c r="C1938" s="202">
        <f t="shared" si="1"/>
        <v>20</v>
      </c>
      <c r="D1938" s="202" t="str">
        <f t="shared" si="2"/>
        <v> </v>
      </c>
      <c r="E1938" s="202" t="str">
        <f t="shared" si="9"/>
        <v> </v>
      </c>
      <c r="F1938" s="55" t="str">
        <f t="shared" si="4"/>
        <v/>
      </c>
      <c r="G1938" s="202" t="str">
        <f t="shared" si="5"/>
        <v/>
      </c>
      <c r="H1938" s="202" t="str">
        <f t="shared" si="11"/>
        <v> </v>
      </c>
      <c r="I1938" s="205" t="str">
        <f t="shared" si="7"/>
        <v/>
      </c>
      <c r="J1938" s="205"/>
      <c r="K1938" s="205"/>
    </row>
    <row r="1939" ht="14.25" customHeight="1">
      <c r="A1939" s="55">
        <v>47594.0</v>
      </c>
      <c r="B1939" s="55" t="str">
        <f t="shared" si="10"/>
        <v>Primer dia</v>
      </c>
      <c r="C1939" s="202">
        <f t="shared" si="1"/>
        <v>21</v>
      </c>
      <c r="D1939" s="202" t="str">
        <f t="shared" si="2"/>
        <v> </v>
      </c>
      <c r="E1939" s="202" t="str">
        <f t="shared" si="9"/>
        <v> </v>
      </c>
      <c r="F1939" s="55" t="str">
        <f t="shared" si="4"/>
        <v/>
      </c>
      <c r="G1939" s="202" t="str">
        <f t="shared" si="5"/>
        <v/>
      </c>
      <c r="H1939" s="202" t="str">
        <f t="shared" si="11"/>
        <v> </v>
      </c>
      <c r="I1939" s="205" t="str">
        <f t="shared" si="7"/>
        <v/>
      </c>
      <c r="J1939" s="205"/>
      <c r="K1939" s="205"/>
    </row>
    <row r="1940" ht="14.25" customHeight="1">
      <c r="A1940" s="55">
        <v>47595.0</v>
      </c>
      <c r="B1940" s="55" t="str">
        <f t="shared" si="10"/>
        <v>Primer dia</v>
      </c>
      <c r="C1940" s="202">
        <f t="shared" si="1"/>
        <v>22</v>
      </c>
      <c r="D1940" s="202" t="str">
        <f t="shared" si="2"/>
        <v> </v>
      </c>
      <c r="E1940" s="202" t="str">
        <f t="shared" si="9"/>
        <v> </v>
      </c>
      <c r="F1940" s="55" t="str">
        <f t="shared" si="4"/>
        <v/>
      </c>
      <c r="G1940" s="202" t="str">
        <f t="shared" si="5"/>
        <v/>
      </c>
      <c r="H1940" s="202" t="str">
        <f t="shared" si="11"/>
        <v> </v>
      </c>
      <c r="I1940" s="205" t="str">
        <f t="shared" si="7"/>
        <v/>
      </c>
      <c r="J1940" s="205"/>
      <c r="K1940" s="205"/>
    </row>
    <row r="1941" ht="14.25" customHeight="1">
      <c r="A1941" s="55">
        <v>47596.0</v>
      </c>
      <c r="B1941" s="55" t="str">
        <f t="shared" si="10"/>
        <v>Primer dia</v>
      </c>
      <c r="C1941" s="202">
        <f t="shared" si="1"/>
        <v>23</v>
      </c>
      <c r="D1941" s="202" t="str">
        <f t="shared" si="2"/>
        <v> </v>
      </c>
      <c r="E1941" s="202" t="str">
        <f t="shared" si="9"/>
        <v> </v>
      </c>
      <c r="F1941" s="55" t="str">
        <f t="shared" si="4"/>
        <v/>
      </c>
      <c r="G1941" s="202" t="str">
        <f t="shared" si="5"/>
        <v/>
      </c>
      <c r="H1941" s="202" t="str">
        <f t="shared" si="11"/>
        <v> </v>
      </c>
      <c r="I1941" s="205" t="str">
        <f t="shared" si="7"/>
        <v/>
      </c>
      <c r="J1941" s="205"/>
      <c r="K1941" s="205"/>
    </row>
    <row r="1942" ht="14.25" customHeight="1">
      <c r="A1942" s="55">
        <v>47597.0</v>
      </c>
      <c r="B1942" s="55" t="str">
        <f t="shared" si="10"/>
        <v>Primer dia</v>
      </c>
      <c r="C1942" s="202">
        <f t="shared" si="1"/>
        <v>24</v>
      </c>
      <c r="D1942" s="202" t="str">
        <f t="shared" si="2"/>
        <v> </v>
      </c>
      <c r="E1942" s="202" t="str">
        <f t="shared" si="9"/>
        <v> </v>
      </c>
      <c r="F1942" s="55" t="str">
        <f t="shared" si="4"/>
        <v/>
      </c>
      <c r="G1942" s="202" t="str">
        <f t="shared" si="5"/>
        <v/>
      </c>
      <c r="H1942" s="202" t="str">
        <f t="shared" si="11"/>
        <v> </v>
      </c>
      <c r="I1942" s="205" t="str">
        <f t="shared" si="7"/>
        <v/>
      </c>
      <c r="J1942" s="205"/>
      <c r="K1942" s="205"/>
    </row>
    <row r="1943" ht="14.25" customHeight="1">
      <c r="A1943" s="55">
        <v>47598.0</v>
      </c>
      <c r="B1943" s="55" t="str">
        <f t="shared" si="10"/>
        <v>Primer dia</v>
      </c>
      <c r="C1943" s="202">
        <f t="shared" si="1"/>
        <v>25</v>
      </c>
      <c r="D1943" s="202" t="str">
        <f t="shared" si="2"/>
        <v> </v>
      </c>
      <c r="E1943" s="202" t="str">
        <f t="shared" si="9"/>
        <v> </v>
      </c>
      <c r="F1943" s="55" t="str">
        <f t="shared" si="4"/>
        <v/>
      </c>
      <c r="G1943" s="202" t="str">
        <f t="shared" si="5"/>
        <v/>
      </c>
      <c r="H1943" s="202" t="str">
        <f t="shared" si="11"/>
        <v> </v>
      </c>
      <c r="I1943" s="205" t="str">
        <f t="shared" si="7"/>
        <v/>
      </c>
      <c r="J1943" s="205"/>
      <c r="K1943" s="205"/>
    </row>
    <row r="1944" ht="14.25" customHeight="1">
      <c r="A1944" s="55">
        <v>47599.0</v>
      </c>
      <c r="B1944" s="55" t="str">
        <f t="shared" si="10"/>
        <v>Primer dia</v>
      </c>
      <c r="C1944" s="202">
        <f t="shared" si="1"/>
        <v>26</v>
      </c>
      <c r="D1944" s="202" t="str">
        <f t="shared" si="2"/>
        <v> </v>
      </c>
      <c r="E1944" s="202" t="str">
        <f t="shared" si="9"/>
        <v> </v>
      </c>
      <c r="F1944" s="55" t="str">
        <f t="shared" si="4"/>
        <v/>
      </c>
      <c r="G1944" s="202" t="str">
        <f t="shared" si="5"/>
        <v/>
      </c>
      <c r="H1944" s="202" t="str">
        <f t="shared" si="11"/>
        <v> </v>
      </c>
      <c r="I1944" s="205" t="str">
        <f t="shared" si="7"/>
        <v/>
      </c>
      <c r="J1944" s="205"/>
      <c r="K1944" s="205"/>
    </row>
    <row r="1945" ht="14.25" customHeight="1">
      <c r="A1945" s="55">
        <v>47600.0</v>
      </c>
      <c r="B1945" s="55" t="str">
        <f t="shared" si="10"/>
        <v>Primer dia</v>
      </c>
      <c r="C1945" s="202">
        <f t="shared" si="1"/>
        <v>27</v>
      </c>
      <c r="D1945" s="202" t="str">
        <f t="shared" si="2"/>
        <v> </v>
      </c>
      <c r="E1945" s="202" t="str">
        <f t="shared" si="9"/>
        <v> </v>
      </c>
      <c r="F1945" s="55" t="str">
        <f t="shared" si="4"/>
        <v/>
      </c>
      <c r="G1945" s="202" t="str">
        <f t="shared" si="5"/>
        <v/>
      </c>
      <c r="H1945" s="202" t="str">
        <f t="shared" si="11"/>
        <v> </v>
      </c>
      <c r="I1945" s="205" t="str">
        <f t="shared" si="7"/>
        <v/>
      </c>
      <c r="J1945" s="205"/>
      <c r="K1945" s="205"/>
    </row>
    <row r="1946" ht="14.25" customHeight="1">
      <c r="A1946" s="55">
        <v>47601.0</v>
      </c>
      <c r="B1946" s="55" t="str">
        <f t="shared" si="10"/>
        <v>Primer dia</v>
      </c>
      <c r="C1946" s="202">
        <f t="shared" si="1"/>
        <v>28</v>
      </c>
      <c r="D1946" s="202" t="str">
        <f t="shared" si="2"/>
        <v> </v>
      </c>
      <c r="E1946" s="202" t="str">
        <f t="shared" si="9"/>
        <v> </v>
      </c>
      <c r="F1946" s="55" t="str">
        <f t="shared" si="4"/>
        <v/>
      </c>
      <c r="G1946" s="202" t="str">
        <f t="shared" si="5"/>
        <v/>
      </c>
      <c r="H1946" s="202" t="str">
        <f t="shared" si="11"/>
        <v> </v>
      </c>
      <c r="I1946" s="205" t="str">
        <f t="shared" si="7"/>
        <v/>
      </c>
      <c r="J1946" s="205"/>
      <c r="K1946" s="205"/>
    </row>
    <row r="1947" ht="14.25" customHeight="1">
      <c r="A1947" s="55">
        <v>47602.0</v>
      </c>
      <c r="B1947" s="55" t="str">
        <f t="shared" si="10"/>
        <v>Primer dia</v>
      </c>
      <c r="C1947" s="202">
        <f t="shared" si="1"/>
        <v>29</v>
      </c>
      <c r="D1947" s="202" t="str">
        <f t="shared" si="2"/>
        <v> </v>
      </c>
      <c r="E1947" s="202" t="str">
        <f t="shared" si="9"/>
        <v> </v>
      </c>
      <c r="F1947" s="55" t="str">
        <f t="shared" si="4"/>
        <v/>
      </c>
      <c r="G1947" s="202" t="str">
        <f t="shared" si="5"/>
        <v/>
      </c>
      <c r="H1947" s="202" t="str">
        <f t="shared" si="11"/>
        <v> </v>
      </c>
      <c r="I1947" s="205" t="str">
        <f t="shared" si="7"/>
        <v/>
      </c>
      <c r="J1947" s="205"/>
      <c r="K1947" s="205"/>
    </row>
    <row r="1948" ht="14.25" customHeight="1">
      <c r="A1948" s="55">
        <v>47603.0</v>
      </c>
      <c r="B1948" s="55" t="str">
        <f t="shared" si="10"/>
        <v>Primer dia</v>
      </c>
      <c r="C1948" s="202">
        <f t="shared" si="1"/>
        <v>30</v>
      </c>
      <c r="D1948" s="202" t="str">
        <f t="shared" si="2"/>
        <v> </v>
      </c>
      <c r="E1948" s="202" t="str">
        <f t="shared" si="9"/>
        <v> </v>
      </c>
      <c r="F1948" s="55" t="str">
        <f t="shared" si="4"/>
        <v/>
      </c>
      <c r="G1948" s="202" t="str">
        <f t="shared" si="5"/>
        <v/>
      </c>
      <c r="H1948" s="202" t="str">
        <f t="shared" si="11"/>
        <v> </v>
      </c>
      <c r="I1948" s="205" t="str">
        <f t="shared" si="7"/>
        <v/>
      </c>
      <c r="J1948" s="205"/>
      <c r="K1948" s="205"/>
    </row>
    <row r="1949" ht="14.25" customHeight="1">
      <c r="A1949" s="55">
        <v>47604.0</v>
      </c>
      <c r="B1949" s="55" t="str">
        <f t="shared" si="10"/>
        <v>Primer dia</v>
      </c>
      <c r="C1949" s="202">
        <f t="shared" si="1"/>
        <v>1</v>
      </c>
      <c r="D1949" s="202" t="str">
        <f t="shared" si="2"/>
        <v> </v>
      </c>
      <c r="E1949" s="202" t="str">
        <f t="shared" si="9"/>
        <v> </v>
      </c>
      <c r="F1949" s="55" t="str">
        <f t="shared" si="4"/>
        <v/>
      </c>
      <c r="G1949" s="202" t="str">
        <f t="shared" si="5"/>
        <v/>
      </c>
      <c r="H1949" s="202" t="str">
        <f t="shared" si="11"/>
        <v> </v>
      </c>
      <c r="I1949" s="205" t="str">
        <f t="shared" si="7"/>
        <v/>
      </c>
      <c r="J1949" s="205"/>
      <c r="K1949" s="205"/>
    </row>
    <row r="1950" ht="14.25" customHeight="1">
      <c r="A1950" s="55">
        <v>47605.0</v>
      </c>
      <c r="B1950" s="55" t="str">
        <f t="shared" si="10"/>
        <v>Primer dia</v>
      </c>
      <c r="C1950" s="202">
        <f t="shared" si="1"/>
        <v>2</v>
      </c>
      <c r="D1950" s="202" t="str">
        <f t="shared" si="2"/>
        <v> </v>
      </c>
      <c r="E1950" s="202">
        <f t="shared" si="9"/>
        <v>2</v>
      </c>
      <c r="F1950" s="55">
        <f t="shared" si="4"/>
        <v>47605</v>
      </c>
      <c r="G1950" s="202">
        <f t="shared" si="5"/>
        <v>103</v>
      </c>
      <c r="H1950" s="202" t="str">
        <f t="shared" si="11"/>
        <v> </v>
      </c>
      <c r="I1950" s="205" t="str">
        <f t="shared" si="7"/>
        <v/>
      </c>
      <c r="J1950" s="205"/>
      <c r="K1950" s="205"/>
    </row>
    <row r="1951" ht="14.25" customHeight="1">
      <c r="A1951" s="55">
        <v>47606.0</v>
      </c>
      <c r="B1951" s="55" t="str">
        <f t="shared" si="10"/>
        <v>Primer dia</v>
      </c>
      <c r="C1951" s="202">
        <f t="shared" si="1"/>
        <v>3</v>
      </c>
      <c r="D1951" s="202" t="str">
        <f t="shared" si="2"/>
        <v> </v>
      </c>
      <c r="E1951" s="202" t="str">
        <f t="shared" si="9"/>
        <v> </v>
      </c>
      <c r="F1951" s="55" t="str">
        <f t="shared" si="4"/>
        <v/>
      </c>
      <c r="G1951" s="202" t="str">
        <f t="shared" si="5"/>
        <v/>
      </c>
      <c r="H1951" s="202" t="str">
        <f t="shared" si="11"/>
        <v> </v>
      </c>
      <c r="I1951" s="205" t="str">
        <f t="shared" si="7"/>
        <v/>
      </c>
      <c r="J1951" s="205"/>
      <c r="K1951" s="205"/>
    </row>
    <row r="1952" ht="14.25" customHeight="1">
      <c r="A1952" s="55">
        <v>47607.0</v>
      </c>
      <c r="B1952" s="55" t="str">
        <f t="shared" si="10"/>
        <v>Primer dia</v>
      </c>
      <c r="C1952" s="202">
        <f t="shared" si="1"/>
        <v>4</v>
      </c>
      <c r="D1952" s="202" t="str">
        <f t="shared" si="2"/>
        <v> </v>
      </c>
      <c r="E1952" s="202" t="str">
        <f t="shared" si="9"/>
        <v> </v>
      </c>
      <c r="F1952" s="55" t="str">
        <f t="shared" si="4"/>
        <v/>
      </c>
      <c r="G1952" s="202" t="str">
        <f t="shared" si="5"/>
        <v/>
      </c>
      <c r="H1952" s="202" t="str">
        <f t="shared" si="11"/>
        <v> </v>
      </c>
      <c r="I1952" s="205" t="str">
        <f t="shared" si="7"/>
        <v/>
      </c>
      <c r="J1952" s="205"/>
      <c r="K1952" s="205"/>
    </row>
    <row r="1953" ht="14.25" customHeight="1">
      <c r="A1953" s="55">
        <v>47608.0</v>
      </c>
      <c r="B1953" s="55" t="str">
        <f t="shared" si="10"/>
        <v>Primer dia</v>
      </c>
      <c r="C1953" s="202">
        <f t="shared" si="1"/>
        <v>5</v>
      </c>
      <c r="D1953" s="202" t="str">
        <f t="shared" si="2"/>
        <v> </v>
      </c>
      <c r="E1953" s="202" t="str">
        <f t="shared" si="9"/>
        <v> </v>
      </c>
      <c r="F1953" s="55" t="str">
        <f t="shared" si="4"/>
        <v/>
      </c>
      <c r="G1953" s="202" t="str">
        <f t="shared" si="5"/>
        <v/>
      </c>
      <c r="H1953" s="202" t="str">
        <f t="shared" si="11"/>
        <v> </v>
      </c>
      <c r="I1953" s="205" t="str">
        <f t="shared" si="7"/>
        <v/>
      </c>
      <c r="J1953" s="205"/>
      <c r="K1953" s="205"/>
    </row>
    <row r="1954" ht="14.25" customHeight="1">
      <c r="A1954" s="55">
        <v>47609.0</v>
      </c>
      <c r="B1954" s="55" t="str">
        <f t="shared" si="10"/>
        <v>Primer dia</v>
      </c>
      <c r="C1954" s="202">
        <f t="shared" si="1"/>
        <v>6</v>
      </c>
      <c r="D1954" s="202" t="str">
        <f t="shared" si="2"/>
        <v> </v>
      </c>
      <c r="E1954" s="202" t="str">
        <f t="shared" si="9"/>
        <v> </v>
      </c>
      <c r="F1954" s="55" t="str">
        <f t="shared" si="4"/>
        <v/>
      </c>
      <c r="G1954" s="202" t="str">
        <f t="shared" si="5"/>
        <v/>
      </c>
      <c r="H1954" s="202" t="str">
        <f t="shared" si="11"/>
        <v> </v>
      </c>
      <c r="I1954" s="205" t="str">
        <f t="shared" si="7"/>
        <v/>
      </c>
      <c r="J1954" s="205"/>
      <c r="K1954" s="205"/>
    </row>
    <row r="1955" ht="14.25" customHeight="1">
      <c r="A1955" s="55">
        <v>47610.0</v>
      </c>
      <c r="B1955" s="55" t="str">
        <f t="shared" si="10"/>
        <v>Primer dia</v>
      </c>
      <c r="C1955" s="202">
        <f t="shared" si="1"/>
        <v>7</v>
      </c>
      <c r="D1955" s="202" t="str">
        <f t="shared" si="2"/>
        <v> </v>
      </c>
      <c r="E1955" s="202" t="str">
        <f t="shared" si="9"/>
        <v> </v>
      </c>
      <c r="F1955" s="55" t="str">
        <f t="shared" si="4"/>
        <v/>
      </c>
      <c r="G1955" s="202" t="str">
        <f t="shared" si="5"/>
        <v/>
      </c>
      <c r="H1955" s="202" t="str">
        <f t="shared" si="11"/>
        <v> </v>
      </c>
      <c r="I1955" s="205" t="str">
        <f t="shared" si="7"/>
        <v/>
      </c>
      <c r="J1955" s="205"/>
      <c r="K1955" s="205"/>
    </row>
    <row r="1956" ht="14.25" customHeight="1">
      <c r="A1956" s="55">
        <v>47611.0</v>
      </c>
      <c r="B1956" s="55" t="str">
        <f t="shared" si="10"/>
        <v>Primer dia</v>
      </c>
      <c r="C1956" s="202">
        <f t="shared" si="1"/>
        <v>8</v>
      </c>
      <c r="D1956" s="202" t="str">
        <f t="shared" si="2"/>
        <v> </v>
      </c>
      <c r="E1956" s="202" t="str">
        <f t="shared" si="9"/>
        <v> </v>
      </c>
      <c r="F1956" s="55" t="str">
        <f t="shared" si="4"/>
        <v/>
      </c>
      <c r="G1956" s="202" t="str">
        <f t="shared" si="5"/>
        <v/>
      </c>
      <c r="H1956" s="202" t="str">
        <f t="shared" si="11"/>
        <v> </v>
      </c>
      <c r="I1956" s="205" t="str">
        <f t="shared" si="7"/>
        <v/>
      </c>
      <c r="J1956" s="205"/>
      <c r="K1956" s="205"/>
    </row>
    <row r="1957" ht="14.25" customHeight="1">
      <c r="A1957" s="55">
        <v>47612.0</v>
      </c>
      <c r="B1957" s="55" t="str">
        <f t="shared" si="10"/>
        <v>Primer dia</v>
      </c>
      <c r="C1957" s="202">
        <f t="shared" si="1"/>
        <v>9</v>
      </c>
      <c r="D1957" s="202" t="str">
        <f t="shared" si="2"/>
        <v> </v>
      </c>
      <c r="E1957" s="202" t="str">
        <f t="shared" si="9"/>
        <v> </v>
      </c>
      <c r="F1957" s="55" t="str">
        <f t="shared" si="4"/>
        <v/>
      </c>
      <c r="G1957" s="202" t="str">
        <f t="shared" si="5"/>
        <v/>
      </c>
      <c r="H1957" s="202" t="str">
        <f t="shared" si="11"/>
        <v> </v>
      </c>
      <c r="I1957" s="205" t="str">
        <f t="shared" si="7"/>
        <v/>
      </c>
      <c r="J1957" s="205"/>
      <c r="K1957" s="205"/>
    </row>
    <row r="1958" ht="14.25" customHeight="1">
      <c r="A1958" s="55">
        <v>47613.0</v>
      </c>
      <c r="B1958" s="55" t="str">
        <f t="shared" si="10"/>
        <v>Primer dia</v>
      </c>
      <c r="C1958" s="202">
        <f t="shared" si="1"/>
        <v>10</v>
      </c>
      <c r="D1958" s="202" t="str">
        <f t="shared" si="2"/>
        <v> </v>
      </c>
      <c r="E1958" s="202" t="str">
        <f t="shared" si="9"/>
        <v> </v>
      </c>
      <c r="F1958" s="55" t="str">
        <f t="shared" si="4"/>
        <v/>
      </c>
      <c r="G1958" s="202" t="str">
        <f t="shared" si="5"/>
        <v/>
      </c>
      <c r="H1958" s="202" t="str">
        <f t="shared" si="11"/>
        <v> </v>
      </c>
      <c r="I1958" s="205" t="str">
        <f t="shared" si="7"/>
        <v/>
      </c>
      <c r="J1958" s="205"/>
      <c r="K1958" s="205"/>
    </row>
    <row r="1959" ht="14.25" customHeight="1">
      <c r="A1959" s="55">
        <v>47614.0</v>
      </c>
      <c r="B1959" s="55" t="str">
        <f t="shared" si="10"/>
        <v>Primer dia</v>
      </c>
      <c r="C1959" s="202">
        <f t="shared" si="1"/>
        <v>11</v>
      </c>
      <c r="D1959" s="202" t="str">
        <f t="shared" si="2"/>
        <v> </v>
      </c>
      <c r="E1959" s="202" t="str">
        <f t="shared" si="9"/>
        <v> </v>
      </c>
      <c r="F1959" s="55" t="str">
        <f t="shared" si="4"/>
        <v/>
      </c>
      <c r="G1959" s="202" t="str">
        <f t="shared" si="5"/>
        <v/>
      </c>
      <c r="H1959" s="202" t="str">
        <f t="shared" si="11"/>
        <v> </v>
      </c>
      <c r="I1959" s="205" t="str">
        <f t="shared" si="7"/>
        <v/>
      </c>
      <c r="J1959" s="205"/>
      <c r="K1959" s="205"/>
    </row>
    <row r="1960" ht="14.25" customHeight="1">
      <c r="A1960" s="55">
        <v>47615.0</v>
      </c>
      <c r="B1960" s="55" t="str">
        <f t="shared" si="10"/>
        <v>Primer dia</v>
      </c>
      <c r="C1960" s="202">
        <f t="shared" si="1"/>
        <v>12</v>
      </c>
      <c r="D1960" s="202" t="str">
        <f t="shared" si="2"/>
        <v> </v>
      </c>
      <c r="E1960" s="202" t="str">
        <f t="shared" si="9"/>
        <v> </v>
      </c>
      <c r="F1960" s="55" t="str">
        <f t="shared" si="4"/>
        <v/>
      </c>
      <c r="G1960" s="202" t="str">
        <f t="shared" si="5"/>
        <v/>
      </c>
      <c r="H1960" s="202" t="str">
        <f t="shared" si="11"/>
        <v> </v>
      </c>
      <c r="I1960" s="205" t="str">
        <f t="shared" si="7"/>
        <v/>
      </c>
      <c r="J1960" s="205"/>
      <c r="K1960" s="205"/>
    </row>
    <row r="1961" ht="14.25" customHeight="1">
      <c r="A1961" s="55">
        <v>47616.0</v>
      </c>
      <c r="B1961" s="55" t="str">
        <f t="shared" si="10"/>
        <v>Primer dia</v>
      </c>
      <c r="C1961" s="202">
        <f t="shared" si="1"/>
        <v>13</v>
      </c>
      <c r="D1961" s="202" t="str">
        <f t="shared" si="2"/>
        <v> </v>
      </c>
      <c r="E1961" s="202" t="str">
        <f t="shared" si="9"/>
        <v> </v>
      </c>
      <c r="F1961" s="55" t="str">
        <f t="shared" si="4"/>
        <v/>
      </c>
      <c r="G1961" s="202" t="str">
        <f t="shared" si="5"/>
        <v/>
      </c>
      <c r="H1961" s="202" t="str">
        <f t="shared" si="11"/>
        <v> </v>
      </c>
      <c r="I1961" s="205" t="str">
        <f t="shared" si="7"/>
        <v/>
      </c>
      <c r="J1961" s="205"/>
      <c r="K1961" s="205"/>
    </row>
    <row r="1962" ht="14.25" customHeight="1">
      <c r="A1962" s="55">
        <v>47617.0</v>
      </c>
      <c r="B1962" s="55" t="str">
        <f t="shared" si="10"/>
        <v>Primer dia</v>
      </c>
      <c r="C1962" s="202">
        <f t="shared" si="1"/>
        <v>14</v>
      </c>
      <c r="D1962" s="202" t="str">
        <f t="shared" si="2"/>
        <v> </v>
      </c>
      <c r="E1962" s="202" t="str">
        <f t="shared" si="9"/>
        <v> </v>
      </c>
      <c r="F1962" s="55" t="str">
        <f t="shared" si="4"/>
        <v/>
      </c>
      <c r="G1962" s="202" t="str">
        <f t="shared" si="5"/>
        <v/>
      </c>
      <c r="H1962" s="202" t="str">
        <f t="shared" si="11"/>
        <v> </v>
      </c>
      <c r="I1962" s="205" t="str">
        <f t="shared" si="7"/>
        <v/>
      </c>
      <c r="J1962" s="205"/>
      <c r="K1962" s="205"/>
    </row>
    <row r="1963" ht="14.25" customHeight="1">
      <c r="A1963" s="55">
        <v>47618.0</v>
      </c>
      <c r="B1963" s="55" t="str">
        <f t="shared" si="10"/>
        <v>Primer dia</v>
      </c>
      <c r="C1963" s="202">
        <f t="shared" si="1"/>
        <v>15</v>
      </c>
      <c r="D1963" s="202" t="str">
        <f t="shared" si="2"/>
        <v> </v>
      </c>
      <c r="E1963" s="202" t="str">
        <f t="shared" si="9"/>
        <v> </v>
      </c>
      <c r="F1963" s="55" t="str">
        <f t="shared" si="4"/>
        <v/>
      </c>
      <c r="G1963" s="202" t="str">
        <f t="shared" si="5"/>
        <v/>
      </c>
      <c r="H1963" s="202" t="str">
        <f t="shared" si="11"/>
        <v> </v>
      </c>
      <c r="I1963" s="205" t="str">
        <f t="shared" si="7"/>
        <v/>
      </c>
      <c r="J1963" s="205"/>
      <c r="K1963" s="205"/>
    </row>
    <row r="1964" ht="14.25" customHeight="1">
      <c r="A1964" s="55">
        <v>47619.0</v>
      </c>
      <c r="B1964" s="55" t="str">
        <f t="shared" si="10"/>
        <v>Primer dia</v>
      </c>
      <c r="C1964" s="202">
        <f t="shared" si="1"/>
        <v>16</v>
      </c>
      <c r="D1964" s="202" t="str">
        <f t="shared" si="2"/>
        <v> </v>
      </c>
      <c r="E1964" s="202" t="str">
        <f t="shared" si="9"/>
        <v> </v>
      </c>
      <c r="F1964" s="55" t="str">
        <f t="shared" si="4"/>
        <v/>
      </c>
      <c r="G1964" s="202" t="str">
        <f t="shared" si="5"/>
        <v/>
      </c>
      <c r="H1964" s="202" t="str">
        <f t="shared" si="11"/>
        <v> </v>
      </c>
      <c r="I1964" s="205" t="str">
        <f t="shared" si="7"/>
        <v/>
      </c>
      <c r="J1964" s="205"/>
      <c r="K1964" s="205"/>
    </row>
    <row r="1965" ht="14.25" customHeight="1">
      <c r="A1965" s="55">
        <v>47620.0</v>
      </c>
      <c r="B1965" s="55" t="str">
        <f t="shared" si="10"/>
        <v>Primer dia</v>
      </c>
      <c r="C1965" s="202">
        <f t="shared" si="1"/>
        <v>17</v>
      </c>
      <c r="D1965" s="202" t="str">
        <f t="shared" si="2"/>
        <v> </v>
      </c>
      <c r="E1965" s="202">
        <f t="shared" si="9"/>
        <v>17</v>
      </c>
      <c r="F1965" s="55">
        <f t="shared" si="4"/>
        <v>47620</v>
      </c>
      <c r="G1965" s="202">
        <f t="shared" si="5"/>
        <v>104</v>
      </c>
      <c r="H1965" s="202" t="str">
        <f t="shared" si="11"/>
        <v> </v>
      </c>
      <c r="I1965" s="205" t="str">
        <f t="shared" si="7"/>
        <v/>
      </c>
      <c r="J1965" s="205"/>
      <c r="K1965" s="205"/>
    </row>
    <row r="1966" ht="14.25" customHeight="1">
      <c r="A1966" s="55">
        <v>47621.0</v>
      </c>
      <c r="B1966" s="55" t="str">
        <f t="shared" si="10"/>
        <v>Primer dia</v>
      </c>
      <c r="C1966" s="202">
        <f t="shared" si="1"/>
        <v>18</v>
      </c>
      <c r="D1966" s="202" t="str">
        <f t="shared" si="2"/>
        <v> </v>
      </c>
      <c r="E1966" s="202" t="str">
        <f t="shared" si="9"/>
        <v> </v>
      </c>
      <c r="F1966" s="55" t="str">
        <f t="shared" si="4"/>
        <v/>
      </c>
      <c r="G1966" s="202" t="str">
        <f t="shared" si="5"/>
        <v/>
      </c>
      <c r="H1966" s="202" t="str">
        <f t="shared" si="11"/>
        <v> </v>
      </c>
      <c r="I1966" s="205" t="str">
        <f t="shared" si="7"/>
        <v/>
      </c>
      <c r="J1966" s="205"/>
      <c r="K1966" s="205"/>
    </row>
    <row r="1967" ht="14.25" customHeight="1">
      <c r="A1967" s="55">
        <v>47622.0</v>
      </c>
      <c r="B1967" s="55" t="str">
        <f t="shared" si="10"/>
        <v>Primer dia</v>
      </c>
      <c r="C1967" s="202">
        <f t="shared" si="1"/>
        <v>19</v>
      </c>
      <c r="D1967" s="202" t="str">
        <f t="shared" si="2"/>
        <v> </v>
      </c>
      <c r="E1967" s="202" t="str">
        <f t="shared" si="9"/>
        <v> </v>
      </c>
      <c r="F1967" s="55" t="str">
        <f t="shared" si="4"/>
        <v/>
      </c>
      <c r="G1967" s="202" t="str">
        <f t="shared" si="5"/>
        <v/>
      </c>
      <c r="H1967" s="202" t="str">
        <f t="shared" si="11"/>
        <v> </v>
      </c>
      <c r="I1967" s="205" t="str">
        <f t="shared" si="7"/>
        <v/>
      </c>
      <c r="J1967" s="205"/>
      <c r="K1967" s="205"/>
    </row>
    <row r="1968" ht="14.25" customHeight="1">
      <c r="A1968" s="55">
        <v>47623.0</v>
      </c>
      <c r="B1968" s="55" t="str">
        <f t="shared" si="10"/>
        <v>Primer dia</v>
      </c>
      <c r="C1968" s="202">
        <f t="shared" si="1"/>
        <v>20</v>
      </c>
      <c r="D1968" s="202" t="str">
        <f t="shared" si="2"/>
        <v> </v>
      </c>
      <c r="E1968" s="202" t="str">
        <f t="shared" si="9"/>
        <v> </v>
      </c>
      <c r="F1968" s="55" t="str">
        <f t="shared" si="4"/>
        <v/>
      </c>
      <c r="G1968" s="202" t="str">
        <f t="shared" si="5"/>
        <v/>
      </c>
      <c r="H1968" s="202" t="str">
        <f t="shared" si="11"/>
        <v> </v>
      </c>
      <c r="I1968" s="205" t="str">
        <f t="shared" si="7"/>
        <v/>
      </c>
      <c r="J1968" s="205"/>
      <c r="K1968" s="205"/>
    </row>
    <row r="1969" ht="14.25" customHeight="1">
      <c r="A1969" s="55">
        <v>47624.0</v>
      </c>
      <c r="B1969" s="55" t="str">
        <f t="shared" si="10"/>
        <v>Primer dia</v>
      </c>
      <c r="C1969" s="202">
        <f t="shared" si="1"/>
        <v>21</v>
      </c>
      <c r="D1969" s="202" t="str">
        <f t="shared" si="2"/>
        <v> </v>
      </c>
      <c r="E1969" s="202" t="str">
        <f t="shared" si="9"/>
        <v> </v>
      </c>
      <c r="F1969" s="55" t="str">
        <f t="shared" si="4"/>
        <v/>
      </c>
      <c r="G1969" s="202" t="str">
        <f t="shared" si="5"/>
        <v/>
      </c>
      <c r="H1969" s="202" t="str">
        <f t="shared" si="11"/>
        <v> </v>
      </c>
      <c r="I1969" s="205" t="str">
        <f t="shared" si="7"/>
        <v/>
      </c>
      <c r="J1969" s="205"/>
      <c r="K1969" s="205"/>
    </row>
    <row r="1970" ht="14.25" customHeight="1">
      <c r="A1970" s="55">
        <v>47625.0</v>
      </c>
      <c r="B1970" s="55" t="str">
        <f t="shared" si="10"/>
        <v>Primer dia</v>
      </c>
      <c r="C1970" s="202">
        <f t="shared" si="1"/>
        <v>22</v>
      </c>
      <c r="D1970" s="202" t="str">
        <f t="shared" si="2"/>
        <v> </v>
      </c>
      <c r="E1970" s="202" t="str">
        <f t="shared" si="9"/>
        <v> </v>
      </c>
      <c r="F1970" s="55" t="str">
        <f t="shared" si="4"/>
        <v/>
      </c>
      <c r="G1970" s="202" t="str">
        <f t="shared" si="5"/>
        <v/>
      </c>
      <c r="H1970" s="202" t="str">
        <f t="shared" si="11"/>
        <v> </v>
      </c>
      <c r="I1970" s="205" t="str">
        <f t="shared" si="7"/>
        <v/>
      </c>
      <c r="J1970" s="205"/>
      <c r="K1970" s="205"/>
    </row>
    <row r="1971" ht="14.25" customHeight="1">
      <c r="A1971" s="55">
        <v>47626.0</v>
      </c>
      <c r="B1971" s="55" t="str">
        <f t="shared" si="10"/>
        <v>Primer dia</v>
      </c>
      <c r="C1971" s="202">
        <f t="shared" si="1"/>
        <v>23</v>
      </c>
      <c r="D1971" s="202" t="str">
        <f t="shared" si="2"/>
        <v> </v>
      </c>
      <c r="E1971" s="202" t="str">
        <f t="shared" si="9"/>
        <v> </v>
      </c>
      <c r="F1971" s="55" t="str">
        <f t="shared" si="4"/>
        <v/>
      </c>
      <c r="G1971" s="202" t="str">
        <f t="shared" si="5"/>
        <v/>
      </c>
      <c r="H1971" s="202" t="str">
        <f t="shared" si="11"/>
        <v> </v>
      </c>
      <c r="I1971" s="205" t="str">
        <f t="shared" si="7"/>
        <v/>
      </c>
      <c r="J1971" s="205"/>
      <c r="K1971" s="205"/>
    </row>
    <row r="1972" ht="14.25" customHeight="1">
      <c r="A1972" s="55">
        <v>47627.0</v>
      </c>
      <c r="B1972" s="55" t="str">
        <f t="shared" si="10"/>
        <v>Primer dia</v>
      </c>
      <c r="C1972" s="202">
        <f t="shared" si="1"/>
        <v>24</v>
      </c>
      <c r="D1972" s="202" t="str">
        <f t="shared" si="2"/>
        <v> </v>
      </c>
      <c r="E1972" s="202" t="str">
        <f t="shared" si="9"/>
        <v> </v>
      </c>
      <c r="F1972" s="55" t="str">
        <f t="shared" si="4"/>
        <v/>
      </c>
      <c r="G1972" s="202" t="str">
        <f t="shared" si="5"/>
        <v/>
      </c>
      <c r="H1972" s="202" t="str">
        <f t="shared" si="11"/>
        <v> </v>
      </c>
      <c r="I1972" s="205" t="str">
        <f t="shared" si="7"/>
        <v/>
      </c>
      <c r="J1972" s="205"/>
      <c r="K1972" s="205"/>
    </row>
    <row r="1973" ht="14.25" customHeight="1">
      <c r="A1973" s="55">
        <v>47628.0</v>
      </c>
      <c r="B1973" s="55" t="str">
        <f t="shared" si="10"/>
        <v>Primer dia</v>
      </c>
      <c r="C1973" s="202">
        <f t="shared" si="1"/>
        <v>25</v>
      </c>
      <c r="D1973" s="202" t="str">
        <f t="shared" si="2"/>
        <v> </v>
      </c>
      <c r="E1973" s="202" t="str">
        <f t="shared" si="9"/>
        <v> </v>
      </c>
      <c r="F1973" s="55" t="str">
        <f t="shared" si="4"/>
        <v/>
      </c>
      <c r="G1973" s="202" t="str">
        <f t="shared" si="5"/>
        <v/>
      </c>
      <c r="H1973" s="202" t="str">
        <f t="shared" si="11"/>
        <v> </v>
      </c>
      <c r="I1973" s="205" t="str">
        <f t="shared" si="7"/>
        <v/>
      </c>
      <c r="J1973" s="205"/>
      <c r="K1973" s="205"/>
    </row>
    <row r="1974" ht="14.25" customHeight="1">
      <c r="A1974" s="55">
        <v>47629.0</v>
      </c>
      <c r="B1974" s="55" t="str">
        <f t="shared" si="10"/>
        <v>Primer dia</v>
      </c>
      <c r="C1974" s="202">
        <f t="shared" si="1"/>
        <v>26</v>
      </c>
      <c r="D1974" s="202" t="str">
        <f t="shared" si="2"/>
        <v> </v>
      </c>
      <c r="E1974" s="202" t="str">
        <f t="shared" si="9"/>
        <v> </v>
      </c>
      <c r="F1974" s="55" t="str">
        <f t="shared" si="4"/>
        <v/>
      </c>
      <c r="G1974" s="202" t="str">
        <f t="shared" si="5"/>
        <v/>
      </c>
      <c r="H1974" s="202" t="str">
        <f t="shared" si="11"/>
        <v> </v>
      </c>
      <c r="I1974" s="205" t="str">
        <f t="shared" si="7"/>
        <v/>
      </c>
      <c r="J1974" s="205"/>
      <c r="K1974" s="205"/>
    </row>
    <row r="1975" ht="14.25" customHeight="1">
      <c r="A1975" s="55">
        <v>47630.0</v>
      </c>
      <c r="B1975" s="55" t="str">
        <f t="shared" si="10"/>
        <v>Primer dia</v>
      </c>
      <c r="C1975" s="202">
        <f t="shared" si="1"/>
        <v>27</v>
      </c>
      <c r="D1975" s="202" t="str">
        <f t="shared" si="2"/>
        <v> </v>
      </c>
      <c r="E1975" s="202" t="str">
        <f t="shared" si="9"/>
        <v> </v>
      </c>
      <c r="F1975" s="55" t="str">
        <f t="shared" si="4"/>
        <v/>
      </c>
      <c r="G1975" s="202" t="str">
        <f t="shared" si="5"/>
        <v/>
      </c>
      <c r="H1975" s="202" t="str">
        <f t="shared" si="11"/>
        <v> </v>
      </c>
      <c r="I1975" s="205" t="str">
        <f t="shared" si="7"/>
        <v/>
      </c>
      <c r="J1975" s="205"/>
      <c r="K1975" s="205"/>
    </row>
    <row r="1976" ht="14.25" customHeight="1">
      <c r="A1976" s="55">
        <v>47631.0</v>
      </c>
      <c r="B1976" s="55" t="str">
        <f t="shared" si="10"/>
        <v>Primer dia</v>
      </c>
      <c r="C1976" s="202">
        <f t="shared" si="1"/>
        <v>28</v>
      </c>
      <c r="D1976" s="202" t="str">
        <f t="shared" si="2"/>
        <v> </v>
      </c>
      <c r="E1976" s="202" t="str">
        <f t="shared" si="9"/>
        <v> </v>
      </c>
      <c r="F1976" s="55" t="str">
        <f t="shared" si="4"/>
        <v/>
      </c>
      <c r="G1976" s="202" t="str">
        <f t="shared" si="5"/>
        <v/>
      </c>
      <c r="H1976" s="202" t="str">
        <f t="shared" si="11"/>
        <v> </v>
      </c>
      <c r="I1976" s="205" t="str">
        <f t="shared" si="7"/>
        <v/>
      </c>
      <c r="J1976" s="205"/>
      <c r="K1976" s="205"/>
    </row>
    <row r="1977" ht="14.25" customHeight="1">
      <c r="A1977" s="55">
        <v>47632.0</v>
      </c>
      <c r="B1977" s="55" t="str">
        <f t="shared" si="10"/>
        <v>Primer dia</v>
      </c>
      <c r="C1977" s="202">
        <f t="shared" si="1"/>
        <v>29</v>
      </c>
      <c r="D1977" s="202" t="str">
        <f t="shared" si="2"/>
        <v> </v>
      </c>
      <c r="E1977" s="202" t="str">
        <f t="shared" si="9"/>
        <v> </v>
      </c>
      <c r="F1977" s="55" t="str">
        <f t="shared" si="4"/>
        <v/>
      </c>
      <c r="G1977" s="202" t="str">
        <f t="shared" si="5"/>
        <v/>
      </c>
      <c r="H1977" s="202" t="str">
        <f t="shared" si="11"/>
        <v> </v>
      </c>
      <c r="I1977" s="205" t="str">
        <f t="shared" si="7"/>
        <v/>
      </c>
      <c r="J1977" s="205"/>
      <c r="K1977" s="205"/>
    </row>
    <row r="1978" ht="14.25" customHeight="1">
      <c r="A1978" s="55">
        <v>47633.0</v>
      </c>
      <c r="B1978" s="55" t="str">
        <f t="shared" si="10"/>
        <v>Primer dia</v>
      </c>
      <c r="C1978" s="202">
        <f t="shared" si="1"/>
        <v>30</v>
      </c>
      <c r="D1978" s="202" t="str">
        <f t="shared" si="2"/>
        <v> </v>
      </c>
      <c r="E1978" s="202" t="str">
        <f t="shared" si="9"/>
        <v> </v>
      </c>
      <c r="F1978" s="55" t="str">
        <f t="shared" si="4"/>
        <v/>
      </c>
      <c r="G1978" s="202" t="str">
        <f t="shared" si="5"/>
        <v/>
      </c>
      <c r="H1978" s="202" t="str">
        <f t="shared" si="11"/>
        <v> </v>
      </c>
      <c r="I1978" s="205" t="str">
        <f t="shared" si="7"/>
        <v/>
      </c>
      <c r="J1978" s="205"/>
      <c r="K1978" s="205"/>
    </row>
    <row r="1979" ht="14.25" customHeight="1">
      <c r="A1979" s="55">
        <v>47634.0</v>
      </c>
      <c r="B1979" s="55" t="str">
        <f t="shared" si="10"/>
        <v>Primer dia</v>
      </c>
      <c r="C1979" s="202">
        <f t="shared" si="1"/>
        <v>31</v>
      </c>
      <c r="D1979" s="202" t="str">
        <f t="shared" si="2"/>
        <v> </v>
      </c>
      <c r="E1979" s="202" t="str">
        <f t="shared" si="9"/>
        <v> </v>
      </c>
      <c r="F1979" s="55" t="str">
        <f t="shared" si="4"/>
        <v/>
      </c>
      <c r="G1979" s="202" t="str">
        <f t="shared" si="5"/>
        <v/>
      </c>
      <c r="H1979" s="202" t="str">
        <f t="shared" si="11"/>
        <v> </v>
      </c>
      <c r="I1979" s="205" t="str">
        <f t="shared" si="7"/>
        <v/>
      </c>
      <c r="J1979" s="205"/>
      <c r="K1979" s="205"/>
    </row>
    <row r="1980" ht="14.25" customHeight="1">
      <c r="A1980" s="55">
        <v>47635.0</v>
      </c>
      <c r="B1980" s="55" t="str">
        <f t="shared" si="10"/>
        <v>Primer dia</v>
      </c>
      <c r="C1980" s="202">
        <f t="shared" si="1"/>
        <v>1</v>
      </c>
      <c r="D1980" s="202" t="str">
        <f t="shared" si="2"/>
        <v> </v>
      </c>
      <c r="E1980" s="202" t="str">
        <f t="shared" si="9"/>
        <v> </v>
      </c>
      <c r="F1980" s="55" t="str">
        <f t="shared" si="4"/>
        <v/>
      </c>
      <c r="G1980" s="202" t="str">
        <f t="shared" si="5"/>
        <v/>
      </c>
      <c r="H1980" s="202" t="str">
        <f t="shared" si="11"/>
        <v> </v>
      </c>
      <c r="I1980" s="205" t="str">
        <f t="shared" si="7"/>
        <v/>
      </c>
      <c r="J1980" s="205"/>
      <c r="K1980" s="205"/>
    </row>
    <row r="1981" ht="14.25" customHeight="1">
      <c r="A1981" s="55">
        <v>47636.0</v>
      </c>
      <c r="B1981" s="55" t="str">
        <f t="shared" si="10"/>
        <v>Primer dia</v>
      </c>
      <c r="C1981" s="202">
        <f t="shared" si="1"/>
        <v>2</v>
      </c>
      <c r="D1981" s="202" t="str">
        <f t="shared" si="2"/>
        <v> </v>
      </c>
      <c r="E1981" s="202">
        <f t="shared" si="9"/>
        <v>2</v>
      </c>
      <c r="F1981" s="55">
        <f t="shared" si="4"/>
        <v>47636</v>
      </c>
      <c r="G1981" s="202">
        <f t="shared" si="5"/>
        <v>105</v>
      </c>
      <c r="H1981" s="202" t="str">
        <f t="shared" si="11"/>
        <v> </v>
      </c>
      <c r="I1981" s="205" t="str">
        <f t="shared" si="7"/>
        <v/>
      </c>
      <c r="J1981" s="205"/>
      <c r="K1981" s="205"/>
    </row>
    <row r="1982" ht="14.25" customHeight="1">
      <c r="A1982" s="55">
        <v>47637.0</v>
      </c>
      <c r="B1982" s="55" t="str">
        <f t="shared" si="10"/>
        <v>Primer dia</v>
      </c>
      <c r="C1982" s="202">
        <f t="shared" si="1"/>
        <v>3</v>
      </c>
      <c r="D1982" s="202" t="str">
        <f t="shared" si="2"/>
        <v> </v>
      </c>
      <c r="E1982" s="202" t="str">
        <f t="shared" si="9"/>
        <v> </v>
      </c>
      <c r="F1982" s="55" t="str">
        <f t="shared" si="4"/>
        <v/>
      </c>
      <c r="G1982" s="202" t="str">
        <f t="shared" si="5"/>
        <v/>
      </c>
      <c r="H1982" s="202" t="str">
        <f t="shared" si="11"/>
        <v> </v>
      </c>
      <c r="I1982" s="205" t="str">
        <f t="shared" si="7"/>
        <v/>
      </c>
      <c r="J1982" s="205"/>
      <c r="K1982" s="205"/>
    </row>
    <row r="1983" ht="14.25" customHeight="1">
      <c r="A1983" s="55">
        <v>47638.0</v>
      </c>
      <c r="B1983" s="55" t="str">
        <f t="shared" si="10"/>
        <v>Primer dia</v>
      </c>
      <c r="C1983" s="202">
        <f t="shared" si="1"/>
        <v>4</v>
      </c>
      <c r="D1983" s="202" t="str">
        <f t="shared" si="2"/>
        <v> </v>
      </c>
      <c r="E1983" s="202" t="str">
        <f t="shared" si="9"/>
        <v> </v>
      </c>
      <c r="F1983" s="55" t="str">
        <f t="shared" si="4"/>
        <v/>
      </c>
      <c r="G1983" s="202" t="str">
        <f t="shared" si="5"/>
        <v/>
      </c>
      <c r="H1983" s="202" t="str">
        <f t="shared" si="11"/>
        <v> </v>
      </c>
      <c r="I1983" s="205" t="str">
        <f t="shared" si="7"/>
        <v/>
      </c>
      <c r="J1983" s="205"/>
      <c r="K1983" s="205"/>
    </row>
    <row r="1984" ht="14.25" customHeight="1">
      <c r="A1984" s="55">
        <v>47639.0</v>
      </c>
      <c r="B1984" s="55" t="str">
        <f t="shared" si="10"/>
        <v>Primer dia</v>
      </c>
      <c r="C1984" s="202">
        <f t="shared" si="1"/>
        <v>5</v>
      </c>
      <c r="D1984" s="202" t="str">
        <f t="shared" si="2"/>
        <v> </v>
      </c>
      <c r="E1984" s="202" t="str">
        <f t="shared" si="9"/>
        <v> </v>
      </c>
      <c r="F1984" s="55" t="str">
        <f t="shared" si="4"/>
        <v/>
      </c>
      <c r="G1984" s="202" t="str">
        <f t="shared" si="5"/>
        <v/>
      </c>
      <c r="H1984" s="202" t="str">
        <f t="shared" si="11"/>
        <v> </v>
      </c>
      <c r="I1984" s="205" t="str">
        <f t="shared" si="7"/>
        <v/>
      </c>
      <c r="J1984" s="205"/>
      <c r="K1984" s="205"/>
    </row>
    <row r="1985" ht="14.25" customHeight="1">
      <c r="A1985" s="55">
        <v>47640.0</v>
      </c>
      <c r="B1985" s="55" t="str">
        <f t="shared" si="10"/>
        <v>Primer dia</v>
      </c>
      <c r="C1985" s="202">
        <f t="shared" si="1"/>
        <v>6</v>
      </c>
      <c r="D1985" s="202" t="str">
        <f t="shared" si="2"/>
        <v> </v>
      </c>
      <c r="E1985" s="202" t="str">
        <f t="shared" si="9"/>
        <v> </v>
      </c>
      <c r="F1985" s="55" t="str">
        <f t="shared" si="4"/>
        <v/>
      </c>
      <c r="G1985" s="202" t="str">
        <f t="shared" si="5"/>
        <v/>
      </c>
      <c r="H1985" s="202" t="str">
        <f t="shared" si="11"/>
        <v> </v>
      </c>
      <c r="I1985" s="205" t="str">
        <f t="shared" si="7"/>
        <v/>
      </c>
      <c r="J1985" s="205"/>
      <c r="K1985" s="205"/>
    </row>
    <row r="1986" ht="14.25" customHeight="1">
      <c r="A1986" s="55">
        <v>47641.0</v>
      </c>
      <c r="B1986" s="55" t="str">
        <f t="shared" si="10"/>
        <v>Primer dia</v>
      </c>
      <c r="C1986" s="202">
        <f t="shared" si="1"/>
        <v>7</v>
      </c>
      <c r="D1986" s="202" t="str">
        <f t="shared" si="2"/>
        <v> </v>
      </c>
      <c r="E1986" s="202" t="str">
        <f t="shared" si="9"/>
        <v> </v>
      </c>
      <c r="F1986" s="55" t="str">
        <f t="shared" si="4"/>
        <v/>
      </c>
      <c r="G1986" s="202" t="str">
        <f t="shared" si="5"/>
        <v/>
      </c>
      <c r="H1986" s="202" t="str">
        <f t="shared" si="11"/>
        <v> </v>
      </c>
      <c r="I1986" s="205" t="str">
        <f t="shared" si="7"/>
        <v/>
      </c>
      <c r="J1986" s="205"/>
      <c r="K1986" s="205"/>
    </row>
    <row r="1987" ht="14.25" customHeight="1">
      <c r="A1987" s="55">
        <v>47642.0</v>
      </c>
      <c r="B1987" s="55" t="str">
        <f t="shared" si="10"/>
        <v>Primer dia</v>
      </c>
      <c r="C1987" s="202">
        <f t="shared" si="1"/>
        <v>8</v>
      </c>
      <c r="D1987" s="202" t="str">
        <f t="shared" si="2"/>
        <v> </v>
      </c>
      <c r="E1987" s="202" t="str">
        <f t="shared" si="9"/>
        <v> </v>
      </c>
      <c r="F1987" s="55" t="str">
        <f t="shared" si="4"/>
        <v/>
      </c>
      <c r="G1987" s="202" t="str">
        <f t="shared" si="5"/>
        <v/>
      </c>
      <c r="H1987" s="202" t="str">
        <f t="shared" si="11"/>
        <v> </v>
      </c>
      <c r="I1987" s="205" t="str">
        <f t="shared" si="7"/>
        <v/>
      </c>
      <c r="J1987" s="205"/>
      <c r="K1987" s="205"/>
    </row>
    <row r="1988" ht="14.25" customHeight="1">
      <c r="A1988" s="55">
        <v>47643.0</v>
      </c>
      <c r="B1988" s="55" t="str">
        <f t="shared" si="10"/>
        <v>Primer dia</v>
      </c>
      <c r="C1988" s="202">
        <f t="shared" si="1"/>
        <v>9</v>
      </c>
      <c r="D1988" s="202" t="str">
        <f t="shared" si="2"/>
        <v> </v>
      </c>
      <c r="E1988" s="202" t="str">
        <f t="shared" si="9"/>
        <v> </v>
      </c>
      <c r="F1988" s="55" t="str">
        <f t="shared" si="4"/>
        <v/>
      </c>
      <c r="G1988" s="202" t="str">
        <f t="shared" si="5"/>
        <v/>
      </c>
      <c r="H1988" s="202" t="str">
        <f t="shared" si="11"/>
        <v> </v>
      </c>
      <c r="I1988" s="205" t="str">
        <f t="shared" si="7"/>
        <v/>
      </c>
      <c r="J1988" s="205"/>
      <c r="K1988" s="205"/>
    </row>
    <row r="1989" ht="14.25" customHeight="1">
      <c r="A1989" s="55">
        <v>47644.0</v>
      </c>
      <c r="B1989" s="55" t="str">
        <f t="shared" si="10"/>
        <v>Primer dia</v>
      </c>
      <c r="C1989" s="202">
        <f t="shared" si="1"/>
        <v>10</v>
      </c>
      <c r="D1989" s="202" t="str">
        <f t="shared" si="2"/>
        <v> </v>
      </c>
      <c r="E1989" s="202" t="str">
        <f t="shared" si="9"/>
        <v> </v>
      </c>
      <c r="F1989" s="55" t="str">
        <f t="shared" si="4"/>
        <v/>
      </c>
      <c r="G1989" s="202" t="str">
        <f t="shared" si="5"/>
        <v/>
      </c>
      <c r="H1989" s="202" t="str">
        <f t="shared" si="11"/>
        <v> </v>
      </c>
      <c r="I1989" s="205" t="str">
        <f t="shared" si="7"/>
        <v/>
      </c>
      <c r="J1989" s="205"/>
      <c r="K1989" s="205"/>
    </row>
    <row r="1990" ht="14.25" customHeight="1">
      <c r="A1990" s="55">
        <v>47645.0</v>
      </c>
      <c r="B1990" s="55" t="str">
        <f t="shared" si="10"/>
        <v>Primer dia</v>
      </c>
      <c r="C1990" s="202">
        <f t="shared" si="1"/>
        <v>11</v>
      </c>
      <c r="D1990" s="202" t="str">
        <f t="shared" si="2"/>
        <v> </v>
      </c>
      <c r="E1990" s="202" t="str">
        <f t="shared" si="9"/>
        <v> </v>
      </c>
      <c r="F1990" s="55" t="str">
        <f t="shared" si="4"/>
        <v/>
      </c>
      <c r="G1990" s="202" t="str">
        <f t="shared" si="5"/>
        <v/>
      </c>
      <c r="H1990" s="202" t="str">
        <f t="shared" si="11"/>
        <v> </v>
      </c>
      <c r="I1990" s="205" t="str">
        <f t="shared" si="7"/>
        <v/>
      </c>
      <c r="J1990" s="205"/>
      <c r="K1990" s="205"/>
    </row>
    <row r="1991" ht="14.25" customHeight="1">
      <c r="A1991" s="55">
        <v>47646.0</v>
      </c>
      <c r="B1991" s="55" t="str">
        <f t="shared" si="10"/>
        <v>Primer dia</v>
      </c>
      <c r="C1991" s="202">
        <f t="shared" si="1"/>
        <v>12</v>
      </c>
      <c r="D1991" s="202" t="str">
        <f t="shared" si="2"/>
        <v> </v>
      </c>
      <c r="E1991" s="202" t="str">
        <f t="shared" si="9"/>
        <v> </v>
      </c>
      <c r="F1991" s="55" t="str">
        <f t="shared" si="4"/>
        <v/>
      </c>
      <c r="G1991" s="202" t="str">
        <f t="shared" si="5"/>
        <v/>
      </c>
      <c r="H1991" s="202" t="str">
        <f t="shared" si="11"/>
        <v> </v>
      </c>
      <c r="I1991" s="205" t="str">
        <f t="shared" si="7"/>
        <v/>
      </c>
      <c r="J1991" s="205"/>
      <c r="K1991" s="205"/>
    </row>
    <row r="1992" ht="14.25" customHeight="1">
      <c r="A1992" s="55">
        <v>47647.0</v>
      </c>
      <c r="B1992" s="55" t="str">
        <f t="shared" si="10"/>
        <v>Primer dia</v>
      </c>
      <c r="C1992" s="202">
        <f t="shared" si="1"/>
        <v>13</v>
      </c>
      <c r="D1992" s="202" t="str">
        <f t="shared" si="2"/>
        <v> </v>
      </c>
      <c r="E1992" s="202" t="str">
        <f t="shared" si="9"/>
        <v> </v>
      </c>
      <c r="F1992" s="55" t="str">
        <f t="shared" si="4"/>
        <v/>
      </c>
      <c r="G1992" s="202" t="str">
        <f t="shared" si="5"/>
        <v/>
      </c>
      <c r="H1992" s="202" t="str">
        <f t="shared" si="11"/>
        <v> </v>
      </c>
      <c r="I1992" s="205" t="str">
        <f t="shared" si="7"/>
        <v/>
      </c>
      <c r="J1992" s="205"/>
      <c r="K1992" s="205"/>
    </row>
    <row r="1993" ht="14.25" customHeight="1">
      <c r="A1993" s="55">
        <v>47648.0</v>
      </c>
      <c r="B1993" s="55" t="str">
        <f t="shared" si="10"/>
        <v>Primer dia</v>
      </c>
      <c r="C1993" s="202">
        <f t="shared" si="1"/>
        <v>14</v>
      </c>
      <c r="D1993" s="202" t="str">
        <f t="shared" si="2"/>
        <v> </v>
      </c>
      <c r="E1993" s="202" t="str">
        <f t="shared" si="9"/>
        <v> </v>
      </c>
      <c r="F1993" s="55" t="str">
        <f t="shared" si="4"/>
        <v/>
      </c>
      <c r="G1993" s="202" t="str">
        <f t="shared" si="5"/>
        <v/>
      </c>
      <c r="H1993" s="202" t="str">
        <f t="shared" si="11"/>
        <v> </v>
      </c>
      <c r="I1993" s="205" t="str">
        <f t="shared" si="7"/>
        <v/>
      </c>
      <c r="J1993" s="205"/>
      <c r="K1993" s="205"/>
    </row>
    <row r="1994" ht="14.25" customHeight="1">
      <c r="A1994" s="55">
        <v>47649.0</v>
      </c>
      <c r="B1994" s="55" t="str">
        <f t="shared" si="10"/>
        <v>Primer dia</v>
      </c>
      <c r="C1994" s="202">
        <f t="shared" si="1"/>
        <v>15</v>
      </c>
      <c r="D1994" s="202" t="str">
        <f t="shared" si="2"/>
        <v> </v>
      </c>
      <c r="E1994" s="202" t="str">
        <f t="shared" si="9"/>
        <v> </v>
      </c>
      <c r="F1994" s="55" t="str">
        <f t="shared" si="4"/>
        <v/>
      </c>
      <c r="G1994" s="202" t="str">
        <f t="shared" si="5"/>
        <v/>
      </c>
      <c r="H1994" s="202" t="str">
        <f t="shared" si="11"/>
        <v> </v>
      </c>
      <c r="I1994" s="205" t="str">
        <f t="shared" si="7"/>
        <v/>
      </c>
      <c r="J1994" s="205"/>
      <c r="K1994" s="205"/>
    </row>
    <row r="1995" ht="14.25" customHeight="1">
      <c r="A1995" s="55">
        <v>47650.0</v>
      </c>
      <c r="B1995" s="55" t="str">
        <f t="shared" si="10"/>
        <v>Primer dia</v>
      </c>
      <c r="C1995" s="202">
        <f t="shared" si="1"/>
        <v>16</v>
      </c>
      <c r="D1995" s="202" t="str">
        <f t="shared" si="2"/>
        <v> </v>
      </c>
      <c r="E1995" s="202" t="str">
        <f t="shared" si="9"/>
        <v> </v>
      </c>
      <c r="F1995" s="55" t="str">
        <f t="shared" si="4"/>
        <v/>
      </c>
      <c r="G1995" s="202" t="str">
        <f t="shared" si="5"/>
        <v/>
      </c>
      <c r="H1995" s="202" t="str">
        <f t="shared" si="11"/>
        <v> </v>
      </c>
      <c r="I1995" s="205" t="str">
        <f t="shared" si="7"/>
        <v/>
      </c>
      <c r="J1995" s="205"/>
      <c r="K1995" s="205"/>
    </row>
    <row r="1996" ht="14.25" customHeight="1">
      <c r="A1996" s="55">
        <v>47651.0</v>
      </c>
      <c r="B1996" s="55" t="str">
        <f t="shared" si="10"/>
        <v>Primer dia</v>
      </c>
      <c r="C1996" s="202">
        <f t="shared" si="1"/>
        <v>17</v>
      </c>
      <c r="D1996" s="202" t="str">
        <f t="shared" si="2"/>
        <v> </v>
      </c>
      <c r="E1996" s="202">
        <f t="shared" si="9"/>
        <v>17</v>
      </c>
      <c r="F1996" s="55">
        <f t="shared" si="4"/>
        <v>47651</v>
      </c>
      <c r="G1996" s="202">
        <f t="shared" si="5"/>
        <v>106</v>
      </c>
      <c r="H1996" s="202" t="str">
        <f t="shared" si="11"/>
        <v> </v>
      </c>
      <c r="I1996" s="205" t="str">
        <f t="shared" si="7"/>
        <v/>
      </c>
      <c r="J1996" s="205"/>
      <c r="K1996" s="205"/>
    </row>
    <row r="1997" ht="14.25" customHeight="1">
      <c r="A1997" s="55">
        <v>47652.0</v>
      </c>
      <c r="B1997" s="55" t="str">
        <f t="shared" si="10"/>
        <v>Primer dia</v>
      </c>
      <c r="C1997" s="202">
        <f t="shared" si="1"/>
        <v>18</v>
      </c>
      <c r="D1997" s="202" t="str">
        <f t="shared" si="2"/>
        <v> </v>
      </c>
      <c r="E1997" s="202" t="str">
        <f t="shared" si="9"/>
        <v> </v>
      </c>
      <c r="F1997" s="55" t="str">
        <f t="shared" si="4"/>
        <v/>
      </c>
      <c r="G1997" s="202" t="str">
        <f t="shared" si="5"/>
        <v/>
      </c>
      <c r="H1997" s="202" t="str">
        <f t="shared" si="11"/>
        <v> </v>
      </c>
      <c r="I1997" s="205" t="str">
        <f t="shared" si="7"/>
        <v/>
      </c>
      <c r="J1997" s="205"/>
      <c r="K1997" s="205"/>
    </row>
    <row r="1998" ht="14.25" customHeight="1">
      <c r="A1998" s="55">
        <v>47653.0</v>
      </c>
      <c r="B1998" s="55" t="str">
        <f t="shared" si="10"/>
        <v>Primer dia</v>
      </c>
      <c r="C1998" s="202">
        <f t="shared" si="1"/>
        <v>19</v>
      </c>
      <c r="D1998" s="202" t="str">
        <f t="shared" si="2"/>
        <v> </v>
      </c>
      <c r="E1998" s="202" t="str">
        <f t="shared" si="9"/>
        <v> </v>
      </c>
      <c r="F1998" s="55" t="str">
        <f t="shared" si="4"/>
        <v/>
      </c>
      <c r="G1998" s="202" t="str">
        <f t="shared" si="5"/>
        <v/>
      </c>
      <c r="H1998" s="202" t="str">
        <f t="shared" si="11"/>
        <v> </v>
      </c>
      <c r="I1998" s="205" t="str">
        <f t="shared" si="7"/>
        <v/>
      </c>
      <c r="J1998" s="205"/>
      <c r="K1998" s="205"/>
    </row>
    <row r="1999" ht="14.25" customHeight="1">
      <c r="A1999" s="55">
        <v>47654.0</v>
      </c>
      <c r="B1999" s="55" t="str">
        <f t="shared" si="10"/>
        <v>Primer dia</v>
      </c>
      <c r="C1999" s="202">
        <f t="shared" si="1"/>
        <v>20</v>
      </c>
      <c r="D1999" s="202" t="str">
        <f t="shared" si="2"/>
        <v> </v>
      </c>
      <c r="E1999" s="202" t="str">
        <f t="shared" si="9"/>
        <v> </v>
      </c>
      <c r="F1999" s="55" t="str">
        <f t="shared" si="4"/>
        <v/>
      </c>
      <c r="G1999" s="202" t="str">
        <f t="shared" si="5"/>
        <v/>
      </c>
      <c r="H1999" s="202" t="str">
        <f t="shared" si="11"/>
        <v> </v>
      </c>
      <c r="I1999" s="205" t="str">
        <f t="shared" si="7"/>
        <v/>
      </c>
      <c r="J1999" s="205"/>
      <c r="K1999" s="205"/>
    </row>
    <row r="2000" ht="14.25" customHeight="1">
      <c r="A2000" s="55">
        <v>47655.0</v>
      </c>
      <c r="B2000" s="55" t="str">
        <f t="shared" si="10"/>
        <v>Primer dia</v>
      </c>
      <c r="C2000" s="202">
        <f t="shared" si="1"/>
        <v>21</v>
      </c>
      <c r="D2000" s="202" t="str">
        <f t="shared" si="2"/>
        <v> </v>
      </c>
      <c r="E2000" s="202" t="str">
        <f t="shared" si="9"/>
        <v> </v>
      </c>
      <c r="F2000" s="55" t="str">
        <f t="shared" si="4"/>
        <v/>
      </c>
      <c r="G2000" s="202" t="str">
        <f t="shared" si="5"/>
        <v/>
      </c>
      <c r="H2000" s="202" t="str">
        <f t="shared" si="11"/>
        <v> </v>
      </c>
      <c r="I2000" s="205" t="str">
        <f t="shared" si="7"/>
        <v/>
      </c>
      <c r="J2000" s="205"/>
      <c r="K2000" s="205"/>
    </row>
    <row r="2001" ht="14.25" customHeight="1">
      <c r="A2001" s="55">
        <v>47656.0</v>
      </c>
      <c r="B2001" s="55" t="str">
        <f t="shared" si="10"/>
        <v>Primer dia</v>
      </c>
      <c r="C2001" s="202">
        <f t="shared" si="1"/>
        <v>22</v>
      </c>
      <c r="D2001" s="202" t="str">
        <f t="shared" si="2"/>
        <v> </v>
      </c>
      <c r="E2001" s="202" t="str">
        <f t="shared" si="9"/>
        <v> </v>
      </c>
      <c r="F2001" s="55" t="str">
        <f t="shared" si="4"/>
        <v/>
      </c>
      <c r="G2001" s="202" t="str">
        <f t="shared" si="5"/>
        <v/>
      </c>
      <c r="H2001" s="202" t="str">
        <f t="shared" si="11"/>
        <v> </v>
      </c>
      <c r="I2001" s="205" t="str">
        <f t="shared" si="7"/>
        <v/>
      </c>
      <c r="J2001" s="205"/>
      <c r="K2001" s="205"/>
    </row>
    <row r="2002" ht="14.25" customHeight="1">
      <c r="A2002" s="55">
        <v>47657.0</v>
      </c>
      <c r="B2002" s="55" t="str">
        <f t="shared" si="10"/>
        <v>Primer dia</v>
      </c>
      <c r="C2002" s="202">
        <f t="shared" si="1"/>
        <v>23</v>
      </c>
      <c r="D2002" s="202" t="str">
        <f t="shared" si="2"/>
        <v> </v>
      </c>
      <c r="E2002" s="202" t="str">
        <f t="shared" si="9"/>
        <v> </v>
      </c>
      <c r="F2002" s="55" t="str">
        <f t="shared" si="4"/>
        <v/>
      </c>
      <c r="G2002" s="202" t="str">
        <f t="shared" si="5"/>
        <v/>
      </c>
      <c r="H2002" s="202" t="str">
        <f t="shared" si="11"/>
        <v> </v>
      </c>
      <c r="I2002" s="205" t="str">
        <f t="shared" si="7"/>
        <v/>
      </c>
      <c r="J2002" s="205"/>
      <c r="K2002" s="205"/>
    </row>
    <row r="2003" ht="14.25" customHeight="1">
      <c r="A2003" s="55">
        <v>47658.0</v>
      </c>
      <c r="B2003" s="55" t="str">
        <f t="shared" si="10"/>
        <v>Primer dia</v>
      </c>
      <c r="C2003" s="202">
        <f t="shared" si="1"/>
        <v>24</v>
      </c>
      <c r="D2003" s="202" t="str">
        <f t="shared" si="2"/>
        <v> </v>
      </c>
      <c r="E2003" s="202" t="str">
        <f t="shared" si="9"/>
        <v> </v>
      </c>
      <c r="F2003" s="55" t="str">
        <f t="shared" si="4"/>
        <v/>
      </c>
      <c r="G2003" s="202" t="str">
        <f t="shared" si="5"/>
        <v/>
      </c>
      <c r="H2003" s="202" t="str">
        <f t="shared" si="11"/>
        <v> </v>
      </c>
      <c r="I2003" s="205" t="str">
        <f t="shared" si="7"/>
        <v/>
      </c>
      <c r="J2003" s="205"/>
      <c r="K2003" s="205"/>
    </row>
    <row r="2004" ht="14.25" customHeight="1">
      <c r="A2004" s="55">
        <v>47659.0</v>
      </c>
      <c r="B2004" s="55" t="str">
        <f t="shared" si="10"/>
        <v>Primer dia</v>
      </c>
      <c r="C2004" s="202">
        <f t="shared" si="1"/>
        <v>25</v>
      </c>
      <c r="D2004" s="202" t="str">
        <f t="shared" si="2"/>
        <v> </v>
      </c>
      <c r="E2004" s="202" t="str">
        <f t="shared" si="9"/>
        <v> </v>
      </c>
      <c r="F2004" s="55" t="str">
        <f t="shared" si="4"/>
        <v/>
      </c>
      <c r="G2004" s="202" t="str">
        <f t="shared" si="5"/>
        <v/>
      </c>
      <c r="H2004" s="202" t="str">
        <f t="shared" si="11"/>
        <v> </v>
      </c>
      <c r="I2004" s="205" t="str">
        <f t="shared" si="7"/>
        <v/>
      </c>
      <c r="J2004" s="205"/>
      <c r="K2004" s="205"/>
    </row>
    <row r="2005" ht="14.25" customHeight="1">
      <c r="A2005" s="55">
        <v>47660.0</v>
      </c>
      <c r="B2005" s="55" t="str">
        <f t="shared" si="10"/>
        <v>Primer dia</v>
      </c>
      <c r="C2005" s="202">
        <f t="shared" si="1"/>
        <v>26</v>
      </c>
      <c r="D2005" s="202" t="str">
        <f t="shared" si="2"/>
        <v> </v>
      </c>
      <c r="E2005" s="202" t="str">
        <f t="shared" si="9"/>
        <v> </v>
      </c>
      <c r="F2005" s="55" t="str">
        <f t="shared" si="4"/>
        <v/>
      </c>
      <c r="G2005" s="202" t="str">
        <f t="shared" si="5"/>
        <v/>
      </c>
      <c r="H2005" s="202" t="str">
        <f t="shared" si="11"/>
        <v> </v>
      </c>
      <c r="I2005" s="205" t="str">
        <f t="shared" si="7"/>
        <v/>
      </c>
      <c r="J2005" s="205"/>
      <c r="K2005" s="205"/>
    </row>
    <row r="2006" ht="14.25" customHeight="1">
      <c r="A2006" s="55">
        <v>47661.0</v>
      </c>
      <c r="B2006" s="55" t="str">
        <f t="shared" si="10"/>
        <v>Primer dia</v>
      </c>
      <c r="C2006" s="202">
        <f t="shared" si="1"/>
        <v>27</v>
      </c>
      <c r="D2006" s="202" t="str">
        <f t="shared" si="2"/>
        <v> </v>
      </c>
      <c r="E2006" s="202" t="str">
        <f t="shared" si="9"/>
        <v> </v>
      </c>
      <c r="F2006" s="55" t="str">
        <f t="shared" si="4"/>
        <v/>
      </c>
      <c r="G2006" s="202" t="str">
        <f t="shared" si="5"/>
        <v/>
      </c>
      <c r="H2006" s="202" t="str">
        <f t="shared" si="11"/>
        <v> </v>
      </c>
      <c r="I2006" s="205" t="str">
        <f t="shared" si="7"/>
        <v/>
      </c>
      <c r="J2006" s="205"/>
      <c r="K2006" s="205"/>
    </row>
    <row r="2007" ht="14.25" customHeight="1">
      <c r="A2007" s="55">
        <v>47662.0</v>
      </c>
      <c r="B2007" s="55" t="str">
        <f t="shared" si="10"/>
        <v>Primer dia</v>
      </c>
      <c r="C2007" s="202">
        <f t="shared" si="1"/>
        <v>28</v>
      </c>
      <c r="D2007" s="202" t="str">
        <f t="shared" si="2"/>
        <v> </v>
      </c>
      <c r="E2007" s="202" t="str">
        <f t="shared" si="9"/>
        <v> </v>
      </c>
      <c r="F2007" s="55" t="str">
        <f t="shared" si="4"/>
        <v/>
      </c>
      <c r="G2007" s="202" t="str">
        <f t="shared" si="5"/>
        <v/>
      </c>
      <c r="H2007" s="202" t="str">
        <f t="shared" si="11"/>
        <v> </v>
      </c>
      <c r="I2007" s="205" t="str">
        <f t="shared" si="7"/>
        <v/>
      </c>
      <c r="J2007" s="205"/>
      <c r="K2007" s="205"/>
    </row>
    <row r="2008" ht="14.25" customHeight="1">
      <c r="A2008" s="55">
        <v>47663.0</v>
      </c>
      <c r="B2008" s="55" t="str">
        <f t="shared" si="10"/>
        <v>Primer dia</v>
      </c>
      <c r="C2008" s="202">
        <f t="shared" si="1"/>
        <v>29</v>
      </c>
      <c r="D2008" s="202" t="str">
        <f t="shared" si="2"/>
        <v> </v>
      </c>
      <c r="E2008" s="202" t="str">
        <f t="shared" si="9"/>
        <v> </v>
      </c>
      <c r="F2008" s="55" t="str">
        <f t="shared" si="4"/>
        <v/>
      </c>
      <c r="G2008" s="202" t="str">
        <f t="shared" si="5"/>
        <v/>
      </c>
      <c r="H2008" s="202" t="str">
        <f t="shared" si="11"/>
        <v> </v>
      </c>
      <c r="I2008" s="205" t="str">
        <f t="shared" si="7"/>
        <v/>
      </c>
      <c r="J2008" s="205"/>
      <c r="K2008" s="205"/>
    </row>
    <row r="2009" ht="14.25" customHeight="1">
      <c r="A2009" s="55">
        <v>47664.0</v>
      </c>
      <c r="B2009" s="55" t="str">
        <f t="shared" si="10"/>
        <v>Primer dia</v>
      </c>
      <c r="C2009" s="202">
        <f t="shared" si="1"/>
        <v>30</v>
      </c>
      <c r="D2009" s="202" t="str">
        <f t="shared" si="2"/>
        <v> </v>
      </c>
      <c r="E2009" s="202" t="str">
        <f t="shared" si="9"/>
        <v> </v>
      </c>
      <c r="F2009" s="55" t="str">
        <f t="shared" si="4"/>
        <v/>
      </c>
      <c r="G2009" s="202" t="str">
        <f t="shared" si="5"/>
        <v/>
      </c>
      <c r="H2009" s="202" t="str">
        <f t="shared" si="11"/>
        <v> </v>
      </c>
      <c r="I2009" s="205" t="str">
        <f t="shared" si="7"/>
        <v/>
      </c>
      <c r="J2009" s="205"/>
      <c r="K2009" s="205"/>
    </row>
    <row r="2010" ht="14.25" customHeight="1">
      <c r="A2010" s="55">
        <v>47665.0</v>
      </c>
      <c r="B2010" s="55" t="str">
        <f t="shared" si="10"/>
        <v>Primer dia</v>
      </c>
      <c r="C2010" s="202">
        <f t="shared" si="1"/>
        <v>1</v>
      </c>
      <c r="D2010" s="202" t="str">
        <f t="shared" si="2"/>
        <v> </v>
      </c>
      <c r="E2010" s="202" t="str">
        <f t="shared" si="9"/>
        <v> </v>
      </c>
      <c r="F2010" s="55" t="str">
        <f t="shared" si="4"/>
        <v/>
      </c>
      <c r="G2010" s="202" t="str">
        <f t="shared" si="5"/>
        <v/>
      </c>
      <c r="H2010" s="202" t="str">
        <f t="shared" si="11"/>
        <v> </v>
      </c>
      <c r="I2010" s="205" t="str">
        <f t="shared" si="7"/>
        <v/>
      </c>
      <c r="J2010" s="205"/>
      <c r="K2010" s="205"/>
    </row>
    <row r="2011" ht="14.25" customHeight="1">
      <c r="A2011" s="55">
        <v>47666.0</v>
      </c>
      <c r="B2011" s="55" t="str">
        <f t="shared" si="10"/>
        <v>Primer dia</v>
      </c>
      <c r="C2011" s="202">
        <f t="shared" si="1"/>
        <v>2</v>
      </c>
      <c r="D2011" s="202" t="str">
        <f t="shared" si="2"/>
        <v> </v>
      </c>
      <c r="E2011" s="202">
        <f t="shared" si="9"/>
        <v>2</v>
      </c>
      <c r="F2011" s="55">
        <f t="shared" si="4"/>
        <v>47666</v>
      </c>
      <c r="G2011" s="202">
        <f t="shared" si="5"/>
        <v>107</v>
      </c>
      <c r="H2011" s="202" t="str">
        <f t="shared" si="11"/>
        <v> </v>
      </c>
      <c r="I2011" s="205" t="str">
        <f t="shared" si="7"/>
        <v/>
      </c>
      <c r="J2011" s="205"/>
      <c r="K2011" s="205"/>
    </row>
    <row r="2012" ht="14.25" customHeight="1">
      <c r="A2012" s="55">
        <v>47667.0</v>
      </c>
      <c r="B2012" s="55" t="str">
        <f t="shared" si="10"/>
        <v>Primer dia</v>
      </c>
      <c r="C2012" s="202">
        <f t="shared" si="1"/>
        <v>3</v>
      </c>
      <c r="D2012" s="202" t="str">
        <f t="shared" si="2"/>
        <v> </v>
      </c>
      <c r="E2012" s="202" t="str">
        <f t="shared" si="9"/>
        <v> </v>
      </c>
      <c r="F2012" s="55" t="str">
        <f t="shared" si="4"/>
        <v/>
      </c>
      <c r="G2012" s="202" t="str">
        <f t="shared" si="5"/>
        <v/>
      </c>
      <c r="H2012" s="202" t="str">
        <f t="shared" si="11"/>
        <v> </v>
      </c>
      <c r="I2012" s="205" t="str">
        <f t="shared" si="7"/>
        <v/>
      </c>
      <c r="J2012" s="205"/>
      <c r="K2012" s="205"/>
    </row>
    <row r="2013" ht="14.25" customHeight="1">
      <c r="A2013" s="55">
        <v>47668.0</v>
      </c>
      <c r="B2013" s="55" t="str">
        <f t="shared" si="10"/>
        <v>Primer dia</v>
      </c>
      <c r="C2013" s="202">
        <f t="shared" si="1"/>
        <v>4</v>
      </c>
      <c r="D2013" s="202" t="str">
        <f t="shared" si="2"/>
        <v> </v>
      </c>
      <c r="E2013" s="202" t="str">
        <f t="shared" si="9"/>
        <v> </v>
      </c>
      <c r="F2013" s="55" t="str">
        <f t="shared" si="4"/>
        <v/>
      </c>
      <c r="G2013" s="202" t="str">
        <f t="shared" si="5"/>
        <v/>
      </c>
      <c r="H2013" s="202" t="str">
        <f t="shared" si="11"/>
        <v> </v>
      </c>
      <c r="I2013" s="205" t="str">
        <f t="shared" si="7"/>
        <v/>
      </c>
      <c r="J2013" s="205"/>
      <c r="K2013" s="205"/>
    </row>
    <row r="2014" ht="14.25" customHeight="1">
      <c r="A2014" s="55">
        <v>47669.0</v>
      </c>
      <c r="B2014" s="55" t="str">
        <f t="shared" si="10"/>
        <v>Primer dia</v>
      </c>
      <c r="C2014" s="202">
        <f t="shared" si="1"/>
        <v>5</v>
      </c>
      <c r="D2014" s="202" t="str">
        <f t="shared" si="2"/>
        <v> </v>
      </c>
      <c r="E2014" s="202" t="str">
        <f t="shared" si="9"/>
        <v> </v>
      </c>
      <c r="F2014" s="55" t="str">
        <f t="shared" si="4"/>
        <v/>
      </c>
      <c r="G2014" s="202" t="str">
        <f t="shared" si="5"/>
        <v/>
      </c>
      <c r="H2014" s="202" t="str">
        <f t="shared" si="11"/>
        <v> </v>
      </c>
      <c r="I2014" s="205" t="str">
        <f t="shared" si="7"/>
        <v/>
      </c>
      <c r="J2014" s="205"/>
      <c r="K2014" s="205"/>
    </row>
    <row r="2015" ht="14.25" customHeight="1">
      <c r="A2015" s="55">
        <v>47670.0</v>
      </c>
      <c r="B2015" s="55" t="str">
        <f t="shared" si="10"/>
        <v>Primer dia</v>
      </c>
      <c r="C2015" s="202">
        <f t="shared" si="1"/>
        <v>6</v>
      </c>
      <c r="D2015" s="202" t="str">
        <f t="shared" si="2"/>
        <v> </v>
      </c>
      <c r="E2015" s="202" t="str">
        <f t="shared" si="9"/>
        <v> </v>
      </c>
      <c r="F2015" s="55" t="str">
        <f t="shared" si="4"/>
        <v/>
      </c>
      <c r="G2015" s="202" t="str">
        <f t="shared" si="5"/>
        <v/>
      </c>
      <c r="H2015" s="202" t="str">
        <f t="shared" si="11"/>
        <v> </v>
      </c>
      <c r="I2015" s="205" t="str">
        <f t="shared" si="7"/>
        <v/>
      </c>
      <c r="J2015" s="205"/>
      <c r="K2015" s="205"/>
    </row>
    <row r="2016" ht="14.25" customHeight="1">
      <c r="A2016" s="55">
        <v>47671.0</v>
      </c>
      <c r="B2016" s="55" t="str">
        <f t="shared" si="10"/>
        <v>Primer dia</v>
      </c>
      <c r="C2016" s="202">
        <f t="shared" si="1"/>
        <v>7</v>
      </c>
      <c r="D2016" s="202" t="str">
        <f t="shared" si="2"/>
        <v> </v>
      </c>
      <c r="E2016" s="202" t="str">
        <f t="shared" si="9"/>
        <v> </v>
      </c>
      <c r="F2016" s="55" t="str">
        <f t="shared" si="4"/>
        <v/>
      </c>
      <c r="G2016" s="202" t="str">
        <f t="shared" si="5"/>
        <v/>
      </c>
      <c r="H2016" s="202" t="str">
        <f t="shared" si="11"/>
        <v> </v>
      </c>
      <c r="I2016" s="205" t="str">
        <f t="shared" si="7"/>
        <v/>
      </c>
      <c r="J2016" s="205"/>
      <c r="K2016" s="205"/>
    </row>
    <row r="2017" ht="14.25" customHeight="1">
      <c r="A2017" s="55">
        <v>47672.0</v>
      </c>
      <c r="B2017" s="55" t="str">
        <f t="shared" si="10"/>
        <v>Primer dia</v>
      </c>
      <c r="C2017" s="202">
        <f t="shared" si="1"/>
        <v>8</v>
      </c>
      <c r="D2017" s="202" t="str">
        <f t="shared" si="2"/>
        <v> </v>
      </c>
      <c r="E2017" s="202" t="str">
        <f t="shared" si="9"/>
        <v> </v>
      </c>
      <c r="F2017" s="55" t="str">
        <f t="shared" si="4"/>
        <v/>
      </c>
      <c r="G2017" s="202" t="str">
        <f t="shared" si="5"/>
        <v/>
      </c>
      <c r="H2017" s="202" t="str">
        <f t="shared" si="11"/>
        <v> </v>
      </c>
      <c r="I2017" s="205" t="str">
        <f t="shared" si="7"/>
        <v/>
      </c>
      <c r="J2017" s="205"/>
      <c r="K2017" s="205"/>
    </row>
    <row r="2018" ht="14.25" customHeight="1">
      <c r="A2018" s="55">
        <v>47673.0</v>
      </c>
      <c r="B2018" s="55" t="str">
        <f t="shared" si="10"/>
        <v>Primer dia</v>
      </c>
      <c r="C2018" s="202">
        <f t="shared" si="1"/>
        <v>9</v>
      </c>
      <c r="D2018" s="202" t="str">
        <f t="shared" si="2"/>
        <v> </v>
      </c>
      <c r="E2018" s="202" t="str">
        <f t="shared" si="9"/>
        <v> </v>
      </c>
      <c r="F2018" s="55" t="str">
        <f t="shared" si="4"/>
        <v/>
      </c>
      <c r="G2018" s="202" t="str">
        <f t="shared" si="5"/>
        <v/>
      </c>
      <c r="H2018" s="202" t="str">
        <f t="shared" si="11"/>
        <v> </v>
      </c>
      <c r="I2018" s="205" t="str">
        <f t="shared" si="7"/>
        <v/>
      </c>
      <c r="J2018" s="205"/>
      <c r="K2018" s="205"/>
    </row>
    <row r="2019" ht="14.25" customHeight="1">
      <c r="A2019" s="55">
        <v>47674.0</v>
      </c>
      <c r="B2019" s="55" t="str">
        <f t="shared" si="10"/>
        <v>Primer dia</v>
      </c>
      <c r="C2019" s="202">
        <f t="shared" si="1"/>
        <v>10</v>
      </c>
      <c r="D2019" s="202" t="str">
        <f t="shared" si="2"/>
        <v> </v>
      </c>
      <c r="E2019" s="202" t="str">
        <f t="shared" si="9"/>
        <v> </v>
      </c>
      <c r="F2019" s="55" t="str">
        <f t="shared" si="4"/>
        <v/>
      </c>
      <c r="G2019" s="202" t="str">
        <f t="shared" si="5"/>
        <v/>
      </c>
      <c r="H2019" s="202" t="str">
        <f t="shared" si="11"/>
        <v> </v>
      </c>
      <c r="I2019" s="205" t="str">
        <f t="shared" si="7"/>
        <v/>
      </c>
      <c r="J2019" s="205"/>
      <c r="K2019" s="205"/>
    </row>
    <row r="2020" ht="14.25" customHeight="1">
      <c r="A2020" s="55">
        <v>47675.0</v>
      </c>
      <c r="B2020" s="55" t="str">
        <f t="shared" si="10"/>
        <v>Primer dia</v>
      </c>
      <c r="C2020" s="202">
        <f t="shared" si="1"/>
        <v>11</v>
      </c>
      <c r="D2020" s="202" t="str">
        <f t="shared" si="2"/>
        <v> </v>
      </c>
      <c r="E2020" s="202" t="str">
        <f t="shared" si="9"/>
        <v> </v>
      </c>
      <c r="F2020" s="55" t="str">
        <f t="shared" si="4"/>
        <v/>
      </c>
      <c r="G2020" s="202" t="str">
        <f t="shared" si="5"/>
        <v/>
      </c>
      <c r="H2020" s="202" t="str">
        <f t="shared" si="11"/>
        <v> </v>
      </c>
      <c r="I2020" s="205" t="str">
        <f t="shared" si="7"/>
        <v/>
      </c>
      <c r="J2020" s="205"/>
      <c r="K2020" s="205"/>
    </row>
    <row r="2021" ht="14.25" customHeight="1">
      <c r="A2021" s="55">
        <v>47676.0</v>
      </c>
      <c r="B2021" s="55" t="str">
        <f t="shared" si="10"/>
        <v>Primer dia</v>
      </c>
      <c r="C2021" s="202">
        <f t="shared" si="1"/>
        <v>12</v>
      </c>
      <c r="D2021" s="202" t="str">
        <f t="shared" si="2"/>
        <v> </v>
      </c>
      <c r="E2021" s="202" t="str">
        <f t="shared" si="9"/>
        <v> </v>
      </c>
      <c r="F2021" s="55" t="str">
        <f t="shared" si="4"/>
        <v/>
      </c>
      <c r="G2021" s="202" t="str">
        <f t="shared" si="5"/>
        <v/>
      </c>
      <c r="H2021" s="202" t="str">
        <f t="shared" si="11"/>
        <v> </v>
      </c>
      <c r="I2021" s="205" t="str">
        <f t="shared" si="7"/>
        <v/>
      </c>
      <c r="J2021" s="205"/>
      <c r="K2021" s="205"/>
    </row>
    <row r="2022" ht="14.25" customHeight="1">
      <c r="A2022" s="55">
        <v>47677.0</v>
      </c>
      <c r="B2022" s="55" t="str">
        <f t="shared" si="10"/>
        <v>Primer dia</v>
      </c>
      <c r="C2022" s="202">
        <f t="shared" si="1"/>
        <v>13</v>
      </c>
      <c r="D2022" s="202" t="str">
        <f t="shared" si="2"/>
        <v> </v>
      </c>
      <c r="E2022" s="202" t="str">
        <f t="shared" si="9"/>
        <v> </v>
      </c>
      <c r="F2022" s="55" t="str">
        <f t="shared" si="4"/>
        <v/>
      </c>
      <c r="G2022" s="202" t="str">
        <f t="shared" si="5"/>
        <v/>
      </c>
      <c r="H2022" s="202" t="str">
        <f t="shared" si="11"/>
        <v> </v>
      </c>
      <c r="I2022" s="205" t="str">
        <f t="shared" si="7"/>
        <v/>
      </c>
      <c r="J2022" s="205"/>
      <c r="K2022" s="205"/>
    </row>
    <row r="2023" ht="14.25" customHeight="1">
      <c r="A2023" s="55">
        <v>47678.0</v>
      </c>
      <c r="B2023" s="55" t="str">
        <f t="shared" si="10"/>
        <v>Primer dia</v>
      </c>
      <c r="C2023" s="202">
        <f t="shared" si="1"/>
        <v>14</v>
      </c>
      <c r="D2023" s="202" t="str">
        <f t="shared" si="2"/>
        <v> </v>
      </c>
      <c r="E2023" s="202" t="str">
        <f t="shared" si="9"/>
        <v> </v>
      </c>
      <c r="F2023" s="55" t="str">
        <f t="shared" si="4"/>
        <v/>
      </c>
      <c r="G2023" s="202" t="str">
        <f t="shared" si="5"/>
        <v/>
      </c>
      <c r="H2023" s="202" t="str">
        <f t="shared" si="11"/>
        <v> </v>
      </c>
      <c r="I2023" s="205" t="str">
        <f t="shared" si="7"/>
        <v/>
      </c>
      <c r="J2023" s="205"/>
      <c r="K2023" s="205"/>
    </row>
    <row r="2024" ht="14.25" customHeight="1">
      <c r="A2024" s="55">
        <v>47679.0</v>
      </c>
      <c r="B2024" s="55" t="str">
        <f t="shared" si="10"/>
        <v>Primer dia</v>
      </c>
      <c r="C2024" s="202">
        <f t="shared" si="1"/>
        <v>15</v>
      </c>
      <c r="D2024" s="202" t="str">
        <f t="shared" si="2"/>
        <v> </v>
      </c>
      <c r="E2024" s="202" t="str">
        <f t="shared" si="9"/>
        <v> </v>
      </c>
      <c r="F2024" s="55" t="str">
        <f t="shared" si="4"/>
        <v/>
      </c>
      <c r="G2024" s="202" t="str">
        <f t="shared" si="5"/>
        <v/>
      </c>
      <c r="H2024" s="202" t="str">
        <f t="shared" si="11"/>
        <v> </v>
      </c>
      <c r="I2024" s="205" t="str">
        <f t="shared" si="7"/>
        <v/>
      </c>
      <c r="J2024" s="205"/>
      <c r="K2024" s="205"/>
    </row>
    <row r="2025" ht="14.25" customHeight="1">
      <c r="A2025" s="55">
        <v>47680.0</v>
      </c>
      <c r="B2025" s="55" t="str">
        <f t="shared" si="10"/>
        <v>Primer dia</v>
      </c>
      <c r="C2025" s="202">
        <f t="shared" si="1"/>
        <v>16</v>
      </c>
      <c r="D2025" s="202" t="str">
        <f t="shared" si="2"/>
        <v> </v>
      </c>
      <c r="E2025" s="202" t="str">
        <f t="shared" si="9"/>
        <v> </v>
      </c>
      <c r="F2025" s="55" t="str">
        <f t="shared" si="4"/>
        <v/>
      </c>
      <c r="G2025" s="202" t="str">
        <f t="shared" si="5"/>
        <v/>
      </c>
      <c r="H2025" s="202" t="str">
        <f t="shared" si="11"/>
        <v> </v>
      </c>
      <c r="I2025" s="205" t="str">
        <f t="shared" si="7"/>
        <v/>
      </c>
      <c r="J2025" s="205"/>
      <c r="K2025" s="205"/>
    </row>
    <row r="2026" ht="14.25" customHeight="1">
      <c r="A2026" s="55">
        <v>47681.0</v>
      </c>
      <c r="B2026" s="55" t="str">
        <f t="shared" si="10"/>
        <v>Primer dia</v>
      </c>
      <c r="C2026" s="202">
        <f t="shared" si="1"/>
        <v>17</v>
      </c>
      <c r="D2026" s="202" t="str">
        <f t="shared" si="2"/>
        <v> </v>
      </c>
      <c r="E2026" s="202">
        <f t="shared" si="9"/>
        <v>17</v>
      </c>
      <c r="F2026" s="55">
        <f t="shared" si="4"/>
        <v>47681</v>
      </c>
      <c r="G2026" s="202">
        <f t="shared" si="5"/>
        <v>108</v>
      </c>
      <c r="H2026" s="202" t="str">
        <f t="shared" si="11"/>
        <v> </v>
      </c>
      <c r="I2026" s="205" t="str">
        <f t="shared" si="7"/>
        <v/>
      </c>
      <c r="J2026" s="205"/>
      <c r="K2026" s="205"/>
    </row>
    <row r="2027" ht="14.25" customHeight="1">
      <c r="A2027" s="55">
        <v>47682.0</v>
      </c>
      <c r="B2027" s="55" t="str">
        <f t="shared" si="10"/>
        <v>Primer dia</v>
      </c>
      <c r="C2027" s="202">
        <f t="shared" si="1"/>
        <v>18</v>
      </c>
      <c r="D2027" s="202" t="str">
        <f t="shared" si="2"/>
        <v> </v>
      </c>
      <c r="E2027" s="202" t="str">
        <f t="shared" si="9"/>
        <v> </v>
      </c>
      <c r="F2027" s="55" t="str">
        <f t="shared" si="4"/>
        <v/>
      </c>
      <c r="G2027" s="202" t="str">
        <f t="shared" si="5"/>
        <v/>
      </c>
      <c r="H2027" s="202" t="str">
        <f t="shared" si="11"/>
        <v> </v>
      </c>
      <c r="I2027" s="205" t="str">
        <f t="shared" si="7"/>
        <v/>
      </c>
      <c r="J2027" s="205"/>
      <c r="K2027" s="205"/>
    </row>
    <row r="2028" ht="14.25" customHeight="1">
      <c r="A2028" s="55">
        <v>47683.0</v>
      </c>
      <c r="B2028" s="55" t="str">
        <f t="shared" si="10"/>
        <v>Primer dia</v>
      </c>
      <c r="C2028" s="202">
        <f t="shared" si="1"/>
        <v>19</v>
      </c>
      <c r="D2028" s="202" t="str">
        <f t="shared" si="2"/>
        <v> </v>
      </c>
      <c r="E2028" s="202" t="str">
        <f t="shared" si="9"/>
        <v> </v>
      </c>
      <c r="F2028" s="55" t="str">
        <f t="shared" si="4"/>
        <v/>
      </c>
      <c r="G2028" s="202" t="str">
        <f t="shared" si="5"/>
        <v/>
      </c>
      <c r="H2028" s="202" t="str">
        <f t="shared" si="11"/>
        <v> </v>
      </c>
      <c r="I2028" s="205" t="str">
        <f t="shared" si="7"/>
        <v/>
      </c>
      <c r="J2028" s="205"/>
      <c r="K2028" s="205"/>
    </row>
    <row r="2029" ht="14.25" customHeight="1">
      <c r="A2029" s="55">
        <v>47684.0</v>
      </c>
      <c r="B2029" s="55" t="str">
        <f t="shared" si="10"/>
        <v>Primer dia</v>
      </c>
      <c r="C2029" s="202">
        <f t="shared" si="1"/>
        <v>20</v>
      </c>
      <c r="D2029" s="202" t="str">
        <f t="shared" si="2"/>
        <v> </v>
      </c>
      <c r="E2029" s="202" t="str">
        <f t="shared" si="9"/>
        <v> </v>
      </c>
      <c r="F2029" s="55" t="str">
        <f t="shared" si="4"/>
        <v/>
      </c>
      <c r="G2029" s="202" t="str">
        <f t="shared" si="5"/>
        <v/>
      </c>
      <c r="H2029" s="202" t="str">
        <f t="shared" si="11"/>
        <v> </v>
      </c>
      <c r="I2029" s="205" t="str">
        <f t="shared" si="7"/>
        <v/>
      </c>
      <c r="J2029" s="205"/>
      <c r="K2029" s="205"/>
    </row>
    <row r="2030" ht="14.25" customHeight="1">
      <c r="A2030" s="55">
        <v>47685.0</v>
      </c>
      <c r="B2030" s="55" t="str">
        <f t="shared" si="10"/>
        <v>Primer dia</v>
      </c>
      <c r="C2030" s="202">
        <f t="shared" si="1"/>
        <v>21</v>
      </c>
      <c r="D2030" s="202" t="str">
        <f t="shared" si="2"/>
        <v> </v>
      </c>
      <c r="E2030" s="202" t="str">
        <f t="shared" si="9"/>
        <v> </v>
      </c>
      <c r="F2030" s="55" t="str">
        <f t="shared" si="4"/>
        <v/>
      </c>
      <c r="G2030" s="202" t="str">
        <f t="shared" si="5"/>
        <v/>
      </c>
      <c r="H2030" s="202" t="str">
        <f t="shared" si="11"/>
        <v> </v>
      </c>
      <c r="I2030" s="205" t="str">
        <f t="shared" si="7"/>
        <v/>
      </c>
      <c r="J2030" s="205"/>
      <c r="K2030" s="205"/>
    </row>
    <row r="2031" ht="14.25" customHeight="1">
      <c r="A2031" s="55">
        <v>47686.0</v>
      </c>
      <c r="B2031" s="55" t="str">
        <f t="shared" si="10"/>
        <v>Primer dia</v>
      </c>
      <c r="C2031" s="202">
        <f t="shared" si="1"/>
        <v>22</v>
      </c>
      <c r="D2031" s="202" t="str">
        <f t="shared" si="2"/>
        <v> </v>
      </c>
      <c r="E2031" s="202" t="str">
        <f t="shared" si="9"/>
        <v> </v>
      </c>
      <c r="F2031" s="55" t="str">
        <f t="shared" si="4"/>
        <v/>
      </c>
      <c r="G2031" s="202" t="str">
        <f t="shared" si="5"/>
        <v/>
      </c>
      <c r="H2031" s="202" t="str">
        <f t="shared" si="11"/>
        <v> </v>
      </c>
      <c r="I2031" s="205" t="str">
        <f t="shared" si="7"/>
        <v/>
      </c>
      <c r="J2031" s="205"/>
      <c r="K2031" s="205"/>
    </row>
    <row r="2032" ht="14.25" customHeight="1">
      <c r="A2032" s="55">
        <v>47687.0</v>
      </c>
      <c r="B2032" s="55" t="str">
        <f t="shared" si="10"/>
        <v>Primer dia</v>
      </c>
      <c r="C2032" s="202">
        <f t="shared" si="1"/>
        <v>23</v>
      </c>
      <c r="D2032" s="202" t="str">
        <f t="shared" si="2"/>
        <v> </v>
      </c>
      <c r="E2032" s="202" t="str">
        <f t="shared" si="9"/>
        <v> </v>
      </c>
      <c r="F2032" s="55" t="str">
        <f t="shared" si="4"/>
        <v/>
      </c>
      <c r="G2032" s="202" t="str">
        <f t="shared" si="5"/>
        <v/>
      </c>
      <c r="H2032" s="202" t="str">
        <f t="shared" si="11"/>
        <v> </v>
      </c>
      <c r="I2032" s="205" t="str">
        <f t="shared" si="7"/>
        <v/>
      </c>
      <c r="J2032" s="205"/>
      <c r="K2032" s="205"/>
    </row>
    <row r="2033" ht="14.25" customHeight="1">
      <c r="A2033" s="55">
        <v>47688.0</v>
      </c>
      <c r="B2033" s="55" t="str">
        <f t="shared" si="10"/>
        <v>Primer dia</v>
      </c>
      <c r="C2033" s="202">
        <f t="shared" si="1"/>
        <v>24</v>
      </c>
      <c r="D2033" s="202" t="str">
        <f t="shared" si="2"/>
        <v> </v>
      </c>
      <c r="E2033" s="202" t="str">
        <f t="shared" si="9"/>
        <v> </v>
      </c>
      <c r="F2033" s="55" t="str">
        <f t="shared" si="4"/>
        <v/>
      </c>
      <c r="G2033" s="202" t="str">
        <f t="shared" si="5"/>
        <v/>
      </c>
      <c r="H2033" s="202" t="str">
        <f t="shared" si="11"/>
        <v> </v>
      </c>
      <c r="I2033" s="205" t="str">
        <f t="shared" si="7"/>
        <v/>
      </c>
      <c r="J2033" s="205"/>
      <c r="K2033" s="205"/>
    </row>
    <row r="2034" ht="14.25" customHeight="1">
      <c r="A2034" s="55">
        <v>47689.0</v>
      </c>
      <c r="B2034" s="55" t="str">
        <f t="shared" si="10"/>
        <v>Primer dia</v>
      </c>
      <c r="C2034" s="202">
        <f t="shared" si="1"/>
        <v>25</v>
      </c>
      <c r="D2034" s="202" t="str">
        <f t="shared" si="2"/>
        <v> </v>
      </c>
      <c r="E2034" s="202" t="str">
        <f t="shared" si="9"/>
        <v> </v>
      </c>
      <c r="F2034" s="55" t="str">
        <f t="shared" si="4"/>
        <v/>
      </c>
      <c r="G2034" s="202" t="str">
        <f t="shared" si="5"/>
        <v/>
      </c>
      <c r="H2034" s="202" t="str">
        <f t="shared" si="11"/>
        <v> </v>
      </c>
      <c r="I2034" s="205" t="str">
        <f t="shared" si="7"/>
        <v/>
      </c>
      <c r="J2034" s="205"/>
      <c r="K2034" s="205"/>
    </row>
    <row r="2035" ht="14.25" customHeight="1">
      <c r="A2035" s="55">
        <v>47690.0</v>
      </c>
      <c r="B2035" s="55" t="str">
        <f t="shared" si="10"/>
        <v>Primer dia</v>
      </c>
      <c r="C2035" s="202">
        <f t="shared" si="1"/>
        <v>26</v>
      </c>
      <c r="D2035" s="202" t="str">
        <f t="shared" si="2"/>
        <v> </v>
      </c>
      <c r="E2035" s="202" t="str">
        <f t="shared" si="9"/>
        <v> </v>
      </c>
      <c r="F2035" s="55" t="str">
        <f t="shared" si="4"/>
        <v/>
      </c>
      <c r="G2035" s="202" t="str">
        <f t="shared" si="5"/>
        <v/>
      </c>
      <c r="H2035" s="202" t="str">
        <f t="shared" si="11"/>
        <v> </v>
      </c>
      <c r="I2035" s="205" t="str">
        <f t="shared" si="7"/>
        <v/>
      </c>
      <c r="J2035" s="205"/>
      <c r="K2035" s="205"/>
    </row>
    <row r="2036" ht="14.25" customHeight="1">
      <c r="A2036" s="55">
        <v>47691.0</v>
      </c>
      <c r="B2036" s="55" t="str">
        <f t="shared" si="10"/>
        <v>Primer dia</v>
      </c>
      <c r="C2036" s="202">
        <f t="shared" si="1"/>
        <v>27</v>
      </c>
      <c r="D2036" s="202" t="str">
        <f t="shared" si="2"/>
        <v> </v>
      </c>
      <c r="E2036" s="202" t="str">
        <f t="shared" si="9"/>
        <v> </v>
      </c>
      <c r="F2036" s="55" t="str">
        <f t="shared" si="4"/>
        <v/>
      </c>
      <c r="G2036" s="202" t="str">
        <f t="shared" si="5"/>
        <v/>
      </c>
      <c r="H2036" s="202" t="str">
        <f t="shared" si="11"/>
        <v> </v>
      </c>
      <c r="I2036" s="205" t="str">
        <f t="shared" si="7"/>
        <v/>
      </c>
      <c r="J2036" s="205"/>
      <c r="K2036" s="205"/>
    </row>
    <row r="2037" ht="14.25" customHeight="1">
      <c r="A2037" s="55">
        <v>47692.0</v>
      </c>
      <c r="B2037" s="55" t="str">
        <f t="shared" si="10"/>
        <v>Primer dia</v>
      </c>
      <c r="C2037" s="202">
        <f t="shared" si="1"/>
        <v>28</v>
      </c>
      <c r="D2037" s="202" t="str">
        <f t="shared" si="2"/>
        <v> </v>
      </c>
      <c r="E2037" s="202" t="str">
        <f t="shared" si="9"/>
        <v> </v>
      </c>
      <c r="F2037" s="55" t="str">
        <f t="shared" si="4"/>
        <v/>
      </c>
      <c r="G2037" s="202" t="str">
        <f t="shared" si="5"/>
        <v/>
      </c>
      <c r="H2037" s="202" t="str">
        <f t="shared" si="11"/>
        <v> </v>
      </c>
      <c r="I2037" s="205" t="str">
        <f t="shared" si="7"/>
        <v/>
      </c>
      <c r="J2037" s="205"/>
      <c r="K2037" s="205"/>
    </row>
    <row r="2038" ht="14.25" customHeight="1">
      <c r="A2038" s="55">
        <v>47693.0</v>
      </c>
      <c r="B2038" s="55" t="str">
        <f t="shared" si="10"/>
        <v>Primer dia</v>
      </c>
      <c r="C2038" s="202">
        <f t="shared" si="1"/>
        <v>29</v>
      </c>
      <c r="D2038" s="202" t="str">
        <f t="shared" si="2"/>
        <v> </v>
      </c>
      <c r="E2038" s="202" t="str">
        <f t="shared" si="9"/>
        <v> </v>
      </c>
      <c r="F2038" s="55" t="str">
        <f t="shared" si="4"/>
        <v/>
      </c>
      <c r="G2038" s="202" t="str">
        <f t="shared" si="5"/>
        <v/>
      </c>
      <c r="H2038" s="202" t="str">
        <f t="shared" si="11"/>
        <v> </v>
      </c>
      <c r="I2038" s="205" t="str">
        <f t="shared" si="7"/>
        <v/>
      </c>
      <c r="J2038" s="205"/>
      <c r="K2038" s="205"/>
    </row>
    <row r="2039" ht="14.25" customHeight="1">
      <c r="A2039" s="55">
        <v>47694.0</v>
      </c>
      <c r="B2039" s="55" t="str">
        <f t="shared" si="10"/>
        <v>Primer dia</v>
      </c>
      <c r="C2039" s="202">
        <f t="shared" si="1"/>
        <v>30</v>
      </c>
      <c r="D2039" s="202" t="str">
        <f t="shared" si="2"/>
        <v> </v>
      </c>
      <c r="E2039" s="202" t="str">
        <f t="shared" si="9"/>
        <v> </v>
      </c>
      <c r="F2039" s="55" t="str">
        <f t="shared" si="4"/>
        <v/>
      </c>
      <c r="G2039" s="202" t="str">
        <f t="shared" si="5"/>
        <v/>
      </c>
      <c r="H2039" s="202" t="str">
        <f t="shared" si="11"/>
        <v> </v>
      </c>
      <c r="I2039" s="205" t="str">
        <f t="shared" si="7"/>
        <v/>
      </c>
      <c r="J2039" s="205"/>
      <c r="K2039" s="205"/>
    </row>
    <row r="2040" ht="14.25" customHeight="1">
      <c r="A2040" s="55">
        <v>47695.0</v>
      </c>
      <c r="B2040" s="55" t="str">
        <f t="shared" si="10"/>
        <v>Primer dia</v>
      </c>
      <c r="C2040" s="202">
        <f t="shared" si="1"/>
        <v>31</v>
      </c>
      <c r="D2040" s="202" t="str">
        <f t="shared" si="2"/>
        <v> </v>
      </c>
      <c r="E2040" s="202" t="str">
        <f t="shared" si="9"/>
        <v> </v>
      </c>
      <c r="F2040" s="55" t="str">
        <f t="shared" si="4"/>
        <v/>
      </c>
      <c r="G2040" s="202" t="str">
        <f t="shared" si="5"/>
        <v/>
      </c>
      <c r="H2040" s="202" t="str">
        <f t="shared" si="11"/>
        <v> </v>
      </c>
      <c r="I2040" s="205" t="str">
        <f t="shared" si="7"/>
        <v/>
      </c>
      <c r="J2040" s="205"/>
      <c r="K2040" s="205"/>
    </row>
    <row r="2041" ht="14.25" customHeight="1">
      <c r="A2041" s="55">
        <v>47696.0</v>
      </c>
      <c r="B2041" s="55" t="str">
        <f t="shared" si="10"/>
        <v>Primer dia</v>
      </c>
      <c r="C2041" s="202">
        <f t="shared" si="1"/>
        <v>1</v>
      </c>
      <c r="D2041" s="202" t="str">
        <f t="shared" si="2"/>
        <v> </v>
      </c>
      <c r="E2041" s="202" t="str">
        <f t="shared" si="9"/>
        <v> </v>
      </c>
      <c r="F2041" s="55" t="str">
        <f t="shared" si="4"/>
        <v/>
      </c>
      <c r="G2041" s="202" t="str">
        <f t="shared" si="5"/>
        <v/>
      </c>
      <c r="H2041" s="202" t="str">
        <f t="shared" si="11"/>
        <v> </v>
      </c>
      <c r="I2041" s="205" t="str">
        <f t="shared" si="7"/>
        <v/>
      </c>
      <c r="J2041" s="205"/>
      <c r="K2041" s="205"/>
    </row>
    <row r="2042" ht="14.25" customHeight="1">
      <c r="A2042" s="55">
        <v>47697.0</v>
      </c>
      <c r="B2042" s="55" t="str">
        <f t="shared" si="10"/>
        <v>Primer dia</v>
      </c>
      <c r="C2042" s="202">
        <f t="shared" si="1"/>
        <v>2</v>
      </c>
      <c r="D2042" s="202" t="str">
        <f t="shared" si="2"/>
        <v> </v>
      </c>
      <c r="E2042" s="202">
        <f t="shared" si="9"/>
        <v>2</v>
      </c>
      <c r="F2042" s="55">
        <f t="shared" si="4"/>
        <v>47697</v>
      </c>
      <c r="G2042" s="202">
        <f t="shared" si="5"/>
        <v>109</v>
      </c>
      <c r="H2042" s="202" t="str">
        <f t="shared" si="11"/>
        <v> </v>
      </c>
      <c r="I2042" s="205" t="str">
        <f t="shared" si="7"/>
        <v/>
      </c>
      <c r="J2042" s="205"/>
      <c r="K2042" s="205"/>
    </row>
    <row r="2043" ht="14.25" customHeight="1">
      <c r="A2043" s="55">
        <v>47698.0</v>
      </c>
      <c r="B2043" s="55" t="str">
        <f t="shared" si="10"/>
        <v>Primer dia</v>
      </c>
      <c r="C2043" s="202">
        <f t="shared" si="1"/>
        <v>3</v>
      </c>
      <c r="D2043" s="202" t="str">
        <f t="shared" si="2"/>
        <v> </v>
      </c>
      <c r="E2043" s="202" t="str">
        <f t="shared" si="9"/>
        <v> </v>
      </c>
      <c r="F2043" s="55" t="str">
        <f t="shared" si="4"/>
        <v/>
      </c>
      <c r="G2043" s="202" t="str">
        <f t="shared" si="5"/>
        <v/>
      </c>
      <c r="H2043" s="202" t="str">
        <f t="shared" si="11"/>
        <v> </v>
      </c>
      <c r="I2043" s="205" t="str">
        <f t="shared" si="7"/>
        <v/>
      </c>
      <c r="J2043" s="205"/>
      <c r="K2043" s="205"/>
    </row>
    <row r="2044" ht="14.25" customHeight="1">
      <c r="A2044" s="55">
        <v>47699.0</v>
      </c>
      <c r="B2044" s="55" t="str">
        <f t="shared" si="10"/>
        <v>Primer dia</v>
      </c>
      <c r="C2044" s="202">
        <f t="shared" si="1"/>
        <v>4</v>
      </c>
      <c r="D2044" s="202" t="str">
        <f t="shared" si="2"/>
        <v> </v>
      </c>
      <c r="E2044" s="202" t="str">
        <f t="shared" si="9"/>
        <v> </v>
      </c>
      <c r="F2044" s="55" t="str">
        <f t="shared" si="4"/>
        <v/>
      </c>
      <c r="G2044" s="202" t="str">
        <f t="shared" si="5"/>
        <v/>
      </c>
      <c r="H2044" s="202" t="str">
        <f t="shared" si="11"/>
        <v> </v>
      </c>
      <c r="I2044" s="205" t="str">
        <f t="shared" si="7"/>
        <v/>
      </c>
      <c r="J2044" s="205"/>
      <c r="K2044" s="205"/>
    </row>
    <row r="2045" ht="14.25" customHeight="1">
      <c r="A2045" s="55">
        <v>47700.0</v>
      </c>
      <c r="B2045" s="55" t="str">
        <f t="shared" si="10"/>
        <v>Primer dia</v>
      </c>
      <c r="C2045" s="202">
        <f t="shared" si="1"/>
        <v>5</v>
      </c>
      <c r="D2045" s="202" t="str">
        <f t="shared" si="2"/>
        <v> </v>
      </c>
      <c r="E2045" s="202" t="str">
        <f t="shared" si="9"/>
        <v> </v>
      </c>
      <c r="F2045" s="55" t="str">
        <f t="shared" si="4"/>
        <v/>
      </c>
      <c r="G2045" s="202" t="str">
        <f t="shared" si="5"/>
        <v/>
      </c>
      <c r="H2045" s="202" t="str">
        <f t="shared" si="11"/>
        <v> </v>
      </c>
      <c r="I2045" s="205" t="str">
        <f t="shared" si="7"/>
        <v/>
      </c>
      <c r="J2045" s="205"/>
      <c r="K2045" s="205"/>
    </row>
    <row r="2046" ht="14.25" customHeight="1">
      <c r="A2046" s="55">
        <v>47701.0</v>
      </c>
      <c r="B2046" s="55" t="str">
        <f t="shared" si="10"/>
        <v>Primer dia</v>
      </c>
      <c r="C2046" s="202">
        <f t="shared" si="1"/>
        <v>6</v>
      </c>
      <c r="D2046" s="202" t="str">
        <f t="shared" si="2"/>
        <v> </v>
      </c>
      <c r="E2046" s="202" t="str">
        <f t="shared" si="9"/>
        <v> </v>
      </c>
      <c r="F2046" s="55" t="str">
        <f t="shared" si="4"/>
        <v/>
      </c>
      <c r="G2046" s="202" t="str">
        <f t="shared" si="5"/>
        <v/>
      </c>
      <c r="H2046" s="202" t="str">
        <f t="shared" si="11"/>
        <v> </v>
      </c>
      <c r="I2046" s="205" t="str">
        <f t="shared" si="7"/>
        <v/>
      </c>
      <c r="J2046" s="205"/>
      <c r="K2046" s="205"/>
    </row>
    <row r="2047" ht="14.25" customHeight="1">
      <c r="A2047" s="55">
        <v>47702.0</v>
      </c>
      <c r="B2047" s="55" t="str">
        <f t="shared" si="10"/>
        <v>Primer dia</v>
      </c>
      <c r="C2047" s="202">
        <f t="shared" si="1"/>
        <v>7</v>
      </c>
      <c r="D2047" s="202" t="str">
        <f t="shared" si="2"/>
        <v> </v>
      </c>
      <c r="E2047" s="202" t="str">
        <f t="shared" si="9"/>
        <v> </v>
      </c>
      <c r="F2047" s="55" t="str">
        <f t="shared" si="4"/>
        <v/>
      </c>
      <c r="G2047" s="202" t="str">
        <f t="shared" si="5"/>
        <v/>
      </c>
      <c r="H2047" s="202" t="str">
        <f t="shared" si="11"/>
        <v> </v>
      </c>
      <c r="I2047" s="205" t="str">
        <f t="shared" si="7"/>
        <v/>
      </c>
      <c r="J2047" s="205"/>
      <c r="K2047" s="205"/>
    </row>
    <row r="2048" ht="14.25" customHeight="1">
      <c r="A2048" s="55">
        <v>47703.0</v>
      </c>
      <c r="B2048" s="55" t="str">
        <f t="shared" si="10"/>
        <v>Primer dia</v>
      </c>
      <c r="C2048" s="202">
        <f t="shared" si="1"/>
        <v>8</v>
      </c>
      <c r="D2048" s="202" t="str">
        <f t="shared" si="2"/>
        <v> </v>
      </c>
      <c r="E2048" s="202" t="str">
        <f t="shared" si="9"/>
        <v> </v>
      </c>
      <c r="F2048" s="55" t="str">
        <f t="shared" si="4"/>
        <v/>
      </c>
      <c r="G2048" s="202" t="str">
        <f t="shared" si="5"/>
        <v/>
      </c>
      <c r="H2048" s="202" t="str">
        <f t="shared" si="11"/>
        <v> </v>
      </c>
      <c r="I2048" s="205" t="str">
        <f t="shared" si="7"/>
        <v/>
      </c>
      <c r="J2048" s="205"/>
      <c r="K2048" s="205"/>
    </row>
    <row r="2049" ht="14.25" customHeight="1">
      <c r="A2049" s="55">
        <v>47704.0</v>
      </c>
      <c r="B2049" s="55" t="str">
        <f t="shared" si="10"/>
        <v>Primer dia</v>
      </c>
      <c r="C2049" s="202">
        <f t="shared" si="1"/>
        <v>9</v>
      </c>
      <c r="D2049" s="202" t="str">
        <f t="shared" si="2"/>
        <v> </v>
      </c>
      <c r="E2049" s="202" t="str">
        <f t="shared" si="9"/>
        <v> </v>
      </c>
      <c r="F2049" s="55" t="str">
        <f t="shared" si="4"/>
        <v/>
      </c>
      <c r="G2049" s="202" t="str">
        <f t="shared" si="5"/>
        <v/>
      </c>
      <c r="H2049" s="202" t="str">
        <f t="shared" si="11"/>
        <v> </v>
      </c>
      <c r="I2049" s="205" t="str">
        <f t="shared" si="7"/>
        <v/>
      </c>
      <c r="J2049" s="205"/>
      <c r="K2049" s="205"/>
    </row>
    <row r="2050" ht="14.25" customHeight="1">
      <c r="A2050" s="55">
        <v>47705.0</v>
      </c>
      <c r="B2050" s="55" t="str">
        <f t="shared" si="10"/>
        <v>Primer dia</v>
      </c>
      <c r="C2050" s="202">
        <f t="shared" si="1"/>
        <v>10</v>
      </c>
      <c r="D2050" s="202" t="str">
        <f t="shared" si="2"/>
        <v> </v>
      </c>
      <c r="E2050" s="202" t="str">
        <f t="shared" si="9"/>
        <v> </v>
      </c>
      <c r="F2050" s="55" t="str">
        <f t="shared" si="4"/>
        <v/>
      </c>
      <c r="G2050" s="202" t="str">
        <f t="shared" si="5"/>
        <v/>
      </c>
      <c r="H2050" s="202" t="str">
        <f t="shared" si="11"/>
        <v> </v>
      </c>
      <c r="I2050" s="205" t="str">
        <f t="shared" si="7"/>
        <v/>
      </c>
      <c r="J2050" s="205"/>
      <c r="K2050" s="205"/>
    </row>
    <row r="2051" ht="14.25" customHeight="1">
      <c r="A2051" s="55">
        <v>47706.0</v>
      </c>
      <c r="B2051" s="55" t="str">
        <f t="shared" si="10"/>
        <v>Primer dia</v>
      </c>
      <c r="C2051" s="202">
        <f t="shared" si="1"/>
        <v>11</v>
      </c>
      <c r="D2051" s="202" t="str">
        <f t="shared" si="2"/>
        <v> </v>
      </c>
      <c r="E2051" s="202" t="str">
        <f t="shared" si="9"/>
        <v> </v>
      </c>
      <c r="F2051" s="55" t="str">
        <f t="shared" si="4"/>
        <v/>
      </c>
      <c r="G2051" s="202" t="str">
        <f t="shared" si="5"/>
        <v/>
      </c>
      <c r="H2051" s="202" t="str">
        <f t="shared" si="11"/>
        <v> </v>
      </c>
      <c r="I2051" s="205" t="str">
        <f t="shared" si="7"/>
        <v/>
      </c>
      <c r="J2051" s="205"/>
      <c r="K2051" s="205"/>
    </row>
    <row r="2052" ht="14.25" customHeight="1">
      <c r="A2052" s="55">
        <v>47707.0</v>
      </c>
      <c r="B2052" s="55" t="str">
        <f t="shared" si="10"/>
        <v>Primer dia</v>
      </c>
      <c r="C2052" s="202">
        <f t="shared" si="1"/>
        <v>12</v>
      </c>
      <c r="D2052" s="202" t="str">
        <f t="shared" si="2"/>
        <v> </v>
      </c>
      <c r="E2052" s="202" t="str">
        <f t="shared" si="9"/>
        <v> </v>
      </c>
      <c r="F2052" s="55" t="str">
        <f t="shared" si="4"/>
        <v/>
      </c>
      <c r="G2052" s="202" t="str">
        <f t="shared" si="5"/>
        <v/>
      </c>
      <c r="H2052" s="202" t="str">
        <f t="shared" si="11"/>
        <v> </v>
      </c>
      <c r="I2052" s="205" t="str">
        <f t="shared" si="7"/>
        <v/>
      </c>
      <c r="J2052" s="205"/>
      <c r="K2052" s="205"/>
    </row>
    <row r="2053" ht="14.25" customHeight="1">
      <c r="A2053" s="55">
        <v>47708.0</v>
      </c>
      <c r="B2053" s="55" t="str">
        <f t="shared" si="10"/>
        <v>Primer dia</v>
      </c>
      <c r="C2053" s="202">
        <f t="shared" si="1"/>
        <v>13</v>
      </c>
      <c r="D2053" s="202" t="str">
        <f t="shared" si="2"/>
        <v> </v>
      </c>
      <c r="E2053" s="202" t="str">
        <f t="shared" si="9"/>
        <v> </v>
      </c>
      <c r="F2053" s="55" t="str">
        <f t="shared" si="4"/>
        <v/>
      </c>
      <c r="G2053" s="202" t="str">
        <f t="shared" si="5"/>
        <v/>
      </c>
      <c r="H2053" s="202" t="str">
        <f t="shared" si="11"/>
        <v> </v>
      </c>
      <c r="I2053" s="205" t="str">
        <f t="shared" si="7"/>
        <v/>
      </c>
      <c r="J2053" s="205"/>
      <c r="K2053" s="205"/>
    </row>
    <row r="2054" ht="14.25" customHeight="1">
      <c r="A2054" s="55">
        <v>47709.0</v>
      </c>
      <c r="B2054" s="55" t="str">
        <f t="shared" si="10"/>
        <v>Primer dia</v>
      </c>
      <c r="C2054" s="202">
        <f t="shared" si="1"/>
        <v>14</v>
      </c>
      <c r="D2054" s="202" t="str">
        <f t="shared" si="2"/>
        <v> </v>
      </c>
      <c r="E2054" s="202" t="str">
        <f t="shared" si="9"/>
        <v> </v>
      </c>
      <c r="F2054" s="55" t="str">
        <f t="shared" si="4"/>
        <v/>
      </c>
      <c r="G2054" s="202" t="str">
        <f t="shared" si="5"/>
        <v/>
      </c>
      <c r="H2054" s="202" t="str">
        <f t="shared" si="11"/>
        <v> </v>
      </c>
      <c r="I2054" s="205" t="str">
        <f t="shared" si="7"/>
        <v/>
      </c>
      <c r="J2054" s="205"/>
      <c r="K2054" s="205"/>
    </row>
    <row r="2055" ht="14.25" customHeight="1">
      <c r="A2055" s="55">
        <v>47710.0</v>
      </c>
      <c r="B2055" s="55" t="str">
        <f t="shared" si="10"/>
        <v>Primer dia</v>
      </c>
      <c r="C2055" s="202">
        <f t="shared" si="1"/>
        <v>15</v>
      </c>
      <c r="D2055" s="202" t="str">
        <f t="shared" si="2"/>
        <v> </v>
      </c>
      <c r="E2055" s="202" t="str">
        <f t="shared" si="9"/>
        <v> </v>
      </c>
      <c r="F2055" s="55" t="str">
        <f t="shared" si="4"/>
        <v/>
      </c>
      <c r="G2055" s="202" t="str">
        <f t="shared" si="5"/>
        <v/>
      </c>
      <c r="H2055" s="202" t="str">
        <f t="shared" si="11"/>
        <v> </v>
      </c>
      <c r="I2055" s="205" t="str">
        <f t="shared" si="7"/>
        <v/>
      </c>
      <c r="J2055" s="205"/>
      <c r="K2055" s="205"/>
    </row>
    <row r="2056" ht="14.25" customHeight="1">
      <c r="A2056" s="55">
        <v>47711.0</v>
      </c>
      <c r="B2056" s="55" t="str">
        <f t="shared" si="10"/>
        <v>Primer dia</v>
      </c>
      <c r="C2056" s="202">
        <f t="shared" si="1"/>
        <v>16</v>
      </c>
      <c r="D2056" s="202" t="str">
        <f t="shared" si="2"/>
        <v> </v>
      </c>
      <c r="E2056" s="202" t="str">
        <f t="shared" si="9"/>
        <v> </v>
      </c>
      <c r="F2056" s="55" t="str">
        <f t="shared" si="4"/>
        <v/>
      </c>
      <c r="G2056" s="202" t="str">
        <f t="shared" si="5"/>
        <v/>
      </c>
      <c r="H2056" s="202" t="str">
        <f t="shared" si="11"/>
        <v> </v>
      </c>
      <c r="I2056" s="205" t="str">
        <f t="shared" si="7"/>
        <v/>
      </c>
      <c r="J2056" s="205"/>
      <c r="K2056" s="205"/>
    </row>
    <row r="2057" ht="14.25" customHeight="1">
      <c r="A2057" s="55">
        <v>47712.0</v>
      </c>
      <c r="B2057" s="55" t="str">
        <f t="shared" si="10"/>
        <v>Primer dia</v>
      </c>
      <c r="C2057" s="202">
        <f t="shared" si="1"/>
        <v>17</v>
      </c>
      <c r="D2057" s="202" t="str">
        <f t="shared" si="2"/>
        <v> </v>
      </c>
      <c r="E2057" s="202">
        <f t="shared" si="9"/>
        <v>17</v>
      </c>
      <c r="F2057" s="55">
        <f t="shared" si="4"/>
        <v>47712</v>
      </c>
      <c r="G2057" s="202">
        <f t="shared" si="5"/>
        <v>110</v>
      </c>
      <c r="H2057" s="202" t="str">
        <f t="shared" si="11"/>
        <v> </v>
      </c>
      <c r="I2057" s="205" t="str">
        <f t="shared" si="7"/>
        <v/>
      </c>
      <c r="J2057" s="205"/>
      <c r="K2057" s="205"/>
    </row>
    <row r="2058" ht="14.25" customHeight="1">
      <c r="A2058" s="55">
        <v>47713.0</v>
      </c>
      <c r="B2058" s="55" t="str">
        <f t="shared" si="10"/>
        <v>Primer dia</v>
      </c>
      <c r="C2058" s="202">
        <f t="shared" si="1"/>
        <v>18</v>
      </c>
      <c r="D2058" s="202" t="str">
        <f t="shared" si="2"/>
        <v> </v>
      </c>
      <c r="E2058" s="202" t="str">
        <f t="shared" si="9"/>
        <v> </v>
      </c>
      <c r="F2058" s="55" t="str">
        <f t="shared" si="4"/>
        <v/>
      </c>
      <c r="G2058" s="202" t="str">
        <f t="shared" si="5"/>
        <v/>
      </c>
      <c r="H2058" s="202" t="str">
        <f t="shared" si="11"/>
        <v> </v>
      </c>
      <c r="I2058" s="205" t="str">
        <f t="shared" si="7"/>
        <v/>
      </c>
      <c r="J2058" s="205"/>
      <c r="K2058" s="205"/>
    </row>
    <row r="2059" ht="14.25" customHeight="1">
      <c r="A2059" s="55">
        <v>47714.0</v>
      </c>
      <c r="B2059" s="55" t="str">
        <f t="shared" si="10"/>
        <v>Primer dia</v>
      </c>
      <c r="C2059" s="202">
        <f t="shared" si="1"/>
        <v>19</v>
      </c>
      <c r="D2059" s="202" t="str">
        <f t="shared" si="2"/>
        <v> </v>
      </c>
      <c r="E2059" s="202" t="str">
        <f t="shared" si="9"/>
        <v> </v>
      </c>
      <c r="F2059" s="55" t="str">
        <f t="shared" si="4"/>
        <v/>
      </c>
      <c r="G2059" s="202" t="str">
        <f t="shared" si="5"/>
        <v/>
      </c>
      <c r="H2059" s="202" t="str">
        <f t="shared" si="11"/>
        <v> </v>
      </c>
      <c r="I2059" s="205" t="str">
        <f t="shared" si="7"/>
        <v/>
      </c>
      <c r="J2059" s="205"/>
      <c r="K2059" s="205"/>
    </row>
    <row r="2060" ht="14.25" customHeight="1">
      <c r="A2060" s="55">
        <v>47715.0</v>
      </c>
      <c r="B2060" s="55" t="str">
        <f t="shared" si="10"/>
        <v>Primer dia</v>
      </c>
      <c r="C2060" s="202">
        <f t="shared" si="1"/>
        <v>20</v>
      </c>
      <c r="D2060" s="202" t="str">
        <f t="shared" si="2"/>
        <v> </v>
      </c>
      <c r="E2060" s="202" t="str">
        <f t="shared" si="9"/>
        <v> </v>
      </c>
      <c r="F2060" s="55" t="str">
        <f t="shared" si="4"/>
        <v/>
      </c>
      <c r="G2060" s="202" t="str">
        <f t="shared" si="5"/>
        <v/>
      </c>
      <c r="H2060" s="202" t="str">
        <f t="shared" si="11"/>
        <v> </v>
      </c>
      <c r="I2060" s="205" t="str">
        <f t="shared" si="7"/>
        <v/>
      </c>
      <c r="J2060" s="205"/>
      <c r="K2060" s="205"/>
    </row>
    <row r="2061" ht="14.25" customHeight="1">
      <c r="A2061" s="55">
        <v>47716.0</v>
      </c>
      <c r="B2061" s="55" t="str">
        <f t="shared" si="10"/>
        <v>Primer dia</v>
      </c>
      <c r="C2061" s="202">
        <f t="shared" si="1"/>
        <v>21</v>
      </c>
      <c r="D2061" s="202" t="str">
        <f t="shared" si="2"/>
        <v> </v>
      </c>
      <c r="E2061" s="202" t="str">
        <f t="shared" si="9"/>
        <v> </v>
      </c>
      <c r="F2061" s="55" t="str">
        <f t="shared" si="4"/>
        <v/>
      </c>
      <c r="G2061" s="202" t="str">
        <f t="shared" si="5"/>
        <v/>
      </c>
      <c r="H2061" s="202" t="str">
        <f t="shared" si="11"/>
        <v> </v>
      </c>
      <c r="I2061" s="205" t="str">
        <f t="shared" si="7"/>
        <v/>
      </c>
      <c r="J2061" s="205"/>
      <c r="K2061" s="205"/>
    </row>
    <row r="2062" ht="14.25" customHeight="1">
      <c r="A2062" s="55">
        <v>47717.0</v>
      </c>
      <c r="B2062" s="55" t="str">
        <f t="shared" si="10"/>
        <v>Primer dia</v>
      </c>
      <c r="C2062" s="202">
        <f t="shared" si="1"/>
        <v>22</v>
      </c>
      <c r="D2062" s="202" t="str">
        <f t="shared" si="2"/>
        <v> </v>
      </c>
      <c r="E2062" s="202" t="str">
        <f t="shared" si="9"/>
        <v> </v>
      </c>
      <c r="F2062" s="55" t="str">
        <f t="shared" si="4"/>
        <v/>
      </c>
      <c r="G2062" s="202" t="str">
        <f t="shared" si="5"/>
        <v/>
      </c>
      <c r="H2062" s="202" t="str">
        <f t="shared" si="11"/>
        <v> </v>
      </c>
      <c r="I2062" s="205" t="str">
        <f t="shared" si="7"/>
        <v/>
      </c>
      <c r="J2062" s="205"/>
      <c r="K2062" s="205"/>
    </row>
    <row r="2063" ht="14.25" customHeight="1">
      <c r="A2063" s="55">
        <v>47718.0</v>
      </c>
      <c r="B2063" s="55" t="str">
        <f t="shared" si="10"/>
        <v>Primer dia</v>
      </c>
      <c r="C2063" s="202">
        <f t="shared" si="1"/>
        <v>23</v>
      </c>
      <c r="D2063" s="202" t="str">
        <f t="shared" si="2"/>
        <v> </v>
      </c>
      <c r="E2063" s="202" t="str">
        <f t="shared" si="9"/>
        <v> </v>
      </c>
      <c r="F2063" s="55" t="str">
        <f t="shared" si="4"/>
        <v/>
      </c>
      <c r="G2063" s="202" t="str">
        <f t="shared" si="5"/>
        <v/>
      </c>
      <c r="H2063" s="202" t="str">
        <f t="shared" si="11"/>
        <v> </v>
      </c>
      <c r="I2063" s="205" t="str">
        <f t="shared" si="7"/>
        <v/>
      </c>
      <c r="J2063" s="205"/>
      <c r="K2063" s="205"/>
    </row>
    <row r="2064" ht="14.25" customHeight="1">
      <c r="A2064" s="55">
        <v>47719.0</v>
      </c>
      <c r="B2064" s="55" t="str">
        <f t="shared" si="10"/>
        <v>Primer dia</v>
      </c>
      <c r="C2064" s="202">
        <f t="shared" si="1"/>
        <v>24</v>
      </c>
      <c r="D2064" s="202" t="str">
        <f t="shared" si="2"/>
        <v> </v>
      </c>
      <c r="E2064" s="202" t="str">
        <f t="shared" si="9"/>
        <v> </v>
      </c>
      <c r="F2064" s="55" t="str">
        <f t="shared" si="4"/>
        <v/>
      </c>
      <c r="G2064" s="202" t="str">
        <f t="shared" si="5"/>
        <v/>
      </c>
      <c r="H2064" s="202" t="str">
        <f t="shared" si="11"/>
        <v> </v>
      </c>
      <c r="I2064" s="205" t="str">
        <f t="shared" si="7"/>
        <v/>
      </c>
      <c r="J2064" s="205"/>
      <c r="K2064" s="205"/>
    </row>
    <row r="2065" ht="14.25" customHeight="1">
      <c r="A2065" s="55">
        <v>47720.0</v>
      </c>
      <c r="B2065" s="55" t="str">
        <f t="shared" si="10"/>
        <v>Primer dia</v>
      </c>
      <c r="C2065" s="202">
        <f t="shared" si="1"/>
        <v>25</v>
      </c>
      <c r="D2065" s="202" t="str">
        <f t="shared" si="2"/>
        <v> </v>
      </c>
      <c r="E2065" s="202" t="str">
        <f t="shared" si="9"/>
        <v> </v>
      </c>
      <c r="F2065" s="55" t="str">
        <f t="shared" si="4"/>
        <v/>
      </c>
      <c r="G2065" s="202" t="str">
        <f t="shared" si="5"/>
        <v/>
      </c>
      <c r="H2065" s="202" t="str">
        <f t="shared" si="11"/>
        <v> </v>
      </c>
      <c r="I2065" s="205" t="str">
        <f t="shared" si="7"/>
        <v/>
      </c>
      <c r="J2065" s="205"/>
      <c r="K2065" s="205"/>
    </row>
    <row r="2066" ht="14.25" customHeight="1">
      <c r="A2066" s="55">
        <v>47721.0</v>
      </c>
      <c r="B2066" s="55" t="str">
        <f t="shared" si="10"/>
        <v>Primer dia</v>
      </c>
      <c r="C2066" s="202">
        <f t="shared" si="1"/>
        <v>26</v>
      </c>
      <c r="D2066" s="202" t="str">
        <f t="shared" si="2"/>
        <v> </v>
      </c>
      <c r="E2066" s="202" t="str">
        <f t="shared" si="9"/>
        <v> </v>
      </c>
      <c r="F2066" s="55" t="str">
        <f t="shared" si="4"/>
        <v/>
      </c>
      <c r="G2066" s="202" t="str">
        <f t="shared" si="5"/>
        <v/>
      </c>
      <c r="H2066" s="202" t="str">
        <f t="shared" si="11"/>
        <v> </v>
      </c>
      <c r="I2066" s="205" t="str">
        <f t="shared" si="7"/>
        <v/>
      </c>
      <c r="J2066" s="205"/>
      <c r="K2066" s="205"/>
    </row>
    <row r="2067" ht="14.25" customHeight="1">
      <c r="A2067" s="55">
        <v>47722.0</v>
      </c>
      <c r="B2067" s="55" t="str">
        <f t="shared" si="10"/>
        <v>Primer dia</v>
      </c>
      <c r="C2067" s="202">
        <f t="shared" si="1"/>
        <v>27</v>
      </c>
      <c r="D2067" s="202" t="str">
        <f t="shared" si="2"/>
        <v> </v>
      </c>
      <c r="E2067" s="202" t="str">
        <f t="shared" si="9"/>
        <v> </v>
      </c>
      <c r="F2067" s="55" t="str">
        <f t="shared" si="4"/>
        <v/>
      </c>
      <c r="G2067" s="202" t="str">
        <f t="shared" si="5"/>
        <v/>
      </c>
      <c r="H2067" s="202" t="str">
        <f t="shared" si="11"/>
        <v> </v>
      </c>
      <c r="I2067" s="205" t="str">
        <f t="shared" si="7"/>
        <v/>
      </c>
      <c r="J2067" s="205"/>
      <c r="K2067" s="205"/>
    </row>
    <row r="2068" ht="14.25" customHeight="1">
      <c r="A2068" s="55">
        <v>47723.0</v>
      </c>
      <c r="B2068" s="55" t="str">
        <f t="shared" si="10"/>
        <v>Primer dia</v>
      </c>
      <c r="C2068" s="202">
        <f t="shared" si="1"/>
        <v>28</v>
      </c>
      <c r="D2068" s="202" t="str">
        <f t="shared" si="2"/>
        <v> </v>
      </c>
      <c r="E2068" s="202" t="str">
        <f t="shared" si="9"/>
        <v> </v>
      </c>
      <c r="F2068" s="55" t="str">
        <f t="shared" si="4"/>
        <v/>
      </c>
      <c r="G2068" s="202" t="str">
        <f t="shared" si="5"/>
        <v/>
      </c>
      <c r="H2068" s="202" t="str">
        <f t="shared" si="11"/>
        <v> </v>
      </c>
      <c r="I2068" s="205" t="str">
        <f t="shared" si="7"/>
        <v/>
      </c>
      <c r="J2068" s="205"/>
      <c r="K2068" s="205"/>
    </row>
    <row r="2069" ht="14.25" customHeight="1">
      <c r="A2069" s="55">
        <v>47724.0</v>
      </c>
      <c r="B2069" s="55" t="str">
        <f t="shared" si="10"/>
        <v>Primer dia</v>
      </c>
      <c r="C2069" s="202">
        <f t="shared" si="1"/>
        <v>29</v>
      </c>
      <c r="D2069" s="202" t="str">
        <f t="shared" si="2"/>
        <v> </v>
      </c>
      <c r="E2069" s="202" t="str">
        <f t="shared" si="9"/>
        <v> </v>
      </c>
      <c r="F2069" s="55" t="str">
        <f t="shared" si="4"/>
        <v/>
      </c>
      <c r="G2069" s="202" t="str">
        <f t="shared" si="5"/>
        <v/>
      </c>
      <c r="H2069" s="202" t="str">
        <f t="shared" si="11"/>
        <v> </v>
      </c>
      <c r="I2069" s="205" t="str">
        <f t="shared" si="7"/>
        <v/>
      </c>
      <c r="J2069" s="205"/>
      <c r="K2069" s="205"/>
    </row>
    <row r="2070" ht="14.25" customHeight="1">
      <c r="A2070" s="55">
        <v>47725.0</v>
      </c>
      <c r="B2070" s="55" t="str">
        <f t="shared" si="10"/>
        <v>Primer dia</v>
      </c>
      <c r="C2070" s="202">
        <f t="shared" si="1"/>
        <v>30</v>
      </c>
      <c r="D2070" s="202" t="str">
        <f t="shared" si="2"/>
        <v> </v>
      </c>
      <c r="E2070" s="202" t="str">
        <f t="shared" si="9"/>
        <v> </v>
      </c>
      <c r="F2070" s="55" t="str">
        <f t="shared" si="4"/>
        <v/>
      </c>
      <c r="G2070" s="202" t="str">
        <f t="shared" si="5"/>
        <v/>
      </c>
      <c r="H2070" s="202" t="str">
        <f t="shared" si="11"/>
        <v> </v>
      </c>
      <c r="I2070" s="205" t="str">
        <f t="shared" si="7"/>
        <v/>
      </c>
      <c r="J2070" s="205"/>
      <c r="K2070" s="205"/>
    </row>
    <row r="2071" ht="14.25" customHeight="1">
      <c r="A2071" s="55">
        <v>47726.0</v>
      </c>
      <c r="B2071" s="55" t="str">
        <f t="shared" si="10"/>
        <v>Primer dia</v>
      </c>
      <c r="C2071" s="202">
        <f t="shared" si="1"/>
        <v>31</v>
      </c>
      <c r="D2071" s="202" t="str">
        <f t="shared" si="2"/>
        <v> </v>
      </c>
      <c r="E2071" s="202" t="str">
        <f t="shared" si="9"/>
        <v> </v>
      </c>
      <c r="F2071" s="55" t="str">
        <f t="shared" si="4"/>
        <v/>
      </c>
      <c r="G2071" s="202" t="str">
        <f t="shared" si="5"/>
        <v/>
      </c>
      <c r="H2071" s="202" t="str">
        <f t="shared" si="11"/>
        <v> </v>
      </c>
      <c r="I2071" s="205" t="str">
        <f t="shared" si="7"/>
        <v/>
      </c>
      <c r="J2071" s="205"/>
      <c r="K2071" s="205"/>
    </row>
    <row r="2072" ht="14.25" customHeight="1">
      <c r="A2072" s="55">
        <v>47727.0</v>
      </c>
      <c r="B2072" s="55" t="str">
        <f t="shared" si="10"/>
        <v>Primer dia</v>
      </c>
      <c r="C2072" s="202">
        <f t="shared" si="1"/>
        <v>1</v>
      </c>
      <c r="D2072" s="202" t="str">
        <f t="shared" si="2"/>
        <v> </v>
      </c>
      <c r="E2072" s="202" t="str">
        <f t="shared" si="9"/>
        <v> </v>
      </c>
      <c r="F2072" s="55" t="str">
        <f t="shared" si="4"/>
        <v/>
      </c>
      <c r="G2072" s="202" t="str">
        <f t="shared" si="5"/>
        <v/>
      </c>
      <c r="H2072" s="202" t="str">
        <f t="shared" si="11"/>
        <v> </v>
      </c>
      <c r="I2072" s="205" t="str">
        <f t="shared" si="7"/>
        <v/>
      </c>
      <c r="J2072" s="205"/>
      <c r="K2072" s="205"/>
    </row>
    <row r="2073" ht="14.25" customHeight="1">
      <c r="A2073" s="55">
        <v>47728.0</v>
      </c>
      <c r="B2073" s="55" t="str">
        <f t="shared" si="10"/>
        <v>Primer dia</v>
      </c>
      <c r="C2073" s="202">
        <f t="shared" si="1"/>
        <v>2</v>
      </c>
      <c r="D2073" s="202" t="str">
        <f t="shared" si="2"/>
        <v> </v>
      </c>
      <c r="E2073" s="202">
        <f t="shared" si="9"/>
        <v>2</v>
      </c>
      <c r="F2073" s="55">
        <f t="shared" si="4"/>
        <v>47728</v>
      </c>
      <c r="G2073" s="202">
        <f t="shared" si="5"/>
        <v>111</v>
      </c>
      <c r="H2073" s="202" t="str">
        <f t="shared" si="11"/>
        <v> </v>
      </c>
      <c r="I2073" s="205" t="str">
        <f t="shared" si="7"/>
        <v/>
      </c>
      <c r="J2073" s="205"/>
      <c r="K2073" s="205"/>
    </row>
    <row r="2074" ht="14.25" customHeight="1">
      <c r="A2074" s="55">
        <v>47729.0</v>
      </c>
      <c r="B2074" s="55" t="str">
        <f t="shared" si="10"/>
        <v>Primer dia</v>
      </c>
      <c r="C2074" s="202">
        <f t="shared" si="1"/>
        <v>3</v>
      </c>
      <c r="D2074" s="202" t="str">
        <f t="shared" si="2"/>
        <v> </v>
      </c>
      <c r="E2074" s="202" t="str">
        <f t="shared" si="9"/>
        <v> </v>
      </c>
      <c r="F2074" s="55" t="str">
        <f t="shared" si="4"/>
        <v/>
      </c>
      <c r="G2074" s="202" t="str">
        <f t="shared" si="5"/>
        <v/>
      </c>
      <c r="H2074" s="202" t="str">
        <f t="shared" si="11"/>
        <v> </v>
      </c>
      <c r="I2074" s="205" t="str">
        <f t="shared" si="7"/>
        <v/>
      </c>
      <c r="J2074" s="205"/>
      <c r="K2074" s="205"/>
    </row>
    <row r="2075" ht="14.25" customHeight="1">
      <c r="A2075" s="55">
        <v>47730.0</v>
      </c>
      <c r="B2075" s="55" t="str">
        <f t="shared" si="10"/>
        <v>Primer dia</v>
      </c>
      <c r="C2075" s="202">
        <f t="shared" si="1"/>
        <v>4</v>
      </c>
      <c r="D2075" s="202" t="str">
        <f t="shared" si="2"/>
        <v> </v>
      </c>
      <c r="E2075" s="202" t="str">
        <f t="shared" si="9"/>
        <v> </v>
      </c>
      <c r="F2075" s="55" t="str">
        <f t="shared" si="4"/>
        <v/>
      </c>
      <c r="G2075" s="202" t="str">
        <f t="shared" si="5"/>
        <v/>
      </c>
      <c r="H2075" s="202" t="str">
        <f t="shared" si="11"/>
        <v> </v>
      </c>
      <c r="I2075" s="205" t="str">
        <f t="shared" si="7"/>
        <v/>
      </c>
      <c r="J2075" s="205"/>
      <c r="K2075" s="205"/>
    </row>
    <row r="2076" ht="14.25" customHeight="1">
      <c r="A2076" s="55">
        <v>47731.0</v>
      </c>
      <c r="B2076" s="55" t="str">
        <f t="shared" si="10"/>
        <v>Primer dia</v>
      </c>
      <c r="C2076" s="202">
        <f t="shared" si="1"/>
        <v>5</v>
      </c>
      <c r="D2076" s="202" t="str">
        <f t="shared" si="2"/>
        <v> </v>
      </c>
      <c r="E2076" s="202" t="str">
        <f t="shared" si="9"/>
        <v> </v>
      </c>
      <c r="F2076" s="55" t="str">
        <f t="shared" si="4"/>
        <v/>
      </c>
      <c r="G2076" s="202" t="str">
        <f t="shared" si="5"/>
        <v/>
      </c>
      <c r="H2076" s="202" t="str">
        <f t="shared" si="11"/>
        <v> </v>
      </c>
      <c r="I2076" s="205" t="str">
        <f t="shared" si="7"/>
        <v/>
      </c>
      <c r="J2076" s="205"/>
      <c r="K2076" s="205"/>
    </row>
    <row r="2077" ht="14.25" customHeight="1">
      <c r="A2077" s="55">
        <v>47732.0</v>
      </c>
      <c r="B2077" s="55" t="str">
        <f t="shared" si="10"/>
        <v>Primer dia</v>
      </c>
      <c r="C2077" s="202">
        <f t="shared" si="1"/>
        <v>6</v>
      </c>
      <c r="D2077" s="202" t="str">
        <f t="shared" si="2"/>
        <v> </v>
      </c>
      <c r="E2077" s="202" t="str">
        <f t="shared" si="9"/>
        <v> </v>
      </c>
      <c r="F2077" s="55" t="str">
        <f t="shared" si="4"/>
        <v/>
      </c>
      <c r="G2077" s="202" t="str">
        <f t="shared" si="5"/>
        <v/>
      </c>
      <c r="H2077" s="202" t="str">
        <f t="shared" si="11"/>
        <v> </v>
      </c>
      <c r="I2077" s="205" t="str">
        <f t="shared" si="7"/>
        <v/>
      </c>
      <c r="J2077" s="205"/>
      <c r="K2077" s="205"/>
    </row>
    <row r="2078" ht="14.25" customHeight="1">
      <c r="A2078" s="55">
        <v>47733.0</v>
      </c>
      <c r="B2078" s="55" t="str">
        <f t="shared" si="10"/>
        <v>Primer dia</v>
      </c>
      <c r="C2078" s="202">
        <f t="shared" si="1"/>
        <v>7</v>
      </c>
      <c r="D2078" s="202" t="str">
        <f t="shared" si="2"/>
        <v> </v>
      </c>
      <c r="E2078" s="202" t="str">
        <f t="shared" si="9"/>
        <v> </v>
      </c>
      <c r="F2078" s="55" t="str">
        <f t="shared" si="4"/>
        <v/>
      </c>
      <c r="G2078" s="202" t="str">
        <f t="shared" si="5"/>
        <v/>
      </c>
      <c r="H2078" s="202" t="str">
        <f t="shared" si="11"/>
        <v> </v>
      </c>
      <c r="I2078" s="205" t="str">
        <f t="shared" si="7"/>
        <v/>
      </c>
      <c r="J2078" s="205"/>
      <c r="K2078" s="205"/>
    </row>
    <row r="2079" ht="14.25" customHeight="1">
      <c r="A2079" s="55">
        <v>47734.0</v>
      </c>
      <c r="B2079" s="55" t="str">
        <f t="shared" si="10"/>
        <v>Primer dia</v>
      </c>
      <c r="C2079" s="202">
        <f t="shared" si="1"/>
        <v>8</v>
      </c>
      <c r="D2079" s="202" t="str">
        <f t="shared" si="2"/>
        <v> </v>
      </c>
      <c r="E2079" s="202" t="str">
        <f t="shared" si="9"/>
        <v> </v>
      </c>
      <c r="F2079" s="55" t="str">
        <f t="shared" si="4"/>
        <v/>
      </c>
      <c r="G2079" s="202" t="str">
        <f t="shared" si="5"/>
        <v/>
      </c>
      <c r="H2079" s="202" t="str">
        <f t="shared" si="11"/>
        <v> </v>
      </c>
      <c r="I2079" s="205" t="str">
        <f t="shared" si="7"/>
        <v/>
      </c>
      <c r="J2079" s="205"/>
      <c r="K2079" s="205"/>
    </row>
    <row r="2080" ht="14.25" customHeight="1">
      <c r="A2080" s="55">
        <v>47735.0</v>
      </c>
      <c r="B2080" s="55" t="str">
        <f t="shared" si="10"/>
        <v>Primer dia</v>
      </c>
      <c r="C2080" s="202">
        <f t="shared" si="1"/>
        <v>9</v>
      </c>
      <c r="D2080" s="202" t="str">
        <f t="shared" si="2"/>
        <v> </v>
      </c>
      <c r="E2080" s="202" t="str">
        <f t="shared" si="9"/>
        <v> </v>
      </c>
      <c r="F2080" s="55" t="str">
        <f t="shared" si="4"/>
        <v/>
      </c>
      <c r="G2080" s="202" t="str">
        <f t="shared" si="5"/>
        <v/>
      </c>
      <c r="H2080" s="202" t="str">
        <f t="shared" si="11"/>
        <v> </v>
      </c>
      <c r="I2080" s="205" t="str">
        <f t="shared" si="7"/>
        <v/>
      </c>
      <c r="J2080" s="205"/>
      <c r="K2080" s="205"/>
    </row>
    <row r="2081" ht="14.25" customHeight="1">
      <c r="A2081" s="55">
        <v>47736.0</v>
      </c>
      <c r="B2081" s="55" t="str">
        <f t="shared" si="10"/>
        <v>Primer dia</v>
      </c>
      <c r="C2081" s="202">
        <f t="shared" si="1"/>
        <v>10</v>
      </c>
      <c r="D2081" s="202" t="str">
        <f t="shared" si="2"/>
        <v> </v>
      </c>
      <c r="E2081" s="202" t="str">
        <f t="shared" si="9"/>
        <v> </v>
      </c>
      <c r="F2081" s="55" t="str">
        <f t="shared" si="4"/>
        <v/>
      </c>
      <c r="G2081" s="202" t="str">
        <f t="shared" si="5"/>
        <v/>
      </c>
      <c r="H2081" s="202" t="str">
        <f t="shared" si="11"/>
        <v> </v>
      </c>
      <c r="I2081" s="205" t="str">
        <f t="shared" si="7"/>
        <v/>
      </c>
      <c r="J2081" s="205"/>
      <c r="K2081" s="205"/>
    </row>
    <row r="2082" ht="14.25" customHeight="1">
      <c r="A2082" s="55">
        <v>47737.0</v>
      </c>
      <c r="B2082" s="55" t="str">
        <f t="shared" si="10"/>
        <v>Primer dia</v>
      </c>
      <c r="C2082" s="202">
        <f t="shared" si="1"/>
        <v>11</v>
      </c>
      <c r="D2082" s="202" t="str">
        <f t="shared" si="2"/>
        <v> </v>
      </c>
      <c r="E2082" s="202" t="str">
        <f t="shared" si="9"/>
        <v> </v>
      </c>
      <c r="F2082" s="55" t="str">
        <f t="shared" si="4"/>
        <v/>
      </c>
      <c r="G2082" s="202" t="str">
        <f t="shared" si="5"/>
        <v/>
      </c>
      <c r="H2082" s="202" t="str">
        <f t="shared" si="11"/>
        <v> </v>
      </c>
      <c r="I2082" s="205" t="str">
        <f t="shared" si="7"/>
        <v/>
      </c>
      <c r="J2082" s="205"/>
      <c r="K2082" s="205"/>
    </row>
    <row r="2083" ht="14.25" customHeight="1">
      <c r="A2083" s="55">
        <v>47738.0</v>
      </c>
      <c r="B2083" s="55" t="str">
        <f t="shared" si="10"/>
        <v>Primer dia</v>
      </c>
      <c r="C2083" s="202">
        <f t="shared" si="1"/>
        <v>12</v>
      </c>
      <c r="D2083" s="202" t="str">
        <f t="shared" si="2"/>
        <v> </v>
      </c>
      <c r="E2083" s="202" t="str">
        <f t="shared" si="9"/>
        <v> </v>
      </c>
      <c r="F2083" s="55" t="str">
        <f t="shared" si="4"/>
        <v/>
      </c>
      <c r="G2083" s="202" t="str">
        <f t="shared" si="5"/>
        <v/>
      </c>
      <c r="H2083" s="202" t="str">
        <f t="shared" si="11"/>
        <v> </v>
      </c>
      <c r="I2083" s="205" t="str">
        <f t="shared" si="7"/>
        <v/>
      </c>
      <c r="J2083" s="205"/>
      <c r="K2083" s="205"/>
    </row>
    <row r="2084" ht="14.25" customHeight="1">
      <c r="A2084" s="55">
        <v>47739.0</v>
      </c>
      <c r="B2084" s="55" t="str">
        <f t="shared" si="10"/>
        <v>Primer dia</v>
      </c>
      <c r="C2084" s="202">
        <f t="shared" si="1"/>
        <v>13</v>
      </c>
      <c r="D2084" s="202" t="str">
        <f t="shared" si="2"/>
        <v> </v>
      </c>
      <c r="E2084" s="202" t="str">
        <f t="shared" si="9"/>
        <v> </v>
      </c>
      <c r="F2084" s="55" t="str">
        <f t="shared" si="4"/>
        <v/>
      </c>
      <c r="G2084" s="202" t="str">
        <f t="shared" si="5"/>
        <v/>
      </c>
      <c r="H2084" s="202" t="str">
        <f t="shared" si="11"/>
        <v> </v>
      </c>
      <c r="I2084" s="205" t="str">
        <f t="shared" si="7"/>
        <v/>
      </c>
      <c r="J2084" s="205"/>
      <c r="K2084" s="205"/>
    </row>
    <row r="2085" ht="14.25" customHeight="1">
      <c r="A2085" s="55">
        <v>47740.0</v>
      </c>
      <c r="B2085" s="55" t="str">
        <f t="shared" si="10"/>
        <v>Primer dia</v>
      </c>
      <c r="C2085" s="202">
        <f t="shared" si="1"/>
        <v>14</v>
      </c>
      <c r="D2085" s="202" t="str">
        <f t="shared" si="2"/>
        <v> </v>
      </c>
      <c r="E2085" s="202" t="str">
        <f t="shared" si="9"/>
        <v> </v>
      </c>
      <c r="F2085" s="55" t="str">
        <f t="shared" si="4"/>
        <v/>
      </c>
      <c r="G2085" s="202" t="str">
        <f t="shared" si="5"/>
        <v/>
      </c>
      <c r="H2085" s="202" t="str">
        <f t="shared" si="11"/>
        <v> </v>
      </c>
      <c r="I2085" s="205" t="str">
        <f t="shared" si="7"/>
        <v/>
      </c>
      <c r="J2085" s="205"/>
      <c r="K2085" s="205"/>
    </row>
    <row r="2086" ht="14.25" customHeight="1">
      <c r="A2086" s="55">
        <v>47741.0</v>
      </c>
      <c r="B2086" s="55" t="str">
        <f t="shared" si="10"/>
        <v>Primer dia</v>
      </c>
      <c r="C2086" s="202">
        <f t="shared" si="1"/>
        <v>15</v>
      </c>
      <c r="D2086" s="202" t="str">
        <f t="shared" si="2"/>
        <v> </v>
      </c>
      <c r="E2086" s="202" t="str">
        <f t="shared" si="9"/>
        <v> </v>
      </c>
      <c r="F2086" s="55" t="str">
        <f t="shared" si="4"/>
        <v/>
      </c>
      <c r="G2086" s="202" t="str">
        <f t="shared" si="5"/>
        <v/>
      </c>
      <c r="H2086" s="202" t="str">
        <f t="shared" si="11"/>
        <v> </v>
      </c>
      <c r="I2086" s="205" t="str">
        <f t="shared" si="7"/>
        <v/>
      </c>
      <c r="J2086" s="205"/>
      <c r="K2086" s="205"/>
    </row>
    <row r="2087" ht="14.25" customHeight="1">
      <c r="A2087" s="55">
        <v>47742.0</v>
      </c>
      <c r="B2087" s="55" t="str">
        <f t="shared" si="10"/>
        <v>Primer dia</v>
      </c>
      <c r="C2087" s="202">
        <f t="shared" si="1"/>
        <v>16</v>
      </c>
      <c r="D2087" s="202" t="str">
        <f t="shared" si="2"/>
        <v> </v>
      </c>
      <c r="E2087" s="202" t="str">
        <f t="shared" si="9"/>
        <v> </v>
      </c>
      <c r="F2087" s="55" t="str">
        <f t="shared" si="4"/>
        <v/>
      </c>
      <c r="G2087" s="202" t="str">
        <f t="shared" si="5"/>
        <v/>
      </c>
      <c r="H2087" s="202" t="str">
        <f t="shared" si="11"/>
        <v> </v>
      </c>
      <c r="I2087" s="205" t="str">
        <f t="shared" si="7"/>
        <v/>
      </c>
      <c r="J2087" s="205"/>
      <c r="K2087" s="205"/>
    </row>
    <row r="2088" ht="14.25" customHeight="1">
      <c r="A2088" s="55">
        <v>47743.0</v>
      </c>
      <c r="B2088" s="55" t="str">
        <f t="shared" si="10"/>
        <v>Primer dia</v>
      </c>
      <c r="C2088" s="202">
        <f t="shared" si="1"/>
        <v>17</v>
      </c>
      <c r="D2088" s="202" t="str">
        <f t="shared" si="2"/>
        <v> </v>
      </c>
      <c r="E2088" s="202">
        <f t="shared" si="9"/>
        <v>17</v>
      </c>
      <c r="F2088" s="55">
        <f t="shared" si="4"/>
        <v>47743</v>
      </c>
      <c r="G2088" s="202">
        <f t="shared" si="5"/>
        <v>112</v>
      </c>
      <c r="H2088" s="202" t="str">
        <f t="shared" si="11"/>
        <v> </v>
      </c>
      <c r="I2088" s="205" t="str">
        <f t="shared" si="7"/>
        <v/>
      </c>
      <c r="J2088" s="205"/>
      <c r="K2088" s="205"/>
    </row>
    <row r="2089" ht="14.25" customHeight="1">
      <c r="A2089" s="55">
        <v>47744.0</v>
      </c>
      <c r="B2089" s="55" t="str">
        <f t="shared" si="10"/>
        <v>Primer dia</v>
      </c>
      <c r="C2089" s="202">
        <f t="shared" si="1"/>
        <v>18</v>
      </c>
      <c r="D2089" s="202" t="str">
        <f t="shared" si="2"/>
        <v> </v>
      </c>
      <c r="E2089" s="202" t="str">
        <f t="shared" si="9"/>
        <v> </v>
      </c>
      <c r="F2089" s="55" t="str">
        <f t="shared" si="4"/>
        <v/>
      </c>
      <c r="G2089" s="202" t="str">
        <f t="shared" si="5"/>
        <v/>
      </c>
      <c r="H2089" s="202" t="str">
        <f t="shared" si="11"/>
        <v> </v>
      </c>
      <c r="I2089" s="205" t="str">
        <f t="shared" si="7"/>
        <v/>
      </c>
      <c r="J2089" s="205"/>
      <c r="K2089" s="205"/>
    </row>
    <row r="2090" ht="14.25" customHeight="1">
      <c r="A2090" s="55">
        <v>47745.0</v>
      </c>
      <c r="B2090" s="55" t="str">
        <f t="shared" si="10"/>
        <v>Primer dia</v>
      </c>
      <c r="C2090" s="202">
        <f t="shared" si="1"/>
        <v>19</v>
      </c>
      <c r="D2090" s="202" t="str">
        <f t="shared" si="2"/>
        <v> </v>
      </c>
      <c r="E2090" s="202" t="str">
        <f t="shared" si="9"/>
        <v> </v>
      </c>
      <c r="F2090" s="55" t="str">
        <f t="shared" si="4"/>
        <v/>
      </c>
      <c r="G2090" s="202" t="str">
        <f t="shared" si="5"/>
        <v/>
      </c>
      <c r="H2090" s="202" t="str">
        <f t="shared" si="11"/>
        <v> </v>
      </c>
      <c r="I2090" s="205" t="str">
        <f t="shared" si="7"/>
        <v/>
      </c>
      <c r="J2090" s="205"/>
      <c r="K2090" s="205"/>
    </row>
    <row r="2091" ht="14.25" customHeight="1">
      <c r="A2091" s="55">
        <v>47746.0</v>
      </c>
      <c r="B2091" s="55" t="str">
        <f t="shared" si="10"/>
        <v>Primer dia</v>
      </c>
      <c r="C2091" s="202">
        <f t="shared" si="1"/>
        <v>20</v>
      </c>
      <c r="D2091" s="202" t="str">
        <f t="shared" si="2"/>
        <v> </v>
      </c>
      <c r="E2091" s="202" t="str">
        <f t="shared" si="9"/>
        <v> </v>
      </c>
      <c r="F2091" s="55" t="str">
        <f t="shared" si="4"/>
        <v/>
      </c>
      <c r="G2091" s="202" t="str">
        <f t="shared" si="5"/>
        <v/>
      </c>
      <c r="H2091" s="202" t="str">
        <f t="shared" si="11"/>
        <v> </v>
      </c>
      <c r="I2091" s="205" t="str">
        <f t="shared" si="7"/>
        <v/>
      </c>
      <c r="J2091" s="205"/>
      <c r="K2091" s="205"/>
    </row>
    <row r="2092" ht="14.25" customHeight="1">
      <c r="A2092" s="55">
        <v>47747.0</v>
      </c>
      <c r="B2092" s="55" t="str">
        <f t="shared" si="10"/>
        <v>Primer dia</v>
      </c>
      <c r="C2092" s="202">
        <f t="shared" si="1"/>
        <v>21</v>
      </c>
      <c r="D2092" s="202" t="str">
        <f t="shared" si="2"/>
        <v> </v>
      </c>
      <c r="E2092" s="202" t="str">
        <f t="shared" si="9"/>
        <v> </v>
      </c>
      <c r="F2092" s="55" t="str">
        <f t="shared" si="4"/>
        <v/>
      </c>
      <c r="G2092" s="202" t="str">
        <f t="shared" si="5"/>
        <v/>
      </c>
      <c r="H2092" s="202" t="str">
        <f t="shared" si="11"/>
        <v> </v>
      </c>
      <c r="I2092" s="205" t="str">
        <f t="shared" si="7"/>
        <v/>
      </c>
      <c r="J2092" s="205"/>
      <c r="K2092" s="205"/>
    </row>
    <row r="2093" ht="14.25" customHeight="1">
      <c r="A2093" s="55">
        <v>47748.0</v>
      </c>
      <c r="B2093" s="55" t="str">
        <f t="shared" si="10"/>
        <v>Primer dia</v>
      </c>
      <c r="C2093" s="202">
        <f t="shared" si="1"/>
        <v>22</v>
      </c>
      <c r="D2093" s="202" t="str">
        <f t="shared" si="2"/>
        <v> </v>
      </c>
      <c r="E2093" s="202" t="str">
        <f t="shared" si="9"/>
        <v> </v>
      </c>
      <c r="F2093" s="55" t="str">
        <f t="shared" si="4"/>
        <v/>
      </c>
      <c r="G2093" s="202" t="str">
        <f t="shared" si="5"/>
        <v/>
      </c>
      <c r="H2093" s="202" t="str">
        <f t="shared" si="11"/>
        <v> </v>
      </c>
      <c r="I2093" s="205" t="str">
        <f t="shared" si="7"/>
        <v/>
      </c>
      <c r="J2093" s="205"/>
      <c r="K2093" s="205"/>
    </row>
    <row r="2094" ht="14.25" customHeight="1">
      <c r="A2094" s="55">
        <v>47749.0</v>
      </c>
      <c r="B2094" s="55" t="str">
        <f t="shared" si="10"/>
        <v>Primer dia</v>
      </c>
      <c r="C2094" s="202">
        <f t="shared" si="1"/>
        <v>23</v>
      </c>
      <c r="D2094" s="202" t="str">
        <f t="shared" si="2"/>
        <v> </v>
      </c>
      <c r="E2094" s="202" t="str">
        <f t="shared" si="9"/>
        <v> </v>
      </c>
      <c r="F2094" s="55" t="str">
        <f t="shared" si="4"/>
        <v/>
      </c>
      <c r="G2094" s="202" t="str">
        <f t="shared" si="5"/>
        <v/>
      </c>
      <c r="H2094" s="202" t="str">
        <f t="shared" si="11"/>
        <v> </v>
      </c>
      <c r="I2094" s="205" t="str">
        <f t="shared" si="7"/>
        <v/>
      </c>
      <c r="J2094" s="205"/>
      <c r="K2094" s="205"/>
    </row>
    <row r="2095" ht="14.25" customHeight="1">
      <c r="A2095" s="55">
        <v>47750.0</v>
      </c>
      <c r="B2095" s="55" t="str">
        <f t="shared" si="10"/>
        <v>Primer dia</v>
      </c>
      <c r="C2095" s="202">
        <f t="shared" si="1"/>
        <v>24</v>
      </c>
      <c r="D2095" s="202" t="str">
        <f t="shared" si="2"/>
        <v> </v>
      </c>
      <c r="E2095" s="202" t="str">
        <f t="shared" si="9"/>
        <v> </v>
      </c>
      <c r="F2095" s="55" t="str">
        <f t="shared" si="4"/>
        <v/>
      </c>
      <c r="G2095" s="202" t="str">
        <f t="shared" si="5"/>
        <v/>
      </c>
      <c r="H2095" s="202" t="str">
        <f t="shared" si="11"/>
        <v> </v>
      </c>
      <c r="I2095" s="205" t="str">
        <f t="shared" si="7"/>
        <v/>
      </c>
      <c r="J2095" s="205"/>
      <c r="K2095" s="205"/>
    </row>
    <row r="2096" ht="14.25" customHeight="1">
      <c r="A2096" s="55">
        <v>47751.0</v>
      </c>
      <c r="B2096" s="55" t="str">
        <f t="shared" si="10"/>
        <v>Primer dia</v>
      </c>
      <c r="C2096" s="202">
        <f t="shared" si="1"/>
        <v>25</v>
      </c>
      <c r="D2096" s="202" t="str">
        <f t="shared" si="2"/>
        <v> </v>
      </c>
      <c r="E2096" s="202" t="str">
        <f t="shared" si="9"/>
        <v> </v>
      </c>
      <c r="F2096" s="55" t="str">
        <f t="shared" si="4"/>
        <v/>
      </c>
      <c r="G2096" s="202" t="str">
        <f t="shared" si="5"/>
        <v/>
      </c>
      <c r="H2096" s="202" t="str">
        <f t="shared" si="11"/>
        <v> </v>
      </c>
      <c r="I2096" s="205" t="str">
        <f t="shared" si="7"/>
        <v/>
      </c>
      <c r="J2096" s="205"/>
      <c r="K2096" s="205"/>
    </row>
    <row r="2097" ht="14.25" customHeight="1">
      <c r="A2097" s="55">
        <v>47752.0</v>
      </c>
      <c r="B2097" s="55" t="str">
        <f t="shared" si="10"/>
        <v>Primer dia</v>
      </c>
      <c r="C2097" s="202">
        <f t="shared" si="1"/>
        <v>26</v>
      </c>
      <c r="D2097" s="202" t="str">
        <f t="shared" si="2"/>
        <v> </v>
      </c>
      <c r="E2097" s="202" t="str">
        <f t="shared" si="9"/>
        <v> </v>
      </c>
      <c r="F2097" s="55" t="str">
        <f t="shared" si="4"/>
        <v/>
      </c>
      <c r="G2097" s="202" t="str">
        <f t="shared" si="5"/>
        <v/>
      </c>
      <c r="H2097" s="202" t="str">
        <f t="shared" si="11"/>
        <v> </v>
      </c>
      <c r="I2097" s="205" t="str">
        <f t="shared" si="7"/>
        <v/>
      </c>
      <c r="J2097" s="205"/>
      <c r="K2097" s="205"/>
    </row>
    <row r="2098" ht="14.25" customHeight="1">
      <c r="A2098" s="55">
        <v>47753.0</v>
      </c>
      <c r="B2098" s="55" t="str">
        <f t="shared" si="10"/>
        <v>Primer dia</v>
      </c>
      <c r="C2098" s="202">
        <f t="shared" si="1"/>
        <v>27</v>
      </c>
      <c r="D2098" s="202" t="str">
        <f t="shared" si="2"/>
        <v> </v>
      </c>
      <c r="E2098" s="202" t="str">
        <f t="shared" si="9"/>
        <v> </v>
      </c>
      <c r="F2098" s="55" t="str">
        <f t="shared" si="4"/>
        <v/>
      </c>
      <c r="G2098" s="202" t="str">
        <f t="shared" si="5"/>
        <v/>
      </c>
      <c r="H2098" s="202" t="str">
        <f t="shared" si="11"/>
        <v> </v>
      </c>
      <c r="I2098" s="205" t="str">
        <f t="shared" si="7"/>
        <v/>
      </c>
      <c r="J2098" s="205"/>
      <c r="K2098" s="205"/>
    </row>
    <row r="2099" ht="14.25" customHeight="1">
      <c r="A2099" s="55">
        <v>47754.0</v>
      </c>
      <c r="B2099" s="55" t="str">
        <f t="shared" si="10"/>
        <v>Primer dia</v>
      </c>
      <c r="C2099" s="202">
        <f t="shared" si="1"/>
        <v>28</v>
      </c>
      <c r="D2099" s="202" t="str">
        <f t="shared" si="2"/>
        <v> </v>
      </c>
      <c r="E2099" s="202" t="str">
        <f t="shared" si="9"/>
        <v> </v>
      </c>
      <c r="F2099" s="55" t="str">
        <f t="shared" si="4"/>
        <v/>
      </c>
      <c r="G2099" s="202" t="str">
        <f t="shared" si="5"/>
        <v/>
      </c>
      <c r="H2099" s="202" t="str">
        <f t="shared" si="11"/>
        <v> </v>
      </c>
      <c r="I2099" s="205" t="str">
        <f t="shared" si="7"/>
        <v/>
      </c>
      <c r="J2099" s="205"/>
      <c r="K2099" s="205"/>
    </row>
    <row r="2100" ht="14.25" customHeight="1">
      <c r="A2100" s="55">
        <v>47755.0</v>
      </c>
      <c r="B2100" s="55" t="str">
        <f t="shared" si="10"/>
        <v>Primer dia</v>
      </c>
      <c r="C2100" s="202">
        <f t="shared" si="1"/>
        <v>29</v>
      </c>
      <c r="D2100" s="202" t="str">
        <f t="shared" si="2"/>
        <v> </v>
      </c>
      <c r="E2100" s="202" t="str">
        <f t="shared" si="9"/>
        <v> </v>
      </c>
      <c r="F2100" s="55" t="str">
        <f t="shared" si="4"/>
        <v/>
      </c>
      <c r="G2100" s="202" t="str">
        <f t="shared" si="5"/>
        <v/>
      </c>
      <c r="H2100" s="202" t="str">
        <f t="shared" si="11"/>
        <v> </v>
      </c>
      <c r="I2100" s="205" t="str">
        <f t="shared" si="7"/>
        <v/>
      </c>
      <c r="J2100" s="205"/>
      <c r="K2100" s="205"/>
    </row>
    <row r="2101" ht="14.25" customHeight="1">
      <c r="A2101" s="55">
        <v>47756.0</v>
      </c>
      <c r="B2101" s="55" t="str">
        <f t="shared" si="10"/>
        <v>Primer dia</v>
      </c>
      <c r="C2101" s="202">
        <f t="shared" si="1"/>
        <v>30</v>
      </c>
      <c r="D2101" s="202" t="str">
        <f t="shared" si="2"/>
        <v> </v>
      </c>
      <c r="E2101" s="202" t="str">
        <f t="shared" si="9"/>
        <v> </v>
      </c>
      <c r="F2101" s="55" t="str">
        <f t="shared" si="4"/>
        <v/>
      </c>
      <c r="G2101" s="202" t="str">
        <f t="shared" si="5"/>
        <v/>
      </c>
      <c r="H2101" s="202" t="str">
        <f t="shared" si="11"/>
        <v> </v>
      </c>
      <c r="I2101" s="205" t="str">
        <f t="shared" si="7"/>
        <v/>
      </c>
      <c r="J2101" s="205"/>
      <c r="K2101" s="205"/>
    </row>
    <row r="2102" ht="14.25" customHeight="1">
      <c r="A2102" s="55">
        <v>47757.0</v>
      </c>
      <c r="B2102" s="55" t="str">
        <f t="shared" si="10"/>
        <v>Primer dia</v>
      </c>
      <c r="C2102" s="202">
        <f t="shared" si="1"/>
        <v>1</v>
      </c>
      <c r="D2102" s="202" t="str">
        <f t="shared" si="2"/>
        <v> </v>
      </c>
      <c r="E2102" s="202" t="str">
        <f t="shared" si="9"/>
        <v> </v>
      </c>
      <c r="F2102" s="55" t="str">
        <f t="shared" si="4"/>
        <v/>
      </c>
      <c r="G2102" s="202" t="str">
        <f t="shared" si="5"/>
        <v/>
      </c>
      <c r="H2102" s="202" t="str">
        <f t="shared" si="11"/>
        <v> </v>
      </c>
      <c r="I2102" s="205" t="str">
        <f t="shared" si="7"/>
        <v/>
      </c>
      <c r="J2102" s="205"/>
      <c r="K2102" s="205"/>
    </row>
    <row r="2103" ht="14.25" customHeight="1">
      <c r="A2103" s="55">
        <v>47758.0</v>
      </c>
      <c r="B2103" s="55" t="str">
        <f t="shared" si="10"/>
        <v>Primer dia</v>
      </c>
      <c r="C2103" s="202">
        <f t="shared" si="1"/>
        <v>2</v>
      </c>
      <c r="D2103" s="202" t="str">
        <f t="shared" si="2"/>
        <v> </v>
      </c>
      <c r="E2103" s="202">
        <f t="shared" si="9"/>
        <v>2</v>
      </c>
      <c r="F2103" s="55">
        <f t="shared" si="4"/>
        <v>47758</v>
      </c>
      <c r="G2103" s="202">
        <f t="shared" si="5"/>
        <v>113</v>
      </c>
      <c r="H2103" s="202" t="str">
        <f t="shared" si="11"/>
        <v> </v>
      </c>
      <c r="I2103" s="205" t="str">
        <f t="shared" si="7"/>
        <v/>
      </c>
      <c r="J2103" s="205"/>
      <c r="K2103" s="205"/>
    </row>
    <row r="2104" ht="14.25" customHeight="1">
      <c r="A2104" s="55">
        <v>47759.0</v>
      </c>
      <c r="B2104" s="55" t="str">
        <f t="shared" si="10"/>
        <v>Primer dia</v>
      </c>
      <c r="C2104" s="202">
        <f t="shared" si="1"/>
        <v>3</v>
      </c>
      <c r="D2104" s="202" t="str">
        <f t="shared" si="2"/>
        <v> </v>
      </c>
      <c r="E2104" s="202" t="str">
        <f t="shared" si="9"/>
        <v> </v>
      </c>
      <c r="F2104" s="55" t="str">
        <f t="shared" si="4"/>
        <v/>
      </c>
      <c r="G2104" s="202" t="str">
        <f t="shared" si="5"/>
        <v/>
      </c>
      <c r="H2104" s="202" t="str">
        <f t="shared" si="11"/>
        <v> </v>
      </c>
      <c r="I2104" s="205" t="str">
        <f t="shared" si="7"/>
        <v/>
      </c>
      <c r="J2104" s="205"/>
      <c r="K2104" s="205"/>
    </row>
    <row r="2105" ht="14.25" customHeight="1">
      <c r="A2105" s="55">
        <v>47760.0</v>
      </c>
      <c r="B2105" s="55" t="str">
        <f t="shared" si="10"/>
        <v>Primer dia</v>
      </c>
      <c r="C2105" s="202">
        <f t="shared" si="1"/>
        <v>4</v>
      </c>
      <c r="D2105" s="202" t="str">
        <f t="shared" si="2"/>
        <v> </v>
      </c>
      <c r="E2105" s="202" t="str">
        <f t="shared" si="9"/>
        <v> </v>
      </c>
      <c r="F2105" s="55" t="str">
        <f t="shared" si="4"/>
        <v/>
      </c>
      <c r="G2105" s="202" t="str">
        <f t="shared" si="5"/>
        <v/>
      </c>
      <c r="H2105" s="202" t="str">
        <f t="shared" si="11"/>
        <v> </v>
      </c>
      <c r="I2105" s="205" t="str">
        <f t="shared" si="7"/>
        <v/>
      </c>
      <c r="J2105" s="205"/>
      <c r="K2105" s="205"/>
    </row>
    <row r="2106" ht="14.25" customHeight="1">
      <c r="A2106" s="55">
        <v>47761.0</v>
      </c>
      <c r="B2106" s="55" t="str">
        <f t="shared" si="10"/>
        <v>Primer dia</v>
      </c>
      <c r="C2106" s="202">
        <f t="shared" si="1"/>
        <v>5</v>
      </c>
      <c r="D2106" s="202" t="str">
        <f t="shared" si="2"/>
        <v> </v>
      </c>
      <c r="E2106" s="202" t="str">
        <f t="shared" si="9"/>
        <v> </v>
      </c>
      <c r="F2106" s="55" t="str">
        <f t="shared" si="4"/>
        <v/>
      </c>
      <c r="G2106" s="202" t="str">
        <f t="shared" si="5"/>
        <v/>
      </c>
      <c r="H2106" s="202" t="str">
        <f t="shared" si="11"/>
        <v> </v>
      </c>
      <c r="I2106" s="205" t="str">
        <f t="shared" si="7"/>
        <v/>
      </c>
      <c r="J2106" s="205"/>
      <c r="K2106" s="205"/>
    </row>
    <row r="2107" ht="14.25" customHeight="1">
      <c r="A2107" s="55">
        <v>47762.0</v>
      </c>
      <c r="B2107" s="55" t="str">
        <f t="shared" si="10"/>
        <v>Primer dia</v>
      </c>
      <c r="C2107" s="202">
        <f t="shared" si="1"/>
        <v>6</v>
      </c>
      <c r="D2107" s="202" t="str">
        <f t="shared" si="2"/>
        <v> </v>
      </c>
      <c r="E2107" s="202" t="str">
        <f t="shared" si="9"/>
        <v> </v>
      </c>
      <c r="F2107" s="55" t="str">
        <f t="shared" si="4"/>
        <v/>
      </c>
      <c r="G2107" s="202" t="str">
        <f t="shared" si="5"/>
        <v/>
      </c>
      <c r="H2107" s="202" t="str">
        <f t="shared" si="11"/>
        <v> </v>
      </c>
      <c r="I2107" s="205" t="str">
        <f t="shared" si="7"/>
        <v/>
      </c>
      <c r="J2107" s="205"/>
      <c r="K2107" s="205"/>
    </row>
    <row r="2108" ht="14.25" customHeight="1">
      <c r="A2108" s="55">
        <v>47763.0</v>
      </c>
      <c r="B2108" s="55" t="str">
        <f t="shared" si="10"/>
        <v>Primer dia</v>
      </c>
      <c r="C2108" s="202">
        <f t="shared" si="1"/>
        <v>7</v>
      </c>
      <c r="D2108" s="202" t="str">
        <f t="shared" si="2"/>
        <v> </v>
      </c>
      <c r="E2108" s="202" t="str">
        <f t="shared" si="9"/>
        <v> </v>
      </c>
      <c r="F2108" s="55" t="str">
        <f t="shared" si="4"/>
        <v/>
      </c>
      <c r="G2108" s="202" t="str">
        <f t="shared" si="5"/>
        <v/>
      </c>
      <c r="H2108" s="202" t="str">
        <f t="shared" si="11"/>
        <v> </v>
      </c>
      <c r="I2108" s="205" t="str">
        <f t="shared" si="7"/>
        <v/>
      </c>
      <c r="J2108" s="205"/>
      <c r="K2108" s="205"/>
    </row>
    <row r="2109" ht="14.25" customHeight="1">
      <c r="A2109" s="55">
        <v>47764.0</v>
      </c>
      <c r="B2109" s="55" t="str">
        <f t="shared" si="10"/>
        <v>Primer dia</v>
      </c>
      <c r="C2109" s="202">
        <f t="shared" si="1"/>
        <v>8</v>
      </c>
      <c r="D2109" s="202" t="str">
        <f t="shared" si="2"/>
        <v> </v>
      </c>
      <c r="E2109" s="202" t="str">
        <f t="shared" si="9"/>
        <v> </v>
      </c>
      <c r="F2109" s="55" t="str">
        <f t="shared" si="4"/>
        <v/>
      </c>
      <c r="G2109" s="202" t="str">
        <f t="shared" si="5"/>
        <v/>
      </c>
      <c r="H2109" s="202" t="str">
        <f t="shared" si="11"/>
        <v> </v>
      </c>
      <c r="I2109" s="205" t="str">
        <f t="shared" si="7"/>
        <v/>
      </c>
      <c r="J2109" s="205"/>
      <c r="K2109" s="205"/>
    </row>
    <row r="2110" ht="14.25" customHeight="1">
      <c r="A2110" s="55">
        <v>47765.0</v>
      </c>
      <c r="B2110" s="55" t="str">
        <f t="shared" si="10"/>
        <v>Primer dia</v>
      </c>
      <c r="C2110" s="202">
        <f t="shared" si="1"/>
        <v>9</v>
      </c>
      <c r="D2110" s="202" t="str">
        <f t="shared" si="2"/>
        <v> </v>
      </c>
      <c r="E2110" s="202" t="str">
        <f t="shared" si="9"/>
        <v> </v>
      </c>
      <c r="F2110" s="55" t="str">
        <f t="shared" si="4"/>
        <v/>
      </c>
      <c r="G2110" s="202" t="str">
        <f t="shared" si="5"/>
        <v/>
      </c>
      <c r="H2110" s="202" t="str">
        <f t="shared" si="11"/>
        <v> </v>
      </c>
      <c r="I2110" s="205" t="str">
        <f t="shared" si="7"/>
        <v/>
      </c>
      <c r="J2110" s="205"/>
      <c r="K2110" s="205"/>
    </row>
    <row r="2111" ht="14.25" customHeight="1">
      <c r="A2111" s="55">
        <v>47766.0</v>
      </c>
      <c r="B2111" s="55" t="str">
        <f t="shared" si="10"/>
        <v>Primer dia</v>
      </c>
      <c r="C2111" s="202">
        <f t="shared" si="1"/>
        <v>10</v>
      </c>
      <c r="D2111" s="202" t="str">
        <f t="shared" si="2"/>
        <v> </v>
      </c>
      <c r="E2111" s="202" t="str">
        <f t="shared" si="9"/>
        <v> </v>
      </c>
      <c r="F2111" s="55" t="str">
        <f t="shared" si="4"/>
        <v/>
      </c>
      <c r="G2111" s="202" t="str">
        <f t="shared" si="5"/>
        <v/>
      </c>
      <c r="H2111" s="202" t="str">
        <f t="shared" si="11"/>
        <v> </v>
      </c>
      <c r="I2111" s="205" t="str">
        <f t="shared" si="7"/>
        <v/>
      </c>
      <c r="J2111" s="205"/>
      <c r="K2111" s="205"/>
    </row>
    <row r="2112" ht="14.25" customHeight="1">
      <c r="A2112" s="55">
        <v>47767.0</v>
      </c>
      <c r="B2112" s="55" t="str">
        <f t="shared" si="10"/>
        <v>Primer dia</v>
      </c>
      <c r="C2112" s="202">
        <f t="shared" si="1"/>
        <v>11</v>
      </c>
      <c r="D2112" s="202" t="str">
        <f t="shared" si="2"/>
        <v> </v>
      </c>
      <c r="E2112" s="202" t="str">
        <f t="shared" si="9"/>
        <v> </v>
      </c>
      <c r="F2112" s="55" t="str">
        <f t="shared" si="4"/>
        <v/>
      </c>
      <c r="G2112" s="202" t="str">
        <f t="shared" si="5"/>
        <v/>
      </c>
      <c r="H2112" s="202" t="str">
        <f t="shared" si="11"/>
        <v> </v>
      </c>
      <c r="I2112" s="205" t="str">
        <f t="shared" si="7"/>
        <v/>
      </c>
      <c r="J2112" s="205"/>
      <c r="K2112" s="205"/>
    </row>
    <row r="2113" ht="14.25" customHeight="1">
      <c r="A2113" s="55">
        <v>47768.0</v>
      </c>
      <c r="B2113" s="55" t="str">
        <f t="shared" si="10"/>
        <v>Primer dia</v>
      </c>
      <c r="C2113" s="202">
        <f t="shared" si="1"/>
        <v>12</v>
      </c>
      <c r="D2113" s="202" t="str">
        <f t="shared" si="2"/>
        <v> </v>
      </c>
      <c r="E2113" s="202" t="str">
        <f t="shared" si="9"/>
        <v> </v>
      </c>
      <c r="F2113" s="55" t="str">
        <f t="shared" si="4"/>
        <v/>
      </c>
      <c r="G2113" s="202" t="str">
        <f t="shared" si="5"/>
        <v/>
      </c>
      <c r="H2113" s="202" t="str">
        <f t="shared" si="11"/>
        <v> </v>
      </c>
      <c r="I2113" s="205" t="str">
        <f t="shared" si="7"/>
        <v/>
      </c>
      <c r="J2113" s="205"/>
      <c r="K2113" s="205"/>
    </row>
    <row r="2114" ht="14.25" customHeight="1">
      <c r="A2114" s="55">
        <v>47769.0</v>
      </c>
      <c r="B2114" s="55" t="str">
        <f t="shared" si="10"/>
        <v>Primer dia</v>
      </c>
      <c r="C2114" s="202">
        <f t="shared" si="1"/>
        <v>13</v>
      </c>
      <c r="D2114" s="202" t="str">
        <f t="shared" si="2"/>
        <v> </v>
      </c>
      <c r="E2114" s="202" t="str">
        <f t="shared" si="9"/>
        <v> </v>
      </c>
      <c r="F2114" s="55" t="str">
        <f t="shared" si="4"/>
        <v/>
      </c>
      <c r="G2114" s="202" t="str">
        <f t="shared" si="5"/>
        <v/>
      </c>
      <c r="H2114" s="202" t="str">
        <f t="shared" si="11"/>
        <v> </v>
      </c>
      <c r="I2114" s="205" t="str">
        <f t="shared" si="7"/>
        <v/>
      </c>
      <c r="J2114" s="205"/>
      <c r="K2114" s="205"/>
    </row>
    <row r="2115" ht="14.25" customHeight="1">
      <c r="A2115" s="55">
        <v>47770.0</v>
      </c>
      <c r="B2115" s="55" t="str">
        <f t="shared" si="10"/>
        <v>Primer dia</v>
      </c>
      <c r="C2115" s="202">
        <f t="shared" si="1"/>
        <v>14</v>
      </c>
      <c r="D2115" s="202" t="str">
        <f t="shared" si="2"/>
        <v> </v>
      </c>
      <c r="E2115" s="202" t="str">
        <f t="shared" si="9"/>
        <v> </v>
      </c>
      <c r="F2115" s="55" t="str">
        <f t="shared" si="4"/>
        <v/>
      </c>
      <c r="G2115" s="202" t="str">
        <f t="shared" si="5"/>
        <v/>
      </c>
      <c r="H2115" s="202" t="str">
        <f t="shared" si="11"/>
        <v> </v>
      </c>
      <c r="I2115" s="205" t="str">
        <f t="shared" si="7"/>
        <v/>
      </c>
      <c r="J2115" s="205"/>
      <c r="K2115" s="205"/>
    </row>
    <row r="2116" ht="14.25" customHeight="1">
      <c r="A2116" s="55">
        <v>47771.0</v>
      </c>
      <c r="B2116" s="55" t="str">
        <f t="shared" si="10"/>
        <v>Primer dia</v>
      </c>
      <c r="C2116" s="202">
        <f t="shared" si="1"/>
        <v>15</v>
      </c>
      <c r="D2116" s="202" t="str">
        <f t="shared" si="2"/>
        <v> </v>
      </c>
      <c r="E2116" s="202" t="str">
        <f t="shared" si="9"/>
        <v> </v>
      </c>
      <c r="F2116" s="55" t="str">
        <f t="shared" si="4"/>
        <v/>
      </c>
      <c r="G2116" s="202" t="str">
        <f t="shared" si="5"/>
        <v/>
      </c>
      <c r="H2116" s="202" t="str">
        <f t="shared" si="11"/>
        <v> </v>
      </c>
      <c r="I2116" s="205" t="str">
        <f t="shared" si="7"/>
        <v/>
      </c>
      <c r="J2116" s="205"/>
      <c r="K2116" s="205"/>
    </row>
    <row r="2117" ht="14.25" customHeight="1">
      <c r="A2117" s="55">
        <v>47772.0</v>
      </c>
      <c r="B2117" s="55" t="str">
        <f t="shared" si="10"/>
        <v>Primer dia</v>
      </c>
      <c r="C2117" s="202">
        <f t="shared" si="1"/>
        <v>16</v>
      </c>
      <c r="D2117" s="202" t="str">
        <f t="shared" si="2"/>
        <v> </v>
      </c>
      <c r="E2117" s="202" t="str">
        <f t="shared" si="9"/>
        <v> </v>
      </c>
      <c r="F2117" s="55" t="str">
        <f t="shared" si="4"/>
        <v/>
      </c>
      <c r="G2117" s="202" t="str">
        <f t="shared" si="5"/>
        <v/>
      </c>
      <c r="H2117" s="202" t="str">
        <f t="shared" si="11"/>
        <v> </v>
      </c>
      <c r="I2117" s="205" t="str">
        <f t="shared" si="7"/>
        <v/>
      </c>
      <c r="J2117" s="205"/>
      <c r="K2117" s="205"/>
    </row>
    <row r="2118" ht="14.25" customHeight="1">
      <c r="A2118" s="55">
        <v>47773.0</v>
      </c>
      <c r="B2118" s="55" t="str">
        <f t="shared" si="10"/>
        <v>Primer dia</v>
      </c>
      <c r="C2118" s="202">
        <f t="shared" si="1"/>
        <v>17</v>
      </c>
      <c r="D2118" s="202" t="str">
        <f t="shared" si="2"/>
        <v> </v>
      </c>
      <c r="E2118" s="202">
        <f t="shared" si="9"/>
        <v>17</v>
      </c>
      <c r="F2118" s="55">
        <f t="shared" si="4"/>
        <v>47773</v>
      </c>
      <c r="G2118" s="202">
        <f t="shared" si="5"/>
        <v>114</v>
      </c>
      <c r="H2118" s="202" t="str">
        <f t="shared" si="11"/>
        <v> </v>
      </c>
      <c r="I2118" s="205" t="str">
        <f t="shared" si="7"/>
        <v/>
      </c>
      <c r="J2118" s="205"/>
      <c r="K2118" s="205"/>
    </row>
    <row r="2119" ht="14.25" customHeight="1">
      <c r="A2119" s="55">
        <v>47774.0</v>
      </c>
      <c r="B2119" s="55" t="str">
        <f t="shared" si="10"/>
        <v>Primer dia</v>
      </c>
      <c r="C2119" s="202">
        <f t="shared" si="1"/>
        <v>18</v>
      </c>
      <c r="D2119" s="202" t="str">
        <f t="shared" si="2"/>
        <v> </v>
      </c>
      <c r="E2119" s="202" t="str">
        <f t="shared" si="9"/>
        <v> </v>
      </c>
      <c r="F2119" s="55" t="str">
        <f t="shared" si="4"/>
        <v/>
      </c>
      <c r="G2119" s="202" t="str">
        <f t="shared" si="5"/>
        <v/>
      </c>
      <c r="H2119" s="202" t="str">
        <f t="shared" si="11"/>
        <v> </v>
      </c>
      <c r="I2119" s="205" t="str">
        <f t="shared" si="7"/>
        <v/>
      </c>
      <c r="J2119" s="205"/>
      <c r="K2119" s="205"/>
    </row>
    <row r="2120" ht="14.25" customHeight="1">
      <c r="A2120" s="55">
        <v>47775.0</v>
      </c>
      <c r="B2120" s="55" t="str">
        <f t="shared" si="10"/>
        <v>Primer dia</v>
      </c>
      <c r="C2120" s="202">
        <f t="shared" si="1"/>
        <v>19</v>
      </c>
      <c r="D2120" s="202" t="str">
        <f t="shared" si="2"/>
        <v> </v>
      </c>
      <c r="E2120" s="202" t="str">
        <f t="shared" si="9"/>
        <v> </v>
      </c>
      <c r="F2120" s="55" t="str">
        <f t="shared" si="4"/>
        <v/>
      </c>
      <c r="G2120" s="202" t="str">
        <f t="shared" si="5"/>
        <v/>
      </c>
      <c r="H2120" s="202" t="str">
        <f t="shared" si="11"/>
        <v> </v>
      </c>
      <c r="I2120" s="205" t="str">
        <f t="shared" si="7"/>
        <v/>
      </c>
      <c r="J2120" s="205"/>
      <c r="K2120" s="205"/>
    </row>
    <row r="2121" ht="14.25" customHeight="1">
      <c r="A2121" s="55">
        <v>47776.0</v>
      </c>
      <c r="B2121" s="55" t="str">
        <f t="shared" si="10"/>
        <v>Primer dia</v>
      </c>
      <c r="C2121" s="202">
        <f t="shared" si="1"/>
        <v>20</v>
      </c>
      <c r="D2121" s="202" t="str">
        <f t="shared" si="2"/>
        <v> </v>
      </c>
      <c r="E2121" s="202" t="str">
        <f t="shared" si="9"/>
        <v> </v>
      </c>
      <c r="F2121" s="55" t="str">
        <f t="shared" si="4"/>
        <v/>
      </c>
      <c r="G2121" s="202" t="str">
        <f t="shared" si="5"/>
        <v/>
      </c>
      <c r="H2121" s="202" t="str">
        <f t="shared" si="11"/>
        <v> </v>
      </c>
      <c r="I2121" s="205" t="str">
        <f t="shared" si="7"/>
        <v/>
      </c>
      <c r="J2121" s="205"/>
      <c r="K2121" s="205"/>
    </row>
    <row r="2122" ht="14.25" customHeight="1">
      <c r="A2122" s="55">
        <v>47777.0</v>
      </c>
      <c r="B2122" s="55" t="str">
        <f t="shared" si="10"/>
        <v>Primer dia</v>
      </c>
      <c r="C2122" s="202">
        <f t="shared" si="1"/>
        <v>21</v>
      </c>
      <c r="D2122" s="202" t="str">
        <f t="shared" si="2"/>
        <v> </v>
      </c>
      <c r="E2122" s="202" t="str">
        <f t="shared" si="9"/>
        <v> </v>
      </c>
      <c r="F2122" s="55" t="str">
        <f t="shared" si="4"/>
        <v/>
      </c>
      <c r="G2122" s="202" t="str">
        <f t="shared" si="5"/>
        <v/>
      </c>
      <c r="H2122" s="202" t="str">
        <f t="shared" si="11"/>
        <v> </v>
      </c>
      <c r="I2122" s="205" t="str">
        <f t="shared" si="7"/>
        <v/>
      </c>
      <c r="J2122" s="205"/>
      <c r="K2122" s="205"/>
    </row>
    <row r="2123" ht="14.25" customHeight="1">
      <c r="A2123" s="55">
        <v>47778.0</v>
      </c>
      <c r="B2123" s="55" t="str">
        <f t="shared" si="10"/>
        <v>Primer dia</v>
      </c>
      <c r="C2123" s="202">
        <f t="shared" si="1"/>
        <v>22</v>
      </c>
      <c r="D2123" s="202" t="str">
        <f t="shared" si="2"/>
        <v> </v>
      </c>
      <c r="E2123" s="202" t="str">
        <f t="shared" si="9"/>
        <v> </v>
      </c>
      <c r="F2123" s="55" t="str">
        <f t="shared" si="4"/>
        <v/>
      </c>
      <c r="G2123" s="202" t="str">
        <f t="shared" si="5"/>
        <v/>
      </c>
      <c r="H2123" s="202" t="str">
        <f t="shared" si="11"/>
        <v> </v>
      </c>
      <c r="I2123" s="205" t="str">
        <f t="shared" si="7"/>
        <v/>
      </c>
      <c r="J2123" s="205"/>
      <c r="K2123" s="205"/>
    </row>
    <row r="2124" ht="14.25" customHeight="1">
      <c r="A2124" s="55">
        <v>47779.0</v>
      </c>
      <c r="B2124" s="55" t="str">
        <f t="shared" si="10"/>
        <v>Primer dia</v>
      </c>
      <c r="C2124" s="202">
        <f t="shared" si="1"/>
        <v>23</v>
      </c>
      <c r="D2124" s="202" t="str">
        <f t="shared" si="2"/>
        <v> </v>
      </c>
      <c r="E2124" s="202" t="str">
        <f t="shared" si="9"/>
        <v> </v>
      </c>
      <c r="F2124" s="55" t="str">
        <f t="shared" si="4"/>
        <v/>
      </c>
      <c r="G2124" s="202" t="str">
        <f t="shared" si="5"/>
        <v/>
      </c>
      <c r="H2124" s="202" t="str">
        <f t="shared" si="11"/>
        <v> </v>
      </c>
      <c r="I2124" s="205" t="str">
        <f t="shared" si="7"/>
        <v/>
      </c>
      <c r="J2124" s="205"/>
      <c r="K2124" s="205"/>
    </row>
    <row r="2125" ht="14.25" customHeight="1">
      <c r="A2125" s="55">
        <v>47780.0</v>
      </c>
      <c r="B2125" s="55" t="str">
        <f t="shared" si="10"/>
        <v>Primer dia</v>
      </c>
      <c r="C2125" s="202">
        <f t="shared" si="1"/>
        <v>24</v>
      </c>
      <c r="D2125" s="202" t="str">
        <f t="shared" si="2"/>
        <v> </v>
      </c>
      <c r="E2125" s="202" t="str">
        <f t="shared" si="9"/>
        <v> </v>
      </c>
      <c r="F2125" s="55" t="str">
        <f t="shared" si="4"/>
        <v/>
      </c>
      <c r="G2125" s="202" t="str">
        <f t="shared" si="5"/>
        <v/>
      </c>
      <c r="H2125" s="202" t="str">
        <f t="shared" si="11"/>
        <v> </v>
      </c>
      <c r="I2125" s="205" t="str">
        <f t="shared" si="7"/>
        <v/>
      </c>
      <c r="J2125" s="205"/>
      <c r="K2125" s="205"/>
    </row>
    <row r="2126" ht="14.25" customHeight="1">
      <c r="A2126" s="55">
        <v>47781.0</v>
      </c>
      <c r="B2126" s="55" t="str">
        <f t="shared" si="10"/>
        <v>Primer dia</v>
      </c>
      <c r="C2126" s="202">
        <f t="shared" si="1"/>
        <v>25</v>
      </c>
      <c r="D2126" s="202" t="str">
        <f t="shared" si="2"/>
        <v> </v>
      </c>
      <c r="E2126" s="202" t="str">
        <f t="shared" si="9"/>
        <v> </v>
      </c>
      <c r="F2126" s="55" t="str">
        <f t="shared" si="4"/>
        <v/>
      </c>
      <c r="G2126" s="202" t="str">
        <f t="shared" si="5"/>
        <v/>
      </c>
      <c r="H2126" s="202" t="str">
        <f t="shared" si="11"/>
        <v> </v>
      </c>
      <c r="I2126" s="205" t="str">
        <f t="shared" si="7"/>
        <v/>
      </c>
      <c r="J2126" s="205"/>
      <c r="K2126" s="205"/>
    </row>
    <row r="2127" ht="14.25" customHeight="1">
      <c r="A2127" s="55">
        <v>47782.0</v>
      </c>
      <c r="B2127" s="55" t="str">
        <f t="shared" si="10"/>
        <v>Primer dia</v>
      </c>
      <c r="C2127" s="202">
        <f t="shared" si="1"/>
        <v>26</v>
      </c>
      <c r="D2127" s="202" t="str">
        <f t="shared" si="2"/>
        <v> </v>
      </c>
      <c r="E2127" s="202" t="str">
        <f t="shared" si="9"/>
        <v> </v>
      </c>
      <c r="F2127" s="55" t="str">
        <f t="shared" si="4"/>
        <v/>
      </c>
      <c r="G2127" s="202" t="str">
        <f t="shared" si="5"/>
        <v/>
      </c>
      <c r="H2127" s="202" t="str">
        <f t="shared" si="11"/>
        <v> </v>
      </c>
      <c r="I2127" s="205" t="str">
        <f t="shared" si="7"/>
        <v/>
      </c>
      <c r="J2127" s="205"/>
      <c r="K2127" s="205"/>
    </row>
    <row r="2128" ht="14.25" customHeight="1">
      <c r="A2128" s="55">
        <v>47783.0</v>
      </c>
      <c r="B2128" s="55" t="str">
        <f t="shared" si="10"/>
        <v>Primer dia</v>
      </c>
      <c r="C2128" s="202">
        <f t="shared" si="1"/>
        <v>27</v>
      </c>
      <c r="D2128" s="202" t="str">
        <f t="shared" si="2"/>
        <v> </v>
      </c>
      <c r="E2128" s="202" t="str">
        <f t="shared" si="9"/>
        <v> </v>
      </c>
      <c r="F2128" s="55" t="str">
        <f t="shared" si="4"/>
        <v/>
      </c>
      <c r="G2128" s="202" t="str">
        <f t="shared" si="5"/>
        <v/>
      </c>
      <c r="H2128" s="202" t="str">
        <f t="shared" si="11"/>
        <v> </v>
      </c>
      <c r="I2128" s="205" t="str">
        <f t="shared" si="7"/>
        <v/>
      </c>
      <c r="J2128" s="205"/>
      <c r="K2128" s="205"/>
    </row>
    <row r="2129" ht="14.25" customHeight="1">
      <c r="A2129" s="55">
        <v>47784.0</v>
      </c>
      <c r="B2129" s="55" t="str">
        <f t="shared" si="10"/>
        <v>Primer dia</v>
      </c>
      <c r="C2129" s="202">
        <f t="shared" si="1"/>
        <v>28</v>
      </c>
      <c r="D2129" s="202" t="str">
        <f t="shared" si="2"/>
        <v> </v>
      </c>
      <c r="E2129" s="202" t="str">
        <f t="shared" si="9"/>
        <v> </v>
      </c>
      <c r="F2129" s="55" t="str">
        <f t="shared" si="4"/>
        <v/>
      </c>
      <c r="G2129" s="202" t="str">
        <f t="shared" si="5"/>
        <v/>
      </c>
      <c r="H2129" s="202" t="str">
        <f t="shared" si="11"/>
        <v> </v>
      </c>
      <c r="I2129" s="205" t="str">
        <f t="shared" si="7"/>
        <v/>
      </c>
      <c r="J2129" s="205"/>
      <c r="K2129" s="205"/>
    </row>
    <row r="2130" ht="14.25" customHeight="1">
      <c r="A2130" s="55">
        <v>47785.0</v>
      </c>
      <c r="B2130" s="55" t="str">
        <f t="shared" si="10"/>
        <v>Primer dia</v>
      </c>
      <c r="C2130" s="202">
        <f t="shared" si="1"/>
        <v>29</v>
      </c>
      <c r="D2130" s="202" t="str">
        <f t="shared" si="2"/>
        <v> </v>
      </c>
      <c r="E2130" s="202" t="str">
        <f t="shared" si="9"/>
        <v> </v>
      </c>
      <c r="F2130" s="55" t="str">
        <f t="shared" si="4"/>
        <v/>
      </c>
      <c r="G2130" s="202" t="str">
        <f t="shared" si="5"/>
        <v/>
      </c>
      <c r="H2130" s="202" t="str">
        <f t="shared" si="11"/>
        <v> </v>
      </c>
      <c r="I2130" s="205" t="str">
        <f t="shared" si="7"/>
        <v/>
      </c>
      <c r="J2130" s="205"/>
      <c r="K2130" s="205"/>
    </row>
    <row r="2131" ht="14.25" customHeight="1">
      <c r="A2131" s="55">
        <v>47786.0</v>
      </c>
      <c r="B2131" s="55" t="str">
        <f t="shared" si="10"/>
        <v>Primer dia</v>
      </c>
      <c r="C2131" s="202">
        <f t="shared" si="1"/>
        <v>30</v>
      </c>
      <c r="D2131" s="202" t="str">
        <f t="shared" si="2"/>
        <v> </v>
      </c>
      <c r="E2131" s="202" t="str">
        <f t="shared" si="9"/>
        <v> </v>
      </c>
      <c r="F2131" s="55" t="str">
        <f t="shared" si="4"/>
        <v/>
      </c>
      <c r="G2131" s="202" t="str">
        <f t="shared" si="5"/>
        <v/>
      </c>
      <c r="H2131" s="202" t="str">
        <f t="shared" si="11"/>
        <v> </v>
      </c>
      <c r="I2131" s="205" t="str">
        <f t="shared" si="7"/>
        <v/>
      </c>
      <c r="J2131" s="205"/>
      <c r="K2131" s="205"/>
    </row>
    <row r="2132" ht="14.25" customHeight="1">
      <c r="A2132" s="55">
        <v>47787.0</v>
      </c>
      <c r="B2132" s="55" t="str">
        <f t="shared" si="10"/>
        <v>Primer dia</v>
      </c>
      <c r="C2132" s="202">
        <f t="shared" si="1"/>
        <v>31</v>
      </c>
      <c r="D2132" s="202" t="str">
        <f t="shared" si="2"/>
        <v> </v>
      </c>
      <c r="E2132" s="202" t="str">
        <f t="shared" si="9"/>
        <v> </v>
      </c>
      <c r="F2132" s="55" t="str">
        <f t="shared" si="4"/>
        <v/>
      </c>
      <c r="G2132" s="202" t="str">
        <f t="shared" si="5"/>
        <v/>
      </c>
      <c r="H2132" s="202" t="str">
        <f t="shared" si="11"/>
        <v> </v>
      </c>
      <c r="I2132" s="205" t="str">
        <f t="shared" si="7"/>
        <v/>
      </c>
      <c r="J2132" s="205"/>
      <c r="K2132" s="205"/>
    </row>
    <row r="2133" ht="14.25" customHeight="1">
      <c r="A2133" s="55">
        <v>47788.0</v>
      </c>
      <c r="B2133" s="55" t="str">
        <f t="shared" si="10"/>
        <v>Primer dia</v>
      </c>
      <c r="C2133" s="202">
        <f t="shared" si="1"/>
        <v>1</v>
      </c>
      <c r="D2133" s="202" t="str">
        <f t="shared" si="2"/>
        <v> </v>
      </c>
      <c r="E2133" s="202" t="str">
        <f t="shared" si="9"/>
        <v> </v>
      </c>
      <c r="F2133" s="55" t="str">
        <f t="shared" si="4"/>
        <v/>
      </c>
      <c r="G2133" s="202" t="str">
        <f t="shared" si="5"/>
        <v/>
      </c>
      <c r="H2133" s="202" t="str">
        <f t="shared" si="11"/>
        <v> </v>
      </c>
      <c r="I2133" s="205" t="str">
        <f t="shared" si="7"/>
        <v/>
      </c>
      <c r="J2133" s="205"/>
      <c r="K2133" s="205"/>
    </row>
    <row r="2134" ht="14.25" customHeight="1">
      <c r="A2134" s="55">
        <v>47789.0</v>
      </c>
      <c r="B2134" s="55" t="str">
        <f t="shared" si="10"/>
        <v>Primer dia</v>
      </c>
      <c r="C2134" s="202">
        <f t="shared" si="1"/>
        <v>2</v>
      </c>
      <c r="D2134" s="202" t="str">
        <f t="shared" si="2"/>
        <v> </v>
      </c>
      <c r="E2134" s="202">
        <f t="shared" si="9"/>
        <v>2</v>
      </c>
      <c r="F2134" s="55">
        <f t="shared" si="4"/>
        <v>47789</v>
      </c>
      <c r="G2134" s="202">
        <f t="shared" si="5"/>
        <v>115</v>
      </c>
      <c r="H2134" s="202" t="str">
        <f t="shared" si="11"/>
        <v> </v>
      </c>
      <c r="I2134" s="205" t="str">
        <f t="shared" si="7"/>
        <v/>
      </c>
      <c r="J2134" s="205"/>
      <c r="K2134" s="205"/>
    </row>
    <row r="2135" ht="14.25" customHeight="1">
      <c r="A2135" s="55">
        <v>47790.0</v>
      </c>
      <c r="B2135" s="55" t="str">
        <f t="shared" si="10"/>
        <v>Primer dia</v>
      </c>
      <c r="C2135" s="202">
        <f t="shared" si="1"/>
        <v>3</v>
      </c>
      <c r="D2135" s="202" t="str">
        <f t="shared" si="2"/>
        <v> </v>
      </c>
      <c r="E2135" s="202" t="str">
        <f t="shared" si="9"/>
        <v> </v>
      </c>
      <c r="F2135" s="55" t="str">
        <f t="shared" si="4"/>
        <v/>
      </c>
      <c r="G2135" s="202" t="str">
        <f t="shared" si="5"/>
        <v/>
      </c>
      <c r="H2135" s="202" t="str">
        <f t="shared" si="11"/>
        <v> </v>
      </c>
      <c r="I2135" s="205" t="str">
        <f t="shared" si="7"/>
        <v/>
      </c>
      <c r="J2135" s="205"/>
      <c r="K2135" s="205"/>
    </row>
    <row r="2136" ht="14.25" customHeight="1">
      <c r="A2136" s="55">
        <v>47791.0</v>
      </c>
      <c r="B2136" s="55" t="str">
        <f t="shared" si="10"/>
        <v>Primer dia</v>
      </c>
      <c r="C2136" s="202">
        <f t="shared" si="1"/>
        <v>4</v>
      </c>
      <c r="D2136" s="202" t="str">
        <f t="shared" si="2"/>
        <v> </v>
      </c>
      <c r="E2136" s="202" t="str">
        <f t="shared" si="9"/>
        <v> </v>
      </c>
      <c r="F2136" s="55" t="str">
        <f t="shared" si="4"/>
        <v/>
      </c>
      <c r="G2136" s="202" t="str">
        <f t="shared" si="5"/>
        <v/>
      </c>
      <c r="H2136" s="202" t="str">
        <f t="shared" si="11"/>
        <v> </v>
      </c>
      <c r="I2136" s="205" t="str">
        <f t="shared" si="7"/>
        <v/>
      </c>
      <c r="J2136" s="205"/>
      <c r="K2136" s="205"/>
    </row>
    <row r="2137" ht="14.25" customHeight="1">
      <c r="A2137" s="55">
        <v>47792.0</v>
      </c>
      <c r="B2137" s="55" t="str">
        <f t="shared" si="10"/>
        <v>Primer dia</v>
      </c>
      <c r="C2137" s="202">
        <f t="shared" si="1"/>
        <v>5</v>
      </c>
      <c r="D2137" s="202" t="str">
        <f t="shared" si="2"/>
        <v> </v>
      </c>
      <c r="E2137" s="202" t="str">
        <f t="shared" si="9"/>
        <v> </v>
      </c>
      <c r="F2137" s="55" t="str">
        <f t="shared" si="4"/>
        <v/>
      </c>
      <c r="G2137" s="202" t="str">
        <f t="shared" si="5"/>
        <v/>
      </c>
      <c r="H2137" s="202" t="str">
        <f t="shared" si="11"/>
        <v> </v>
      </c>
      <c r="I2137" s="205" t="str">
        <f t="shared" si="7"/>
        <v/>
      </c>
      <c r="J2137" s="205"/>
      <c r="K2137" s="205"/>
    </row>
    <row r="2138" ht="14.25" customHeight="1">
      <c r="A2138" s="55">
        <v>47793.0</v>
      </c>
      <c r="B2138" s="55" t="str">
        <f t="shared" si="10"/>
        <v>Primer dia</v>
      </c>
      <c r="C2138" s="202">
        <f t="shared" si="1"/>
        <v>6</v>
      </c>
      <c r="D2138" s="202" t="str">
        <f t="shared" si="2"/>
        <v> </v>
      </c>
      <c r="E2138" s="202" t="str">
        <f t="shared" si="9"/>
        <v> </v>
      </c>
      <c r="F2138" s="55" t="str">
        <f t="shared" si="4"/>
        <v/>
      </c>
      <c r="G2138" s="202" t="str">
        <f t="shared" si="5"/>
        <v/>
      </c>
      <c r="H2138" s="202" t="str">
        <f t="shared" si="11"/>
        <v> </v>
      </c>
      <c r="I2138" s="205" t="str">
        <f t="shared" si="7"/>
        <v/>
      </c>
      <c r="J2138" s="205"/>
      <c r="K2138" s="205"/>
    </row>
    <row r="2139" ht="14.25" customHeight="1">
      <c r="A2139" s="55">
        <v>47794.0</v>
      </c>
      <c r="B2139" s="55" t="str">
        <f t="shared" si="10"/>
        <v>Primer dia</v>
      </c>
      <c r="C2139" s="202">
        <f t="shared" si="1"/>
        <v>7</v>
      </c>
      <c r="D2139" s="202" t="str">
        <f t="shared" si="2"/>
        <v> </v>
      </c>
      <c r="E2139" s="202" t="str">
        <f t="shared" si="9"/>
        <v> </v>
      </c>
      <c r="F2139" s="55" t="str">
        <f t="shared" si="4"/>
        <v/>
      </c>
      <c r="G2139" s="202" t="str">
        <f t="shared" si="5"/>
        <v/>
      </c>
      <c r="H2139" s="202" t="str">
        <f t="shared" si="11"/>
        <v> </v>
      </c>
      <c r="I2139" s="205" t="str">
        <f t="shared" si="7"/>
        <v/>
      </c>
      <c r="J2139" s="205"/>
      <c r="K2139" s="205"/>
    </row>
    <row r="2140" ht="14.25" customHeight="1">
      <c r="A2140" s="55">
        <v>47795.0</v>
      </c>
      <c r="B2140" s="55" t="str">
        <f t="shared" si="10"/>
        <v>Primer dia</v>
      </c>
      <c r="C2140" s="202">
        <f t="shared" si="1"/>
        <v>8</v>
      </c>
      <c r="D2140" s="202" t="str">
        <f t="shared" si="2"/>
        <v> </v>
      </c>
      <c r="E2140" s="202" t="str">
        <f t="shared" si="9"/>
        <v> </v>
      </c>
      <c r="F2140" s="55" t="str">
        <f t="shared" si="4"/>
        <v/>
      </c>
      <c r="G2140" s="202" t="str">
        <f t="shared" si="5"/>
        <v/>
      </c>
      <c r="H2140" s="202" t="str">
        <f t="shared" si="11"/>
        <v> </v>
      </c>
      <c r="I2140" s="205" t="str">
        <f t="shared" si="7"/>
        <v/>
      </c>
      <c r="J2140" s="205"/>
      <c r="K2140" s="205"/>
    </row>
    <row r="2141" ht="14.25" customHeight="1">
      <c r="A2141" s="55">
        <v>47796.0</v>
      </c>
      <c r="B2141" s="55" t="str">
        <f t="shared" si="10"/>
        <v>Primer dia</v>
      </c>
      <c r="C2141" s="202">
        <f t="shared" si="1"/>
        <v>9</v>
      </c>
      <c r="D2141" s="202" t="str">
        <f t="shared" si="2"/>
        <v> </v>
      </c>
      <c r="E2141" s="202" t="str">
        <f t="shared" si="9"/>
        <v> </v>
      </c>
      <c r="F2141" s="55" t="str">
        <f t="shared" si="4"/>
        <v/>
      </c>
      <c r="G2141" s="202" t="str">
        <f t="shared" si="5"/>
        <v/>
      </c>
      <c r="H2141" s="202" t="str">
        <f t="shared" si="11"/>
        <v> </v>
      </c>
      <c r="I2141" s="205" t="str">
        <f t="shared" si="7"/>
        <v/>
      </c>
      <c r="J2141" s="205"/>
      <c r="K2141" s="205"/>
    </row>
    <row r="2142" ht="14.25" customHeight="1">
      <c r="A2142" s="55">
        <v>47797.0</v>
      </c>
      <c r="B2142" s="55" t="str">
        <f t="shared" si="10"/>
        <v>Primer dia</v>
      </c>
      <c r="C2142" s="202">
        <f t="shared" si="1"/>
        <v>10</v>
      </c>
      <c r="D2142" s="202" t="str">
        <f t="shared" si="2"/>
        <v> </v>
      </c>
      <c r="E2142" s="202" t="str">
        <f t="shared" si="9"/>
        <v> </v>
      </c>
      <c r="F2142" s="55" t="str">
        <f t="shared" si="4"/>
        <v/>
      </c>
      <c r="G2142" s="202" t="str">
        <f t="shared" si="5"/>
        <v/>
      </c>
      <c r="H2142" s="202" t="str">
        <f t="shared" si="11"/>
        <v> </v>
      </c>
      <c r="I2142" s="205" t="str">
        <f t="shared" si="7"/>
        <v/>
      </c>
      <c r="J2142" s="205"/>
      <c r="K2142" s="205"/>
    </row>
    <row r="2143" ht="14.25" customHeight="1">
      <c r="A2143" s="55">
        <v>47798.0</v>
      </c>
      <c r="B2143" s="55" t="str">
        <f t="shared" si="10"/>
        <v>Primer dia</v>
      </c>
      <c r="C2143" s="202">
        <f t="shared" si="1"/>
        <v>11</v>
      </c>
      <c r="D2143" s="202" t="str">
        <f t="shared" si="2"/>
        <v> </v>
      </c>
      <c r="E2143" s="202" t="str">
        <f t="shared" si="9"/>
        <v> </v>
      </c>
      <c r="F2143" s="55" t="str">
        <f t="shared" si="4"/>
        <v/>
      </c>
      <c r="G2143" s="202" t="str">
        <f t="shared" si="5"/>
        <v/>
      </c>
      <c r="H2143" s="202" t="str">
        <f t="shared" si="11"/>
        <v> </v>
      </c>
      <c r="I2143" s="205" t="str">
        <f t="shared" si="7"/>
        <v/>
      </c>
      <c r="J2143" s="205"/>
      <c r="K2143" s="205"/>
    </row>
    <row r="2144" ht="14.25" customHeight="1">
      <c r="A2144" s="55">
        <v>47799.0</v>
      </c>
      <c r="B2144" s="55" t="str">
        <f t="shared" si="10"/>
        <v>Primer dia</v>
      </c>
      <c r="C2144" s="202">
        <f t="shared" si="1"/>
        <v>12</v>
      </c>
      <c r="D2144" s="202" t="str">
        <f t="shared" si="2"/>
        <v> </v>
      </c>
      <c r="E2144" s="202" t="str">
        <f t="shared" si="9"/>
        <v> </v>
      </c>
      <c r="F2144" s="55" t="str">
        <f t="shared" si="4"/>
        <v/>
      </c>
      <c r="G2144" s="202" t="str">
        <f t="shared" si="5"/>
        <v/>
      </c>
      <c r="H2144" s="202" t="str">
        <f t="shared" si="11"/>
        <v> </v>
      </c>
      <c r="I2144" s="205" t="str">
        <f t="shared" si="7"/>
        <v/>
      </c>
      <c r="J2144" s="205"/>
      <c r="K2144" s="205"/>
    </row>
    <row r="2145" ht="14.25" customHeight="1">
      <c r="A2145" s="55">
        <v>47800.0</v>
      </c>
      <c r="B2145" s="55" t="str">
        <f t="shared" si="10"/>
        <v>Primer dia</v>
      </c>
      <c r="C2145" s="202">
        <f t="shared" si="1"/>
        <v>13</v>
      </c>
      <c r="D2145" s="202" t="str">
        <f t="shared" si="2"/>
        <v> </v>
      </c>
      <c r="E2145" s="202" t="str">
        <f t="shared" si="9"/>
        <v> </v>
      </c>
      <c r="F2145" s="55" t="str">
        <f t="shared" si="4"/>
        <v/>
      </c>
      <c r="G2145" s="202" t="str">
        <f t="shared" si="5"/>
        <v/>
      </c>
      <c r="H2145" s="202" t="str">
        <f t="shared" si="11"/>
        <v> </v>
      </c>
      <c r="I2145" s="205" t="str">
        <f t="shared" si="7"/>
        <v/>
      </c>
      <c r="J2145" s="205"/>
      <c r="K2145" s="205"/>
    </row>
    <row r="2146" ht="14.25" customHeight="1">
      <c r="A2146" s="55">
        <v>47801.0</v>
      </c>
      <c r="B2146" s="55" t="str">
        <f t="shared" si="10"/>
        <v>Primer dia</v>
      </c>
      <c r="C2146" s="202">
        <f t="shared" si="1"/>
        <v>14</v>
      </c>
      <c r="D2146" s="202" t="str">
        <f t="shared" si="2"/>
        <v> </v>
      </c>
      <c r="E2146" s="202" t="str">
        <f t="shared" si="9"/>
        <v> </v>
      </c>
      <c r="F2146" s="55" t="str">
        <f t="shared" si="4"/>
        <v/>
      </c>
      <c r="G2146" s="202" t="str">
        <f t="shared" si="5"/>
        <v/>
      </c>
      <c r="H2146" s="202" t="str">
        <f t="shared" si="11"/>
        <v> </v>
      </c>
      <c r="I2146" s="205" t="str">
        <f t="shared" si="7"/>
        <v/>
      </c>
      <c r="J2146" s="205"/>
      <c r="K2146" s="205"/>
    </row>
    <row r="2147" ht="14.25" customHeight="1">
      <c r="A2147" s="55">
        <v>47802.0</v>
      </c>
      <c r="B2147" s="55" t="str">
        <f t="shared" si="10"/>
        <v>Primer dia</v>
      </c>
      <c r="C2147" s="202">
        <f t="shared" si="1"/>
        <v>15</v>
      </c>
      <c r="D2147" s="202" t="str">
        <f t="shared" si="2"/>
        <v> </v>
      </c>
      <c r="E2147" s="202" t="str">
        <f t="shared" si="9"/>
        <v> </v>
      </c>
      <c r="F2147" s="55" t="str">
        <f t="shared" si="4"/>
        <v/>
      </c>
      <c r="G2147" s="202" t="str">
        <f t="shared" si="5"/>
        <v/>
      </c>
      <c r="H2147" s="202" t="str">
        <f t="shared" si="11"/>
        <v> </v>
      </c>
      <c r="I2147" s="205" t="str">
        <f t="shared" si="7"/>
        <v/>
      </c>
      <c r="J2147" s="205"/>
      <c r="K2147" s="205"/>
    </row>
    <row r="2148" ht="14.25" customHeight="1">
      <c r="A2148" s="55">
        <v>47803.0</v>
      </c>
      <c r="B2148" s="55" t="str">
        <f t="shared" si="10"/>
        <v>Primer dia</v>
      </c>
      <c r="C2148" s="202">
        <f t="shared" si="1"/>
        <v>16</v>
      </c>
      <c r="D2148" s="202" t="str">
        <f t="shared" si="2"/>
        <v> </v>
      </c>
      <c r="E2148" s="202" t="str">
        <f t="shared" si="9"/>
        <v> </v>
      </c>
      <c r="F2148" s="55" t="str">
        <f t="shared" si="4"/>
        <v/>
      </c>
      <c r="G2148" s="202" t="str">
        <f t="shared" si="5"/>
        <v/>
      </c>
      <c r="H2148" s="202" t="str">
        <f t="shared" si="11"/>
        <v> </v>
      </c>
      <c r="I2148" s="205" t="str">
        <f t="shared" si="7"/>
        <v/>
      </c>
      <c r="J2148" s="205"/>
      <c r="K2148" s="205"/>
    </row>
    <row r="2149" ht="14.25" customHeight="1">
      <c r="A2149" s="55">
        <v>47804.0</v>
      </c>
      <c r="B2149" s="55" t="str">
        <f t="shared" si="10"/>
        <v>Primer dia</v>
      </c>
      <c r="C2149" s="202">
        <f t="shared" si="1"/>
        <v>17</v>
      </c>
      <c r="D2149" s="202" t="str">
        <f t="shared" si="2"/>
        <v> </v>
      </c>
      <c r="E2149" s="202">
        <f t="shared" si="9"/>
        <v>17</v>
      </c>
      <c r="F2149" s="55">
        <f t="shared" si="4"/>
        <v>47804</v>
      </c>
      <c r="G2149" s="202">
        <f t="shared" si="5"/>
        <v>116</v>
      </c>
      <c r="H2149" s="202" t="str">
        <f t="shared" si="11"/>
        <v> </v>
      </c>
      <c r="I2149" s="205" t="str">
        <f t="shared" si="7"/>
        <v/>
      </c>
      <c r="J2149" s="205"/>
      <c r="K2149" s="205"/>
    </row>
    <row r="2150" ht="14.25" customHeight="1">
      <c r="A2150" s="55">
        <v>47805.0</v>
      </c>
      <c r="B2150" s="55" t="str">
        <f t="shared" si="10"/>
        <v>Primer dia</v>
      </c>
      <c r="C2150" s="202">
        <f t="shared" si="1"/>
        <v>18</v>
      </c>
      <c r="D2150" s="202" t="str">
        <f t="shared" si="2"/>
        <v> </v>
      </c>
      <c r="E2150" s="202" t="str">
        <f t="shared" si="9"/>
        <v> </v>
      </c>
      <c r="F2150" s="55" t="str">
        <f t="shared" si="4"/>
        <v/>
      </c>
      <c r="G2150" s="202" t="str">
        <f t="shared" si="5"/>
        <v/>
      </c>
      <c r="H2150" s="202" t="str">
        <f t="shared" si="11"/>
        <v> </v>
      </c>
      <c r="I2150" s="205" t="str">
        <f t="shared" si="7"/>
        <v/>
      </c>
      <c r="J2150" s="205"/>
      <c r="K2150" s="205"/>
    </row>
    <row r="2151" ht="14.25" customHeight="1">
      <c r="A2151" s="55">
        <v>47806.0</v>
      </c>
      <c r="B2151" s="55" t="str">
        <f t="shared" si="10"/>
        <v>Primer dia</v>
      </c>
      <c r="C2151" s="202">
        <f t="shared" si="1"/>
        <v>19</v>
      </c>
      <c r="D2151" s="202" t="str">
        <f t="shared" si="2"/>
        <v> </v>
      </c>
      <c r="E2151" s="202" t="str">
        <f t="shared" si="9"/>
        <v> </v>
      </c>
      <c r="F2151" s="55" t="str">
        <f t="shared" si="4"/>
        <v/>
      </c>
      <c r="G2151" s="202" t="str">
        <f t="shared" si="5"/>
        <v/>
      </c>
      <c r="H2151" s="202" t="str">
        <f t="shared" si="11"/>
        <v> </v>
      </c>
      <c r="I2151" s="205" t="str">
        <f t="shared" si="7"/>
        <v/>
      </c>
      <c r="J2151" s="205"/>
      <c r="K2151" s="205"/>
    </row>
    <row r="2152" ht="14.25" customHeight="1">
      <c r="A2152" s="55">
        <v>47807.0</v>
      </c>
      <c r="B2152" s="55" t="str">
        <f t="shared" si="10"/>
        <v>Primer dia</v>
      </c>
      <c r="C2152" s="202">
        <f t="shared" si="1"/>
        <v>20</v>
      </c>
      <c r="D2152" s="202" t="str">
        <f t="shared" si="2"/>
        <v> </v>
      </c>
      <c r="E2152" s="202" t="str">
        <f t="shared" si="9"/>
        <v> </v>
      </c>
      <c r="F2152" s="55" t="str">
        <f t="shared" si="4"/>
        <v/>
      </c>
      <c r="G2152" s="202" t="str">
        <f t="shared" si="5"/>
        <v/>
      </c>
      <c r="H2152" s="202" t="str">
        <f t="shared" si="11"/>
        <v> </v>
      </c>
      <c r="I2152" s="205" t="str">
        <f t="shared" si="7"/>
        <v/>
      </c>
      <c r="J2152" s="205"/>
      <c r="K2152" s="205"/>
    </row>
    <row r="2153" ht="14.25" customHeight="1">
      <c r="A2153" s="55">
        <v>47808.0</v>
      </c>
      <c r="B2153" s="55" t="str">
        <f t="shared" si="10"/>
        <v>Primer dia</v>
      </c>
      <c r="C2153" s="202">
        <f t="shared" si="1"/>
        <v>21</v>
      </c>
      <c r="D2153" s="202" t="str">
        <f t="shared" si="2"/>
        <v> </v>
      </c>
      <c r="E2153" s="202" t="str">
        <f t="shared" si="9"/>
        <v> </v>
      </c>
      <c r="F2153" s="55" t="str">
        <f t="shared" si="4"/>
        <v/>
      </c>
      <c r="G2153" s="202" t="str">
        <f t="shared" si="5"/>
        <v/>
      </c>
      <c r="H2153" s="202" t="str">
        <f t="shared" si="11"/>
        <v> </v>
      </c>
      <c r="I2153" s="205" t="str">
        <f t="shared" si="7"/>
        <v/>
      </c>
      <c r="J2153" s="205"/>
      <c r="K2153" s="205"/>
    </row>
    <row r="2154" ht="14.25" customHeight="1">
      <c r="A2154" s="55">
        <v>47809.0</v>
      </c>
      <c r="B2154" s="55" t="str">
        <f t="shared" si="10"/>
        <v>Primer dia</v>
      </c>
      <c r="C2154" s="202">
        <f t="shared" si="1"/>
        <v>22</v>
      </c>
      <c r="D2154" s="202" t="str">
        <f t="shared" si="2"/>
        <v> </v>
      </c>
      <c r="E2154" s="202" t="str">
        <f t="shared" si="9"/>
        <v> </v>
      </c>
      <c r="F2154" s="55" t="str">
        <f t="shared" si="4"/>
        <v/>
      </c>
      <c r="G2154" s="202" t="str">
        <f t="shared" si="5"/>
        <v/>
      </c>
      <c r="H2154" s="202" t="str">
        <f t="shared" si="11"/>
        <v> </v>
      </c>
      <c r="I2154" s="205" t="str">
        <f t="shared" si="7"/>
        <v/>
      </c>
      <c r="J2154" s="205"/>
      <c r="K2154" s="205"/>
    </row>
    <row r="2155" ht="14.25" customHeight="1">
      <c r="A2155" s="55">
        <v>47810.0</v>
      </c>
      <c r="B2155" s="55" t="str">
        <f t="shared" si="10"/>
        <v>Primer dia</v>
      </c>
      <c r="C2155" s="202">
        <f t="shared" si="1"/>
        <v>23</v>
      </c>
      <c r="D2155" s="202" t="str">
        <f t="shared" si="2"/>
        <v> </v>
      </c>
      <c r="E2155" s="202" t="str">
        <f t="shared" si="9"/>
        <v> </v>
      </c>
      <c r="F2155" s="55" t="str">
        <f t="shared" si="4"/>
        <v/>
      </c>
      <c r="G2155" s="202" t="str">
        <f t="shared" si="5"/>
        <v/>
      </c>
      <c r="H2155" s="202" t="str">
        <f t="shared" si="11"/>
        <v> </v>
      </c>
      <c r="I2155" s="205" t="str">
        <f t="shared" si="7"/>
        <v/>
      </c>
      <c r="J2155" s="205"/>
      <c r="K2155" s="205"/>
    </row>
    <row r="2156" ht="14.25" customHeight="1">
      <c r="A2156" s="55">
        <v>47811.0</v>
      </c>
      <c r="B2156" s="55" t="str">
        <f t="shared" si="10"/>
        <v>Primer dia</v>
      </c>
      <c r="C2156" s="202">
        <f t="shared" si="1"/>
        <v>24</v>
      </c>
      <c r="D2156" s="202" t="str">
        <f t="shared" si="2"/>
        <v> </v>
      </c>
      <c r="E2156" s="202" t="str">
        <f t="shared" si="9"/>
        <v> </v>
      </c>
      <c r="F2156" s="55" t="str">
        <f t="shared" si="4"/>
        <v/>
      </c>
      <c r="G2156" s="202" t="str">
        <f t="shared" si="5"/>
        <v/>
      </c>
      <c r="H2156" s="202" t="str">
        <f t="shared" si="11"/>
        <v> </v>
      </c>
      <c r="I2156" s="205" t="str">
        <f t="shared" si="7"/>
        <v/>
      </c>
      <c r="J2156" s="205"/>
      <c r="K2156" s="205"/>
    </row>
    <row r="2157" ht="14.25" customHeight="1">
      <c r="A2157" s="55">
        <v>47812.0</v>
      </c>
      <c r="B2157" s="55" t="str">
        <f t="shared" si="10"/>
        <v>Primer dia</v>
      </c>
      <c r="C2157" s="202">
        <f t="shared" si="1"/>
        <v>25</v>
      </c>
      <c r="D2157" s="202" t="str">
        <f t="shared" si="2"/>
        <v> </v>
      </c>
      <c r="E2157" s="202" t="str">
        <f t="shared" si="9"/>
        <v> </v>
      </c>
      <c r="F2157" s="55" t="str">
        <f t="shared" si="4"/>
        <v/>
      </c>
      <c r="G2157" s="202" t="str">
        <f t="shared" si="5"/>
        <v/>
      </c>
      <c r="H2157" s="202" t="str">
        <f t="shared" si="11"/>
        <v> </v>
      </c>
      <c r="I2157" s="205" t="str">
        <f t="shared" si="7"/>
        <v/>
      </c>
      <c r="J2157" s="205"/>
      <c r="K2157" s="205"/>
    </row>
    <row r="2158" ht="14.25" customHeight="1">
      <c r="A2158" s="55">
        <v>47813.0</v>
      </c>
      <c r="B2158" s="55" t="str">
        <f t="shared" si="10"/>
        <v>Primer dia</v>
      </c>
      <c r="C2158" s="202">
        <f t="shared" si="1"/>
        <v>26</v>
      </c>
      <c r="D2158" s="202" t="str">
        <f t="shared" si="2"/>
        <v> </v>
      </c>
      <c r="E2158" s="202" t="str">
        <f t="shared" si="9"/>
        <v> </v>
      </c>
      <c r="F2158" s="55" t="str">
        <f t="shared" si="4"/>
        <v/>
      </c>
      <c r="G2158" s="202" t="str">
        <f t="shared" si="5"/>
        <v/>
      </c>
      <c r="H2158" s="202" t="str">
        <f t="shared" si="11"/>
        <v> </v>
      </c>
      <c r="I2158" s="205" t="str">
        <f t="shared" si="7"/>
        <v/>
      </c>
      <c r="J2158" s="205"/>
      <c r="K2158" s="205"/>
    </row>
    <row r="2159" ht="14.25" customHeight="1">
      <c r="A2159" s="55">
        <v>47814.0</v>
      </c>
      <c r="B2159" s="55" t="str">
        <f t="shared" si="10"/>
        <v>Primer dia</v>
      </c>
      <c r="C2159" s="202">
        <f t="shared" si="1"/>
        <v>27</v>
      </c>
      <c r="D2159" s="202" t="str">
        <f t="shared" si="2"/>
        <v> </v>
      </c>
      <c r="E2159" s="202" t="str">
        <f t="shared" si="9"/>
        <v> </v>
      </c>
      <c r="F2159" s="55" t="str">
        <f t="shared" si="4"/>
        <v/>
      </c>
      <c r="G2159" s="202" t="str">
        <f t="shared" si="5"/>
        <v/>
      </c>
      <c r="H2159" s="202" t="str">
        <f t="shared" si="11"/>
        <v> </v>
      </c>
      <c r="I2159" s="205" t="str">
        <f t="shared" si="7"/>
        <v/>
      </c>
      <c r="J2159" s="205"/>
      <c r="K2159" s="205"/>
    </row>
    <row r="2160" ht="14.25" customHeight="1">
      <c r="A2160" s="55">
        <v>47815.0</v>
      </c>
      <c r="B2160" s="55" t="str">
        <f t="shared" si="10"/>
        <v>Primer dia</v>
      </c>
      <c r="C2160" s="202">
        <f t="shared" si="1"/>
        <v>28</v>
      </c>
      <c r="D2160" s="202" t="str">
        <f t="shared" si="2"/>
        <v> </v>
      </c>
      <c r="E2160" s="202" t="str">
        <f t="shared" si="9"/>
        <v> </v>
      </c>
      <c r="F2160" s="55" t="str">
        <f t="shared" si="4"/>
        <v/>
      </c>
      <c r="G2160" s="202" t="str">
        <f t="shared" si="5"/>
        <v/>
      </c>
      <c r="H2160" s="202" t="str">
        <f t="shared" si="11"/>
        <v> </v>
      </c>
      <c r="I2160" s="205" t="str">
        <f t="shared" si="7"/>
        <v/>
      </c>
      <c r="J2160" s="205"/>
      <c r="K2160" s="205"/>
    </row>
    <row r="2161" ht="14.25" customHeight="1">
      <c r="A2161" s="55">
        <v>47816.0</v>
      </c>
      <c r="B2161" s="55" t="str">
        <f t="shared" si="10"/>
        <v>Primer dia</v>
      </c>
      <c r="C2161" s="202">
        <f t="shared" si="1"/>
        <v>29</v>
      </c>
      <c r="D2161" s="202" t="str">
        <f t="shared" si="2"/>
        <v> </v>
      </c>
      <c r="E2161" s="202" t="str">
        <f t="shared" si="9"/>
        <v> </v>
      </c>
      <c r="F2161" s="55" t="str">
        <f t="shared" si="4"/>
        <v/>
      </c>
      <c r="G2161" s="202" t="str">
        <f t="shared" si="5"/>
        <v/>
      </c>
      <c r="H2161" s="202" t="str">
        <f t="shared" si="11"/>
        <v> </v>
      </c>
      <c r="I2161" s="205" t="str">
        <f t="shared" si="7"/>
        <v/>
      </c>
      <c r="J2161" s="205"/>
      <c r="K2161" s="205"/>
    </row>
    <row r="2162" ht="14.25" customHeight="1">
      <c r="A2162" s="55">
        <v>47817.0</v>
      </c>
      <c r="B2162" s="55" t="str">
        <f t="shared" si="10"/>
        <v>Primer dia</v>
      </c>
      <c r="C2162" s="202">
        <f t="shared" si="1"/>
        <v>30</v>
      </c>
      <c r="D2162" s="202" t="str">
        <f t="shared" si="2"/>
        <v> </v>
      </c>
      <c r="E2162" s="202" t="str">
        <f t="shared" si="9"/>
        <v> </v>
      </c>
      <c r="F2162" s="55" t="str">
        <f t="shared" si="4"/>
        <v/>
      </c>
      <c r="G2162" s="202" t="str">
        <f t="shared" si="5"/>
        <v/>
      </c>
      <c r="H2162" s="202" t="str">
        <f t="shared" si="11"/>
        <v> </v>
      </c>
      <c r="I2162" s="205" t="str">
        <f t="shared" si="7"/>
        <v/>
      </c>
      <c r="J2162" s="205"/>
      <c r="K2162" s="205"/>
    </row>
    <row r="2163" ht="14.25" customHeight="1">
      <c r="A2163" s="55">
        <v>47818.0</v>
      </c>
      <c r="B2163" s="55" t="str">
        <f t="shared" si="10"/>
        <v>Primer dia</v>
      </c>
      <c r="C2163" s="202">
        <f t="shared" si="1"/>
        <v>1</v>
      </c>
      <c r="D2163" s="202" t="str">
        <f t="shared" si="2"/>
        <v> </v>
      </c>
      <c r="E2163" s="202" t="str">
        <f t="shared" si="9"/>
        <v> </v>
      </c>
      <c r="F2163" s="55" t="str">
        <f t="shared" si="4"/>
        <v/>
      </c>
      <c r="G2163" s="202" t="str">
        <f t="shared" si="5"/>
        <v/>
      </c>
      <c r="H2163" s="202" t="str">
        <f t="shared" si="11"/>
        <v> </v>
      </c>
      <c r="I2163" s="205" t="str">
        <f t="shared" si="7"/>
        <v/>
      </c>
      <c r="J2163" s="205"/>
      <c r="K2163" s="205"/>
    </row>
    <row r="2164" ht="14.25" customHeight="1">
      <c r="A2164" s="55">
        <v>47819.0</v>
      </c>
      <c r="B2164" s="55" t="str">
        <f t="shared" si="10"/>
        <v>Primer dia</v>
      </c>
      <c r="C2164" s="202">
        <f t="shared" si="1"/>
        <v>2</v>
      </c>
      <c r="D2164" s="202" t="str">
        <f t="shared" si="2"/>
        <v> </v>
      </c>
      <c r="E2164" s="202">
        <f t="shared" si="9"/>
        <v>2</v>
      </c>
      <c r="F2164" s="55">
        <f t="shared" si="4"/>
        <v>47819</v>
      </c>
      <c r="G2164" s="202">
        <f t="shared" si="5"/>
        <v>117</v>
      </c>
      <c r="H2164" s="202" t="str">
        <f t="shared" si="11"/>
        <v> </v>
      </c>
      <c r="I2164" s="205" t="str">
        <f t="shared" si="7"/>
        <v/>
      </c>
      <c r="J2164" s="205"/>
      <c r="K2164" s="205"/>
    </row>
    <row r="2165" ht="14.25" customHeight="1">
      <c r="A2165" s="55">
        <v>47820.0</v>
      </c>
      <c r="B2165" s="55" t="str">
        <f t="shared" si="10"/>
        <v>Primer dia</v>
      </c>
      <c r="C2165" s="202">
        <f t="shared" si="1"/>
        <v>3</v>
      </c>
      <c r="D2165" s="202" t="str">
        <f t="shared" si="2"/>
        <v> </v>
      </c>
      <c r="E2165" s="202" t="str">
        <f t="shared" si="9"/>
        <v> </v>
      </c>
      <c r="F2165" s="55" t="str">
        <f t="shared" si="4"/>
        <v/>
      </c>
      <c r="G2165" s="202" t="str">
        <f t="shared" si="5"/>
        <v/>
      </c>
      <c r="H2165" s="202" t="str">
        <f t="shared" si="11"/>
        <v> </v>
      </c>
      <c r="I2165" s="205" t="str">
        <f t="shared" si="7"/>
        <v/>
      </c>
      <c r="J2165" s="205"/>
      <c r="K2165" s="205"/>
    </row>
    <row r="2166" ht="14.25" customHeight="1">
      <c r="A2166" s="55">
        <v>47821.0</v>
      </c>
      <c r="B2166" s="55" t="str">
        <f t="shared" si="10"/>
        <v>Primer dia</v>
      </c>
      <c r="C2166" s="202">
        <f t="shared" si="1"/>
        <v>4</v>
      </c>
      <c r="D2166" s="202" t="str">
        <f t="shared" si="2"/>
        <v> </v>
      </c>
      <c r="E2166" s="202" t="str">
        <f t="shared" si="9"/>
        <v> </v>
      </c>
      <c r="F2166" s="55" t="str">
        <f t="shared" si="4"/>
        <v/>
      </c>
      <c r="G2166" s="202" t="str">
        <f t="shared" si="5"/>
        <v/>
      </c>
      <c r="H2166" s="202" t="str">
        <f t="shared" si="11"/>
        <v> </v>
      </c>
      <c r="I2166" s="205" t="str">
        <f t="shared" si="7"/>
        <v/>
      </c>
      <c r="J2166" s="205"/>
      <c r="K2166" s="205"/>
    </row>
    <row r="2167" ht="14.25" customHeight="1">
      <c r="A2167" s="55">
        <v>47822.0</v>
      </c>
      <c r="B2167" s="55" t="str">
        <f t="shared" si="10"/>
        <v>Primer dia</v>
      </c>
      <c r="C2167" s="202">
        <f t="shared" si="1"/>
        <v>5</v>
      </c>
      <c r="D2167" s="202" t="str">
        <f t="shared" si="2"/>
        <v> </v>
      </c>
      <c r="E2167" s="202" t="str">
        <f t="shared" si="9"/>
        <v> </v>
      </c>
      <c r="F2167" s="55" t="str">
        <f t="shared" si="4"/>
        <v/>
      </c>
      <c r="G2167" s="202" t="str">
        <f t="shared" si="5"/>
        <v/>
      </c>
      <c r="H2167" s="202" t="str">
        <f t="shared" si="11"/>
        <v> </v>
      </c>
      <c r="I2167" s="205" t="str">
        <f t="shared" si="7"/>
        <v/>
      </c>
      <c r="J2167" s="205"/>
      <c r="K2167" s="205"/>
    </row>
    <row r="2168" ht="14.25" customHeight="1">
      <c r="A2168" s="55">
        <v>47823.0</v>
      </c>
      <c r="B2168" s="55" t="str">
        <f t="shared" si="10"/>
        <v>Primer dia</v>
      </c>
      <c r="C2168" s="202">
        <f t="shared" si="1"/>
        <v>6</v>
      </c>
      <c r="D2168" s="202" t="str">
        <f t="shared" si="2"/>
        <v> </v>
      </c>
      <c r="E2168" s="202" t="str">
        <f t="shared" si="9"/>
        <v> </v>
      </c>
      <c r="F2168" s="55" t="str">
        <f t="shared" si="4"/>
        <v/>
      </c>
      <c r="G2168" s="202" t="str">
        <f t="shared" si="5"/>
        <v/>
      </c>
      <c r="H2168" s="202" t="str">
        <f t="shared" si="11"/>
        <v> </v>
      </c>
      <c r="I2168" s="205" t="str">
        <f t="shared" si="7"/>
        <v/>
      </c>
      <c r="J2168" s="205"/>
      <c r="K2168" s="205"/>
    </row>
    <row r="2169" ht="14.25" customHeight="1">
      <c r="A2169" s="55">
        <v>47824.0</v>
      </c>
      <c r="B2169" s="55" t="str">
        <f t="shared" si="10"/>
        <v>Primer dia</v>
      </c>
      <c r="C2169" s="202">
        <f t="shared" si="1"/>
        <v>7</v>
      </c>
      <c r="D2169" s="202" t="str">
        <f t="shared" si="2"/>
        <v> </v>
      </c>
      <c r="E2169" s="202" t="str">
        <f t="shared" si="9"/>
        <v> </v>
      </c>
      <c r="F2169" s="55" t="str">
        <f t="shared" si="4"/>
        <v/>
      </c>
      <c r="G2169" s="202" t="str">
        <f t="shared" si="5"/>
        <v/>
      </c>
      <c r="H2169" s="202" t="str">
        <f t="shared" si="11"/>
        <v> </v>
      </c>
      <c r="I2169" s="205" t="str">
        <f t="shared" si="7"/>
        <v/>
      </c>
      <c r="J2169" s="205"/>
      <c r="K2169" s="205"/>
    </row>
    <row r="2170" ht="14.25" customHeight="1">
      <c r="A2170" s="55">
        <v>47825.0</v>
      </c>
      <c r="B2170" s="55" t="str">
        <f t="shared" si="10"/>
        <v>Primer dia</v>
      </c>
      <c r="C2170" s="202">
        <f t="shared" si="1"/>
        <v>8</v>
      </c>
      <c r="D2170" s="202" t="str">
        <f t="shared" si="2"/>
        <v> </v>
      </c>
      <c r="E2170" s="202" t="str">
        <f t="shared" si="9"/>
        <v> </v>
      </c>
      <c r="F2170" s="55" t="str">
        <f t="shared" si="4"/>
        <v/>
      </c>
      <c r="G2170" s="202" t="str">
        <f t="shared" si="5"/>
        <v/>
      </c>
      <c r="H2170" s="202" t="str">
        <f t="shared" si="11"/>
        <v> </v>
      </c>
      <c r="I2170" s="205" t="str">
        <f t="shared" si="7"/>
        <v/>
      </c>
      <c r="J2170" s="205"/>
      <c r="K2170" s="205"/>
    </row>
    <row r="2171" ht="14.25" customHeight="1">
      <c r="A2171" s="55">
        <v>47826.0</v>
      </c>
      <c r="B2171" s="55" t="str">
        <f t="shared" si="10"/>
        <v>Primer dia</v>
      </c>
      <c r="C2171" s="202">
        <f t="shared" si="1"/>
        <v>9</v>
      </c>
      <c r="D2171" s="202" t="str">
        <f t="shared" si="2"/>
        <v> </v>
      </c>
      <c r="E2171" s="202" t="str">
        <f t="shared" si="9"/>
        <v> </v>
      </c>
      <c r="F2171" s="55" t="str">
        <f t="shared" si="4"/>
        <v/>
      </c>
      <c r="G2171" s="202" t="str">
        <f t="shared" si="5"/>
        <v/>
      </c>
      <c r="H2171" s="202" t="str">
        <f t="shared" si="11"/>
        <v> </v>
      </c>
      <c r="I2171" s="205" t="str">
        <f t="shared" si="7"/>
        <v/>
      </c>
      <c r="J2171" s="205"/>
      <c r="K2171" s="205"/>
    </row>
    <row r="2172" ht="14.25" customHeight="1">
      <c r="A2172" s="55">
        <v>47827.0</v>
      </c>
      <c r="B2172" s="55" t="str">
        <f t="shared" si="10"/>
        <v>Primer dia</v>
      </c>
      <c r="C2172" s="202">
        <f t="shared" si="1"/>
        <v>10</v>
      </c>
      <c r="D2172" s="202" t="str">
        <f t="shared" si="2"/>
        <v> </v>
      </c>
      <c r="E2172" s="202" t="str">
        <f t="shared" si="9"/>
        <v> </v>
      </c>
      <c r="F2172" s="55" t="str">
        <f t="shared" si="4"/>
        <v/>
      </c>
      <c r="G2172" s="202" t="str">
        <f t="shared" si="5"/>
        <v/>
      </c>
      <c r="H2172" s="202" t="str">
        <f t="shared" si="11"/>
        <v> </v>
      </c>
      <c r="I2172" s="205" t="str">
        <f t="shared" si="7"/>
        <v/>
      </c>
      <c r="J2172" s="205"/>
      <c r="K2172" s="205"/>
    </row>
    <row r="2173" ht="14.25" customHeight="1">
      <c r="A2173" s="55">
        <v>47828.0</v>
      </c>
      <c r="B2173" s="55" t="str">
        <f t="shared" si="10"/>
        <v>Primer dia</v>
      </c>
      <c r="C2173" s="202">
        <f t="shared" si="1"/>
        <v>11</v>
      </c>
      <c r="D2173" s="202" t="str">
        <f t="shared" si="2"/>
        <v> </v>
      </c>
      <c r="E2173" s="202" t="str">
        <f t="shared" si="9"/>
        <v> </v>
      </c>
      <c r="F2173" s="55" t="str">
        <f t="shared" si="4"/>
        <v/>
      </c>
      <c r="G2173" s="202" t="str">
        <f t="shared" si="5"/>
        <v/>
      </c>
      <c r="H2173" s="202" t="str">
        <f t="shared" si="11"/>
        <v> </v>
      </c>
      <c r="I2173" s="205" t="str">
        <f t="shared" si="7"/>
        <v/>
      </c>
      <c r="J2173" s="205"/>
      <c r="K2173" s="205"/>
    </row>
    <row r="2174" ht="14.25" customHeight="1">
      <c r="A2174" s="55">
        <v>47829.0</v>
      </c>
      <c r="B2174" s="55" t="str">
        <f t="shared" si="10"/>
        <v>Primer dia</v>
      </c>
      <c r="C2174" s="202">
        <f t="shared" si="1"/>
        <v>12</v>
      </c>
      <c r="D2174" s="202" t="str">
        <f t="shared" si="2"/>
        <v> </v>
      </c>
      <c r="E2174" s="202" t="str">
        <f t="shared" si="9"/>
        <v> </v>
      </c>
      <c r="F2174" s="55" t="str">
        <f t="shared" si="4"/>
        <v/>
      </c>
      <c r="G2174" s="202" t="str">
        <f t="shared" si="5"/>
        <v/>
      </c>
      <c r="H2174" s="202" t="str">
        <f t="shared" si="11"/>
        <v> </v>
      </c>
      <c r="I2174" s="205" t="str">
        <f t="shared" si="7"/>
        <v/>
      </c>
      <c r="J2174" s="205"/>
      <c r="K2174" s="205"/>
    </row>
    <row r="2175" ht="14.25" customHeight="1">
      <c r="A2175" s="55">
        <v>47830.0</v>
      </c>
      <c r="B2175" s="55" t="str">
        <f t="shared" si="10"/>
        <v>Primer dia</v>
      </c>
      <c r="C2175" s="202">
        <f t="shared" si="1"/>
        <v>13</v>
      </c>
      <c r="D2175" s="202" t="str">
        <f t="shared" si="2"/>
        <v> </v>
      </c>
      <c r="E2175" s="202" t="str">
        <f t="shared" si="9"/>
        <v> </v>
      </c>
      <c r="F2175" s="55" t="str">
        <f t="shared" si="4"/>
        <v/>
      </c>
      <c r="G2175" s="202" t="str">
        <f t="shared" si="5"/>
        <v/>
      </c>
      <c r="H2175" s="202" t="str">
        <f t="shared" si="11"/>
        <v> </v>
      </c>
      <c r="I2175" s="205" t="str">
        <f t="shared" si="7"/>
        <v/>
      </c>
      <c r="J2175" s="205"/>
      <c r="K2175" s="205"/>
    </row>
    <row r="2176" ht="14.25" customHeight="1">
      <c r="A2176" s="55">
        <v>47831.0</v>
      </c>
      <c r="B2176" s="55" t="str">
        <f t="shared" si="10"/>
        <v>Primer dia</v>
      </c>
      <c r="C2176" s="202">
        <f t="shared" si="1"/>
        <v>14</v>
      </c>
      <c r="D2176" s="202" t="str">
        <f t="shared" si="2"/>
        <v> </v>
      </c>
      <c r="E2176" s="202" t="str">
        <f t="shared" si="9"/>
        <v> </v>
      </c>
      <c r="F2176" s="55" t="str">
        <f t="shared" si="4"/>
        <v/>
      </c>
      <c r="G2176" s="202" t="str">
        <f t="shared" si="5"/>
        <v/>
      </c>
      <c r="H2176" s="202" t="str">
        <f t="shared" si="11"/>
        <v> </v>
      </c>
      <c r="I2176" s="205" t="str">
        <f t="shared" si="7"/>
        <v/>
      </c>
      <c r="J2176" s="205"/>
      <c r="K2176" s="205"/>
    </row>
    <row r="2177" ht="14.25" customHeight="1">
      <c r="A2177" s="55">
        <v>47832.0</v>
      </c>
      <c r="B2177" s="55" t="str">
        <f t="shared" si="10"/>
        <v>Primer dia</v>
      </c>
      <c r="C2177" s="202">
        <f t="shared" si="1"/>
        <v>15</v>
      </c>
      <c r="D2177" s="202" t="str">
        <f t="shared" si="2"/>
        <v> </v>
      </c>
      <c r="E2177" s="202" t="str">
        <f t="shared" si="9"/>
        <v> </v>
      </c>
      <c r="F2177" s="55" t="str">
        <f t="shared" si="4"/>
        <v/>
      </c>
      <c r="G2177" s="202" t="str">
        <f t="shared" si="5"/>
        <v/>
      </c>
      <c r="H2177" s="202" t="str">
        <f t="shared" si="11"/>
        <v> </v>
      </c>
      <c r="I2177" s="205" t="str">
        <f t="shared" si="7"/>
        <v/>
      </c>
      <c r="J2177" s="205"/>
      <c r="K2177" s="205"/>
    </row>
    <row r="2178" ht="14.25" customHeight="1">
      <c r="A2178" s="55">
        <v>47833.0</v>
      </c>
      <c r="B2178" s="55" t="str">
        <f t="shared" si="10"/>
        <v>Primer dia</v>
      </c>
      <c r="C2178" s="202">
        <f t="shared" si="1"/>
        <v>16</v>
      </c>
      <c r="D2178" s="202" t="str">
        <f t="shared" si="2"/>
        <v> </v>
      </c>
      <c r="E2178" s="202" t="str">
        <f t="shared" si="9"/>
        <v> </v>
      </c>
      <c r="F2178" s="55" t="str">
        <f t="shared" si="4"/>
        <v/>
      </c>
      <c r="G2178" s="202" t="str">
        <f t="shared" si="5"/>
        <v/>
      </c>
      <c r="H2178" s="202" t="str">
        <f t="shared" si="11"/>
        <v> </v>
      </c>
      <c r="I2178" s="205" t="str">
        <f t="shared" si="7"/>
        <v/>
      </c>
      <c r="J2178" s="205"/>
      <c r="K2178" s="205"/>
    </row>
    <row r="2179" ht="14.25" customHeight="1">
      <c r="A2179" s="55">
        <v>47834.0</v>
      </c>
      <c r="B2179" s="55" t="str">
        <f t="shared" si="10"/>
        <v>Primer dia</v>
      </c>
      <c r="C2179" s="202">
        <f t="shared" si="1"/>
        <v>17</v>
      </c>
      <c r="D2179" s="202" t="str">
        <f t="shared" si="2"/>
        <v> </v>
      </c>
      <c r="E2179" s="202">
        <f t="shared" si="9"/>
        <v>17</v>
      </c>
      <c r="F2179" s="55">
        <f t="shared" si="4"/>
        <v>47834</v>
      </c>
      <c r="G2179" s="202">
        <f t="shared" si="5"/>
        <v>118</v>
      </c>
      <c r="H2179" s="202" t="str">
        <f t="shared" si="11"/>
        <v> </v>
      </c>
      <c r="I2179" s="205" t="str">
        <f t="shared" si="7"/>
        <v/>
      </c>
      <c r="J2179" s="205"/>
      <c r="K2179" s="205"/>
    </row>
    <row r="2180" ht="14.25" customHeight="1">
      <c r="A2180" s="55">
        <v>47835.0</v>
      </c>
      <c r="B2180" s="55" t="str">
        <f t="shared" si="10"/>
        <v>Primer dia</v>
      </c>
      <c r="C2180" s="202">
        <f t="shared" si="1"/>
        <v>18</v>
      </c>
      <c r="D2180" s="202" t="str">
        <f t="shared" si="2"/>
        <v> </v>
      </c>
      <c r="E2180" s="202" t="str">
        <f t="shared" si="9"/>
        <v> </v>
      </c>
      <c r="F2180" s="55" t="str">
        <f t="shared" si="4"/>
        <v/>
      </c>
      <c r="G2180" s="202" t="str">
        <f t="shared" si="5"/>
        <v/>
      </c>
      <c r="H2180" s="202" t="str">
        <f t="shared" si="11"/>
        <v> </v>
      </c>
      <c r="I2180" s="205" t="str">
        <f t="shared" si="7"/>
        <v/>
      </c>
      <c r="J2180" s="205"/>
      <c r="K2180" s="205"/>
    </row>
    <row r="2181" ht="14.25" customHeight="1">
      <c r="A2181" s="55">
        <v>47836.0</v>
      </c>
      <c r="B2181" s="55" t="str">
        <f t="shared" si="10"/>
        <v>Primer dia</v>
      </c>
      <c r="C2181" s="202">
        <f t="shared" si="1"/>
        <v>19</v>
      </c>
      <c r="D2181" s="202" t="str">
        <f t="shared" si="2"/>
        <v> </v>
      </c>
      <c r="E2181" s="202" t="str">
        <f t="shared" si="9"/>
        <v> </v>
      </c>
      <c r="F2181" s="55" t="str">
        <f t="shared" si="4"/>
        <v/>
      </c>
      <c r="G2181" s="202" t="str">
        <f t="shared" si="5"/>
        <v/>
      </c>
      <c r="H2181" s="202" t="str">
        <f t="shared" si="11"/>
        <v> </v>
      </c>
      <c r="I2181" s="205" t="str">
        <f t="shared" si="7"/>
        <v/>
      </c>
      <c r="J2181" s="205"/>
      <c r="K2181" s="205"/>
    </row>
    <row r="2182" ht="14.25" customHeight="1">
      <c r="A2182" s="55">
        <v>47837.0</v>
      </c>
      <c r="B2182" s="55" t="str">
        <f t="shared" si="10"/>
        <v>Primer dia</v>
      </c>
      <c r="C2182" s="202">
        <f t="shared" si="1"/>
        <v>20</v>
      </c>
      <c r="D2182" s="202" t="str">
        <f t="shared" si="2"/>
        <v> </v>
      </c>
      <c r="E2182" s="202" t="str">
        <f t="shared" si="9"/>
        <v> </v>
      </c>
      <c r="F2182" s="55" t="str">
        <f t="shared" si="4"/>
        <v/>
      </c>
      <c r="G2182" s="202" t="str">
        <f t="shared" si="5"/>
        <v/>
      </c>
      <c r="H2182" s="202" t="str">
        <f t="shared" si="11"/>
        <v> </v>
      </c>
      <c r="I2182" s="205" t="str">
        <f t="shared" si="7"/>
        <v/>
      </c>
      <c r="J2182" s="205"/>
      <c r="K2182" s="205"/>
    </row>
    <row r="2183" ht="14.25" customHeight="1">
      <c r="A2183" s="55">
        <v>47838.0</v>
      </c>
      <c r="B2183" s="55" t="str">
        <f t="shared" si="10"/>
        <v>Primer dia</v>
      </c>
      <c r="C2183" s="202">
        <f t="shared" si="1"/>
        <v>21</v>
      </c>
      <c r="D2183" s="202" t="str">
        <f t="shared" si="2"/>
        <v> </v>
      </c>
      <c r="E2183" s="202" t="str">
        <f t="shared" si="9"/>
        <v> </v>
      </c>
      <c r="F2183" s="55" t="str">
        <f t="shared" si="4"/>
        <v/>
      </c>
      <c r="G2183" s="202" t="str">
        <f t="shared" si="5"/>
        <v/>
      </c>
      <c r="H2183" s="202" t="str">
        <f t="shared" si="11"/>
        <v> </v>
      </c>
      <c r="I2183" s="205" t="str">
        <f t="shared" si="7"/>
        <v/>
      </c>
      <c r="J2183" s="205"/>
      <c r="K2183" s="205"/>
    </row>
    <row r="2184" ht="14.25" customHeight="1">
      <c r="A2184" s="55">
        <v>47839.0</v>
      </c>
      <c r="B2184" s="55" t="str">
        <f t="shared" si="10"/>
        <v>Primer dia</v>
      </c>
      <c r="C2184" s="202">
        <f t="shared" si="1"/>
        <v>22</v>
      </c>
      <c r="D2184" s="202" t="str">
        <f t="shared" si="2"/>
        <v> </v>
      </c>
      <c r="E2184" s="202" t="str">
        <f t="shared" si="9"/>
        <v> </v>
      </c>
      <c r="F2184" s="55" t="str">
        <f t="shared" si="4"/>
        <v/>
      </c>
      <c r="G2184" s="202" t="str">
        <f t="shared" si="5"/>
        <v/>
      </c>
      <c r="H2184" s="202" t="str">
        <f t="shared" si="11"/>
        <v> </v>
      </c>
      <c r="I2184" s="205" t="str">
        <f t="shared" si="7"/>
        <v/>
      </c>
      <c r="J2184" s="205"/>
      <c r="K2184" s="205"/>
    </row>
    <row r="2185" ht="14.25" customHeight="1">
      <c r="A2185" s="55">
        <v>47840.0</v>
      </c>
      <c r="B2185" s="55" t="str">
        <f t="shared" si="10"/>
        <v>Primer dia</v>
      </c>
      <c r="C2185" s="202">
        <f t="shared" si="1"/>
        <v>23</v>
      </c>
      <c r="D2185" s="202" t="str">
        <f t="shared" si="2"/>
        <v> </v>
      </c>
      <c r="E2185" s="202" t="str">
        <f t="shared" si="9"/>
        <v> </v>
      </c>
      <c r="F2185" s="55" t="str">
        <f t="shared" si="4"/>
        <v/>
      </c>
      <c r="G2185" s="202" t="str">
        <f t="shared" si="5"/>
        <v/>
      </c>
      <c r="H2185" s="202" t="str">
        <f t="shared" si="11"/>
        <v> </v>
      </c>
      <c r="I2185" s="205" t="str">
        <f t="shared" si="7"/>
        <v/>
      </c>
      <c r="J2185" s="205"/>
      <c r="K2185" s="205"/>
    </row>
    <row r="2186" ht="14.25" customHeight="1">
      <c r="A2186" s="55">
        <v>47841.0</v>
      </c>
      <c r="B2186" s="55" t="str">
        <f t="shared" si="10"/>
        <v>Primer dia</v>
      </c>
      <c r="C2186" s="202">
        <f t="shared" si="1"/>
        <v>24</v>
      </c>
      <c r="D2186" s="202" t="str">
        <f t="shared" si="2"/>
        <v> </v>
      </c>
      <c r="E2186" s="202" t="str">
        <f t="shared" si="9"/>
        <v> </v>
      </c>
      <c r="F2186" s="55" t="str">
        <f t="shared" si="4"/>
        <v/>
      </c>
      <c r="G2186" s="202" t="str">
        <f t="shared" si="5"/>
        <v/>
      </c>
      <c r="H2186" s="202" t="str">
        <f t="shared" si="11"/>
        <v> </v>
      </c>
      <c r="I2186" s="205" t="str">
        <f t="shared" si="7"/>
        <v/>
      </c>
      <c r="J2186" s="205"/>
      <c r="K2186" s="205"/>
    </row>
    <row r="2187" ht="14.25" customHeight="1">
      <c r="A2187" s="55">
        <v>47842.0</v>
      </c>
      <c r="B2187" s="55" t="str">
        <f t="shared" si="10"/>
        <v>Primer dia</v>
      </c>
      <c r="C2187" s="202">
        <f t="shared" si="1"/>
        <v>25</v>
      </c>
      <c r="D2187" s="202" t="str">
        <f t="shared" si="2"/>
        <v> </v>
      </c>
      <c r="E2187" s="202" t="str">
        <f t="shared" si="9"/>
        <v> </v>
      </c>
      <c r="F2187" s="55" t="str">
        <f t="shared" si="4"/>
        <v/>
      </c>
      <c r="G2187" s="202" t="str">
        <f t="shared" si="5"/>
        <v/>
      </c>
      <c r="H2187" s="202" t="str">
        <f t="shared" si="11"/>
        <v> </v>
      </c>
      <c r="I2187" s="205" t="str">
        <f t="shared" si="7"/>
        <v/>
      </c>
      <c r="J2187" s="205"/>
      <c r="K2187" s="205"/>
    </row>
    <row r="2188" ht="14.25" customHeight="1">
      <c r="A2188" s="55">
        <v>47843.0</v>
      </c>
      <c r="B2188" s="55" t="str">
        <f t="shared" si="10"/>
        <v>Primer dia</v>
      </c>
      <c r="C2188" s="202">
        <f t="shared" si="1"/>
        <v>26</v>
      </c>
      <c r="D2188" s="202" t="str">
        <f t="shared" si="2"/>
        <v> </v>
      </c>
      <c r="E2188" s="202" t="str">
        <f t="shared" si="9"/>
        <v> </v>
      </c>
      <c r="F2188" s="55" t="str">
        <f t="shared" si="4"/>
        <v/>
      </c>
      <c r="G2188" s="202" t="str">
        <f t="shared" si="5"/>
        <v/>
      </c>
      <c r="H2188" s="202" t="str">
        <f t="shared" si="11"/>
        <v> </v>
      </c>
      <c r="I2188" s="205" t="str">
        <f t="shared" si="7"/>
        <v/>
      </c>
      <c r="J2188" s="205"/>
      <c r="K2188" s="205"/>
    </row>
    <row r="2189" ht="14.25" customHeight="1">
      <c r="A2189" s="55">
        <v>47844.0</v>
      </c>
      <c r="B2189" s="55" t="str">
        <f t="shared" si="10"/>
        <v>Primer dia</v>
      </c>
      <c r="C2189" s="202">
        <f t="shared" si="1"/>
        <v>27</v>
      </c>
      <c r="D2189" s="202" t="str">
        <f t="shared" si="2"/>
        <v> </v>
      </c>
      <c r="E2189" s="202" t="str">
        <f t="shared" si="9"/>
        <v> </v>
      </c>
      <c r="F2189" s="55" t="str">
        <f t="shared" si="4"/>
        <v/>
      </c>
      <c r="G2189" s="202" t="str">
        <f t="shared" si="5"/>
        <v/>
      </c>
      <c r="H2189" s="202" t="str">
        <f t="shared" si="11"/>
        <v> </v>
      </c>
      <c r="I2189" s="205" t="str">
        <f t="shared" si="7"/>
        <v/>
      </c>
      <c r="J2189" s="205"/>
      <c r="K2189" s="205"/>
    </row>
    <row r="2190" ht="14.25" customHeight="1">
      <c r="A2190" s="55">
        <v>47845.0</v>
      </c>
      <c r="B2190" s="55" t="str">
        <f t="shared" si="10"/>
        <v>Primer dia</v>
      </c>
      <c r="C2190" s="202">
        <f t="shared" si="1"/>
        <v>28</v>
      </c>
      <c r="D2190" s="202" t="str">
        <f t="shared" si="2"/>
        <v> </v>
      </c>
      <c r="E2190" s="202" t="str">
        <f t="shared" si="9"/>
        <v> </v>
      </c>
      <c r="F2190" s="55" t="str">
        <f t="shared" si="4"/>
        <v/>
      </c>
      <c r="G2190" s="202" t="str">
        <f t="shared" si="5"/>
        <v/>
      </c>
      <c r="H2190" s="202" t="str">
        <f t="shared" si="11"/>
        <v> </v>
      </c>
      <c r="I2190" s="205" t="str">
        <f t="shared" si="7"/>
        <v/>
      </c>
      <c r="J2190" s="205"/>
      <c r="K2190" s="205"/>
    </row>
    <row r="2191" ht="14.25" customHeight="1">
      <c r="A2191" s="55">
        <v>47846.0</v>
      </c>
      <c r="B2191" s="55" t="str">
        <f t="shared" si="10"/>
        <v>Primer dia</v>
      </c>
      <c r="C2191" s="202">
        <f t="shared" si="1"/>
        <v>29</v>
      </c>
      <c r="D2191" s="202" t="str">
        <f t="shared" si="2"/>
        <v> </v>
      </c>
      <c r="E2191" s="202" t="str">
        <f t="shared" si="9"/>
        <v> </v>
      </c>
      <c r="F2191" s="55" t="str">
        <f t="shared" si="4"/>
        <v/>
      </c>
      <c r="G2191" s="202" t="str">
        <f t="shared" si="5"/>
        <v/>
      </c>
      <c r="H2191" s="202" t="str">
        <f t="shared" si="11"/>
        <v> </v>
      </c>
      <c r="I2191" s="205" t="str">
        <f t="shared" si="7"/>
        <v/>
      </c>
      <c r="J2191" s="205"/>
      <c r="K2191" s="205"/>
    </row>
    <row r="2192" ht="14.25" customHeight="1">
      <c r="A2192" s="55">
        <v>47847.0</v>
      </c>
      <c r="B2192" s="55" t="str">
        <f t="shared" si="10"/>
        <v>Primer dia</v>
      </c>
      <c r="C2192" s="202">
        <f t="shared" si="1"/>
        <v>30</v>
      </c>
      <c r="D2192" s="202" t="str">
        <f t="shared" si="2"/>
        <v> </v>
      </c>
      <c r="E2192" s="202" t="str">
        <f t="shared" si="9"/>
        <v> </v>
      </c>
      <c r="F2192" s="55" t="str">
        <f t="shared" si="4"/>
        <v/>
      </c>
      <c r="G2192" s="202" t="str">
        <f t="shared" si="5"/>
        <v/>
      </c>
      <c r="H2192" s="202" t="str">
        <f t="shared" si="11"/>
        <v> </v>
      </c>
      <c r="I2192" s="205" t="str">
        <f t="shared" si="7"/>
        <v/>
      </c>
      <c r="J2192" s="205"/>
      <c r="K2192" s="205"/>
    </row>
    <row r="2193" ht="14.25" customHeight="1">
      <c r="A2193" s="55">
        <v>47848.0</v>
      </c>
      <c r="B2193" s="55" t="str">
        <f t="shared" si="10"/>
        <v>Primer dia</v>
      </c>
      <c r="C2193" s="202">
        <f t="shared" si="1"/>
        <v>31</v>
      </c>
      <c r="D2193" s="202" t="str">
        <f t="shared" si="2"/>
        <v> </v>
      </c>
      <c r="E2193" s="202" t="str">
        <f t="shared" si="9"/>
        <v> </v>
      </c>
      <c r="F2193" s="55" t="str">
        <f t="shared" si="4"/>
        <v/>
      </c>
      <c r="G2193" s="202" t="str">
        <f t="shared" si="5"/>
        <v/>
      </c>
      <c r="H2193" s="202" t="str">
        <f t="shared" si="11"/>
        <v> </v>
      </c>
      <c r="I2193" s="205" t="str">
        <f t="shared" si="7"/>
        <v/>
      </c>
      <c r="J2193" s="205"/>
      <c r="K2193" s="205"/>
    </row>
    <row r="2194" ht="14.25" customHeight="1">
      <c r="A2194" s="55">
        <v>47849.0</v>
      </c>
      <c r="B2194" s="55" t="str">
        <f t="shared" si="10"/>
        <v>Primer dia</v>
      </c>
      <c r="C2194" s="202">
        <f t="shared" si="1"/>
        <v>1</v>
      </c>
      <c r="D2194" s="202" t="str">
        <f t="shared" si="2"/>
        <v> </v>
      </c>
      <c r="E2194" s="202" t="str">
        <f t="shared" si="9"/>
        <v> </v>
      </c>
      <c r="F2194" s="55" t="str">
        <f t="shared" si="4"/>
        <v/>
      </c>
      <c r="G2194" s="202" t="str">
        <f t="shared" si="5"/>
        <v/>
      </c>
      <c r="H2194" s="202" t="str">
        <f t="shared" si="11"/>
        <v> </v>
      </c>
      <c r="I2194" s="205" t="str">
        <f t="shared" si="7"/>
        <v/>
      </c>
      <c r="J2194" s="205"/>
      <c r="K2194" s="205"/>
    </row>
    <row r="2195" ht="14.25" customHeight="1">
      <c r="A2195" s="55">
        <v>47850.0</v>
      </c>
      <c r="B2195" s="55" t="str">
        <f t="shared" si="10"/>
        <v>Primer dia</v>
      </c>
      <c r="C2195" s="202">
        <f t="shared" si="1"/>
        <v>2</v>
      </c>
      <c r="D2195" s="202" t="str">
        <f t="shared" si="2"/>
        <v> </v>
      </c>
      <c r="E2195" s="202">
        <f t="shared" si="9"/>
        <v>2</v>
      </c>
      <c r="F2195" s="55">
        <f t="shared" si="4"/>
        <v>47850</v>
      </c>
      <c r="G2195" s="202">
        <f t="shared" si="5"/>
        <v>119</v>
      </c>
      <c r="H2195" s="202" t="str">
        <f t="shared" si="11"/>
        <v> </v>
      </c>
      <c r="I2195" s="205" t="str">
        <f t="shared" si="7"/>
        <v/>
      </c>
      <c r="J2195" s="205"/>
      <c r="K2195" s="205"/>
    </row>
    <row r="2196" ht="14.25" customHeight="1">
      <c r="A2196" s="55">
        <v>47851.0</v>
      </c>
      <c r="B2196" s="55" t="str">
        <f t="shared" si="10"/>
        <v>Primer dia</v>
      </c>
      <c r="C2196" s="202">
        <f t="shared" si="1"/>
        <v>3</v>
      </c>
      <c r="D2196" s="202" t="str">
        <f t="shared" si="2"/>
        <v> </v>
      </c>
      <c r="E2196" s="202" t="str">
        <f t="shared" si="9"/>
        <v> </v>
      </c>
      <c r="F2196" s="55" t="str">
        <f t="shared" si="4"/>
        <v/>
      </c>
      <c r="G2196" s="202" t="str">
        <f t="shared" si="5"/>
        <v/>
      </c>
      <c r="H2196" s="202" t="str">
        <f t="shared" si="11"/>
        <v> </v>
      </c>
      <c r="I2196" s="205" t="str">
        <f t="shared" si="7"/>
        <v/>
      </c>
      <c r="J2196" s="205"/>
      <c r="K2196" s="205"/>
    </row>
    <row r="2197" ht="14.25" customHeight="1">
      <c r="A2197" s="55">
        <v>47852.0</v>
      </c>
      <c r="B2197" s="55" t="str">
        <f t="shared" si="10"/>
        <v>Primer dia</v>
      </c>
      <c r="C2197" s="202">
        <f t="shared" si="1"/>
        <v>4</v>
      </c>
      <c r="D2197" s="202" t="str">
        <f t="shared" si="2"/>
        <v> </v>
      </c>
      <c r="E2197" s="202" t="str">
        <f t="shared" si="9"/>
        <v> </v>
      </c>
      <c r="F2197" s="55" t="str">
        <f t="shared" si="4"/>
        <v/>
      </c>
      <c r="G2197" s="202" t="str">
        <f t="shared" si="5"/>
        <v/>
      </c>
      <c r="H2197" s="202" t="str">
        <f t="shared" si="11"/>
        <v> </v>
      </c>
      <c r="I2197" s="205" t="str">
        <f t="shared" si="7"/>
        <v/>
      </c>
      <c r="J2197" s="205"/>
      <c r="K2197" s="205"/>
    </row>
    <row r="2198" ht="14.25" customHeight="1">
      <c r="A2198" s="55">
        <v>47853.0</v>
      </c>
      <c r="B2198" s="55" t="str">
        <f t="shared" si="10"/>
        <v>Primer dia</v>
      </c>
      <c r="C2198" s="202">
        <f t="shared" si="1"/>
        <v>5</v>
      </c>
      <c r="D2198" s="202" t="str">
        <f t="shared" si="2"/>
        <v> </v>
      </c>
      <c r="E2198" s="202" t="str">
        <f t="shared" si="9"/>
        <v> </v>
      </c>
      <c r="F2198" s="55" t="str">
        <f t="shared" si="4"/>
        <v/>
      </c>
      <c r="G2198" s="202" t="str">
        <f t="shared" si="5"/>
        <v/>
      </c>
      <c r="H2198" s="202" t="str">
        <f t="shared" si="11"/>
        <v> </v>
      </c>
      <c r="I2198" s="205" t="str">
        <f t="shared" si="7"/>
        <v/>
      </c>
      <c r="J2198" s="205"/>
      <c r="K2198" s="205"/>
    </row>
    <row r="2199" ht="14.25" customHeight="1">
      <c r="A2199" s="55">
        <v>47854.0</v>
      </c>
      <c r="B2199" s="55" t="str">
        <f t="shared" si="10"/>
        <v>Primer dia</v>
      </c>
      <c r="C2199" s="202">
        <f t="shared" si="1"/>
        <v>6</v>
      </c>
      <c r="D2199" s="202" t="str">
        <f t="shared" si="2"/>
        <v> </v>
      </c>
      <c r="E2199" s="202" t="str">
        <f t="shared" si="9"/>
        <v> </v>
      </c>
      <c r="F2199" s="55" t="str">
        <f t="shared" si="4"/>
        <v/>
      </c>
      <c r="G2199" s="202" t="str">
        <f t="shared" si="5"/>
        <v/>
      </c>
      <c r="H2199" s="202" t="str">
        <f t="shared" si="11"/>
        <v> </v>
      </c>
      <c r="I2199" s="205" t="str">
        <f t="shared" si="7"/>
        <v/>
      </c>
      <c r="J2199" s="205"/>
      <c r="K2199" s="205"/>
    </row>
    <row r="2200" ht="14.25" customHeight="1">
      <c r="A2200" s="55">
        <v>47855.0</v>
      </c>
      <c r="B2200" s="55" t="str">
        <f t="shared" si="10"/>
        <v>Primer dia</v>
      </c>
      <c r="C2200" s="202">
        <f t="shared" si="1"/>
        <v>7</v>
      </c>
      <c r="D2200" s="202" t="str">
        <f t="shared" si="2"/>
        <v> </v>
      </c>
      <c r="E2200" s="202" t="str">
        <f t="shared" si="9"/>
        <v> </v>
      </c>
      <c r="F2200" s="55" t="str">
        <f t="shared" si="4"/>
        <v/>
      </c>
      <c r="G2200" s="202" t="str">
        <f t="shared" si="5"/>
        <v/>
      </c>
      <c r="H2200" s="202" t="str">
        <f t="shared" si="11"/>
        <v> </v>
      </c>
      <c r="I2200" s="205" t="str">
        <f t="shared" si="7"/>
        <v/>
      </c>
      <c r="J2200" s="205"/>
      <c r="K2200" s="205"/>
    </row>
    <row r="2201" ht="14.25" customHeight="1">
      <c r="A2201" s="55">
        <v>47856.0</v>
      </c>
      <c r="B2201" s="55" t="str">
        <f t="shared" si="10"/>
        <v>Primer dia</v>
      </c>
      <c r="C2201" s="202">
        <f t="shared" si="1"/>
        <v>8</v>
      </c>
      <c r="D2201" s="202" t="str">
        <f t="shared" si="2"/>
        <v> </v>
      </c>
      <c r="E2201" s="202" t="str">
        <f t="shared" si="9"/>
        <v> </v>
      </c>
      <c r="F2201" s="55" t="str">
        <f t="shared" si="4"/>
        <v/>
      </c>
      <c r="G2201" s="202" t="str">
        <f t="shared" si="5"/>
        <v/>
      </c>
      <c r="H2201" s="202" t="str">
        <f t="shared" si="11"/>
        <v> </v>
      </c>
      <c r="I2201" s="205" t="str">
        <f t="shared" si="7"/>
        <v/>
      </c>
      <c r="J2201" s="205"/>
      <c r="K2201" s="205"/>
    </row>
    <row r="2202" ht="14.25" customHeight="1">
      <c r="A2202" s="55">
        <v>47857.0</v>
      </c>
      <c r="B2202" s="55" t="str">
        <f t="shared" si="10"/>
        <v>Primer dia</v>
      </c>
      <c r="C2202" s="202">
        <f t="shared" si="1"/>
        <v>9</v>
      </c>
      <c r="D2202" s="202" t="str">
        <f t="shared" si="2"/>
        <v> </v>
      </c>
      <c r="E2202" s="202" t="str">
        <f t="shared" si="9"/>
        <v> </v>
      </c>
      <c r="F2202" s="55" t="str">
        <f t="shared" si="4"/>
        <v/>
      </c>
      <c r="G2202" s="202" t="str">
        <f t="shared" si="5"/>
        <v/>
      </c>
      <c r="H2202" s="202" t="str">
        <f t="shared" si="11"/>
        <v> </v>
      </c>
      <c r="I2202" s="205" t="str">
        <f t="shared" si="7"/>
        <v/>
      </c>
      <c r="J2202" s="205"/>
      <c r="K2202" s="205"/>
    </row>
    <row r="2203" ht="14.25" customHeight="1">
      <c r="A2203" s="55">
        <v>47858.0</v>
      </c>
      <c r="B2203" s="55" t="str">
        <f t="shared" si="10"/>
        <v>Primer dia</v>
      </c>
      <c r="C2203" s="202">
        <f t="shared" si="1"/>
        <v>10</v>
      </c>
      <c r="D2203" s="202" t="str">
        <f t="shared" si="2"/>
        <v> </v>
      </c>
      <c r="E2203" s="202" t="str">
        <f t="shared" si="9"/>
        <v> </v>
      </c>
      <c r="F2203" s="55" t="str">
        <f t="shared" si="4"/>
        <v/>
      </c>
      <c r="G2203" s="202" t="str">
        <f t="shared" si="5"/>
        <v/>
      </c>
      <c r="H2203" s="202" t="str">
        <f t="shared" si="11"/>
        <v> </v>
      </c>
      <c r="I2203" s="205" t="str">
        <f t="shared" si="7"/>
        <v/>
      </c>
      <c r="J2203" s="205"/>
      <c r="K2203" s="205"/>
    </row>
    <row r="2204" ht="14.25" customHeight="1">
      <c r="A2204" s="55">
        <v>47859.0</v>
      </c>
      <c r="B2204" s="55" t="str">
        <f t="shared" si="10"/>
        <v>Primer dia</v>
      </c>
      <c r="C2204" s="202">
        <f t="shared" si="1"/>
        <v>11</v>
      </c>
      <c r="D2204" s="202" t="str">
        <f t="shared" si="2"/>
        <v> </v>
      </c>
      <c r="E2204" s="202" t="str">
        <f t="shared" si="9"/>
        <v> </v>
      </c>
      <c r="F2204" s="55" t="str">
        <f t="shared" si="4"/>
        <v/>
      </c>
      <c r="G2204" s="202" t="str">
        <f t="shared" si="5"/>
        <v/>
      </c>
      <c r="H2204" s="202" t="str">
        <f t="shared" si="11"/>
        <v> </v>
      </c>
      <c r="I2204" s="205" t="str">
        <f t="shared" si="7"/>
        <v/>
      </c>
      <c r="J2204" s="205"/>
      <c r="K2204" s="205"/>
    </row>
    <row r="2205" ht="14.25" customHeight="1">
      <c r="A2205" s="55">
        <v>47860.0</v>
      </c>
      <c r="B2205" s="55" t="str">
        <f t="shared" si="10"/>
        <v>Primer dia</v>
      </c>
      <c r="C2205" s="202">
        <f t="shared" si="1"/>
        <v>12</v>
      </c>
      <c r="D2205" s="202" t="str">
        <f t="shared" si="2"/>
        <v> </v>
      </c>
      <c r="E2205" s="202" t="str">
        <f t="shared" si="9"/>
        <v> </v>
      </c>
      <c r="F2205" s="55" t="str">
        <f t="shared" si="4"/>
        <v/>
      </c>
      <c r="G2205" s="202" t="str">
        <f t="shared" si="5"/>
        <v/>
      </c>
      <c r="H2205" s="202" t="str">
        <f t="shared" si="11"/>
        <v> </v>
      </c>
      <c r="I2205" s="205" t="str">
        <f t="shared" si="7"/>
        <v/>
      </c>
      <c r="J2205" s="205"/>
      <c r="K2205" s="205"/>
    </row>
    <row r="2206" ht="14.25" customHeight="1">
      <c r="A2206" s="55">
        <v>47861.0</v>
      </c>
      <c r="B2206" s="55" t="str">
        <f t="shared" si="10"/>
        <v>Primer dia</v>
      </c>
      <c r="C2206" s="202">
        <f t="shared" si="1"/>
        <v>13</v>
      </c>
      <c r="D2206" s="202" t="str">
        <f t="shared" si="2"/>
        <v> </v>
      </c>
      <c r="E2206" s="202" t="str">
        <f t="shared" si="9"/>
        <v> </v>
      </c>
      <c r="F2206" s="55" t="str">
        <f t="shared" si="4"/>
        <v/>
      </c>
      <c r="G2206" s="202" t="str">
        <f t="shared" si="5"/>
        <v/>
      </c>
      <c r="H2206" s="202" t="str">
        <f t="shared" si="11"/>
        <v> </v>
      </c>
      <c r="I2206" s="205" t="str">
        <f t="shared" si="7"/>
        <v/>
      </c>
      <c r="J2206" s="205"/>
      <c r="K2206" s="205"/>
    </row>
    <row r="2207" ht="14.25" customHeight="1">
      <c r="A2207" s="55">
        <v>47862.0</v>
      </c>
      <c r="B2207" s="55" t="str">
        <f t="shared" si="10"/>
        <v>Primer dia</v>
      </c>
      <c r="C2207" s="202">
        <f t="shared" si="1"/>
        <v>14</v>
      </c>
      <c r="D2207" s="202" t="str">
        <f t="shared" si="2"/>
        <v> </v>
      </c>
      <c r="E2207" s="202" t="str">
        <f t="shared" si="9"/>
        <v> </v>
      </c>
      <c r="F2207" s="55" t="str">
        <f t="shared" si="4"/>
        <v/>
      </c>
      <c r="G2207" s="202" t="str">
        <f t="shared" si="5"/>
        <v/>
      </c>
      <c r="H2207" s="202" t="str">
        <f t="shared" si="11"/>
        <v> </v>
      </c>
      <c r="I2207" s="205" t="str">
        <f t="shared" si="7"/>
        <v/>
      </c>
      <c r="J2207" s="205"/>
      <c r="K2207" s="205"/>
    </row>
    <row r="2208" ht="14.25" customHeight="1">
      <c r="A2208" s="55">
        <v>47863.0</v>
      </c>
      <c r="B2208" s="55" t="str">
        <f t="shared" si="10"/>
        <v>Primer dia</v>
      </c>
      <c r="C2208" s="202">
        <f t="shared" si="1"/>
        <v>15</v>
      </c>
      <c r="D2208" s="202" t="str">
        <f t="shared" si="2"/>
        <v> </v>
      </c>
      <c r="E2208" s="202" t="str">
        <f t="shared" si="9"/>
        <v> </v>
      </c>
      <c r="F2208" s="55" t="str">
        <f t="shared" si="4"/>
        <v/>
      </c>
      <c r="G2208" s="202" t="str">
        <f t="shared" si="5"/>
        <v/>
      </c>
      <c r="H2208" s="202" t="str">
        <f t="shared" si="11"/>
        <v> </v>
      </c>
      <c r="I2208" s="205" t="str">
        <f t="shared" si="7"/>
        <v/>
      </c>
      <c r="J2208" s="205"/>
      <c r="K2208" s="205"/>
    </row>
    <row r="2209" ht="14.25" customHeight="1">
      <c r="A2209" s="55">
        <v>47864.0</v>
      </c>
      <c r="B2209" s="55" t="str">
        <f t="shared" si="10"/>
        <v>Primer dia</v>
      </c>
      <c r="C2209" s="202">
        <f t="shared" si="1"/>
        <v>16</v>
      </c>
      <c r="D2209" s="202" t="str">
        <f t="shared" si="2"/>
        <v> </v>
      </c>
      <c r="E2209" s="202" t="str">
        <f t="shared" si="9"/>
        <v> </v>
      </c>
      <c r="F2209" s="55" t="str">
        <f t="shared" si="4"/>
        <v/>
      </c>
      <c r="G2209" s="202" t="str">
        <f t="shared" si="5"/>
        <v/>
      </c>
      <c r="H2209" s="202" t="str">
        <f t="shared" si="11"/>
        <v> </v>
      </c>
      <c r="I2209" s="205" t="str">
        <f t="shared" si="7"/>
        <v/>
      </c>
      <c r="J2209" s="205"/>
      <c r="K2209" s="205"/>
    </row>
    <row r="2210" ht="14.25" customHeight="1">
      <c r="A2210" s="55">
        <v>47865.0</v>
      </c>
      <c r="B2210" s="55" t="str">
        <f t="shared" si="10"/>
        <v>Primer dia</v>
      </c>
      <c r="C2210" s="202">
        <f t="shared" si="1"/>
        <v>17</v>
      </c>
      <c r="D2210" s="202" t="str">
        <f t="shared" si="2"/>
        <v> </v>
      </c>
      <c r="E2210" s="202">
        <f t="shared" si="9"/>
        <v>17</v>
      </c>
      <c r="F2210" s="55">
        <f t="shared" si="4"/>
        <v>47865</v>
      </c>
      <c r="G2210" s="202">
        <f t="shared" si="5"/>
        <v>120</v>
      </c>
      <c r="H2210" s="202" t="str">
        <f t="shared" si="11"/>
        <v> </v>
      </c>
      <c r="I2210" s="205" t="str">
        <f t="shared" si="7"/>
        <v/>
      </c>
      <c r="J2210" s="205"/>
      <c r="K2210" s="205"/>
    </row>
    <row r="2211" ht="14.25" customHeight="1">
      <c r="A2211" s="55">
        <v>47866.0</v>
      </c>
      <c r="B2211" s="55" t="str">
        <f t="shared" si="10"/>
        <v>Primer dia</v>
      </c>
      <c r="C2211" s="202">
        <f t="shared" si="1"/>
        <v>18</v>
      </c>
      <c r="D2211" s="202" t="str">
        <f t="shared" si="2"/>
        <v> </v>
      </c>
      <c r="E2211" s="202" t="str">
        <f t="shared" si="9"/>
        <v> </v>
      </c>
      <c r="F2211" s="55" t="str">
        <f t="shared" si="4"/>
        <v/>
      </c>
      <c r="G2211" s="202" t="str">
        <f t="shared" si="5"/>
        <v/>
      </c>
      <c r="H2211" s="202" t="str">
        <f t="shared" si="11"/>
        <v> </v>
      </c>
      <c r="I2211" s="205" t="str">
        <f t="shared" si="7"/>
        <v/>
      </c>
      <c r="J2211" s="205"/>
      <c r="K2211" s="205"/>
    </row>
    <row r="2212" ht="14.25" customHeight="1">
      <c r="A2212" s="55">
        <v>47867.0</v>
      </c>
      <c r="B2212" s="55" t="str">
        <f t="shared" si="10"/>
        <v>Primer dia</v>
      </c>
      <c r="C2212" s="202">
        <f t="shared" si="1"/>
        <v>19</v>
      </c>
      <c r="D2212" s="202" t="str">
        <f t="shared" si="2"/>
        <v> </v>
      </c>
      <c r="E2212" s="202" t="str">
        <f t="shared" si="9"/>
        <v> </v>
      </c>
      <c r="F2212" s="55" t="str">
        <f t="shared" si="4"/>
        <v/>
      </c>
      <c r="G2212" s="202" t="str">
        <f t="shared" si="5"/>
        <v/>
      </c>
      <c r="H2212" s="202" t="str">
        <f t="shared" si="11"/>
        <v> </v>
      </c>
      <c r="I2212" s="205" t="str">
        <f t="shared" si="7"/>
        <v/>
      </c>
      <c r="J2212" s="205"/>
      <c r="K2212" s="205"/>
    </row>
    <row r="2213" ht="14.25" customHeight="1">
      <c r="A2213" s="55">
        <v>47868.0</v>
      </c>
      <c r="B2213" s="55" t="str">
        <f t="shared" si="10"/>
        <v>Primer dia</v>
      </c>
      <c r="C2213" s="202">
        <f t="shared" si="1"/>
        <v>20</v>
      </c>
      <c r="D2213" s="202" t="str">
        <f t="shared" si="2"/>
        <v> </v>
      </c>
      <c r="E2213" s="202" t="str">
        <f t="shared" si="9"/>
        <v> </v>
      </c>
      <c r="F2213" s="55" t="str">
        <f t="shared" si="4"/>
        <v/>
      </c>
      <c r="G2213" s="202" t="str">
        <f t="shared" si="5"/>
        <v/>
      </c>
      <c r="H2213" s="202" t="str">
        <f t="shared" si="11"/>
        <v> </v>
      </c>
      <c r="I2213" s="205" t="str">
        <f t="shared" si="7"/>
        <v/>
      </c>
      <c r="J2213" s="205"/>
      <c r="K2213" s="205"/>
    </row>
    <row r="2214" ht="14.25" customHeight="1">
      <c r="A2214" s="55">
        <v>47869.0</v>
      </c>
      <c r="B2214" s="55" t="str">
        <f t="shared" si="10"/>
        <v>Primer dia</v>
      </c>
      <c r="C2214" s="202">
        <f t="shared" si="1"/>
        <v>21</v>
      </c>
      <c r="D2214" s="202" t="str">
        <f t="shared" si="2"/>
        <v> </v>
      </c>
      <c r="E2214" s="202" t="str">
        <f t="shared" si="9"/>
        <v> </v>
      </c>
      <c r="F2214" s="55" t="str">
        <f t="shared" si="4"/>
        <v/>
      </c>
      <c r="G2214" s="202" t="str">
        <f t="shared" si="5"/>
        <v/>
      </c>
      <c r="H2214" s="202" t="str">
        <f t="shared" si="11"/>
        <v> </v>
      </c>
      <c r="I2214" s="205" t="str">
        <f t="shared" si="7"/>
        <v/>
      </c>
      <c r="J2214" s="205"/>
      <c r="K2214" s="205"/>
    </row>
    <row r="2215" ht="14.25" customHeight="1">
      <c r="A2215" s="55">
        <v>47870.0</v>
      </c>
      <c r="B2215" s="55" t="str">
        <f t="shared" si="10"/>
        <v>Primer dia</v>
      </c>
      <c r="C2215" s="202">
        <f t="shared" si="1"/>
        <v>22</v>
      </c>
      <c r="D2215" s="202" t="str">
        <f t="shared" si="2"/>
        <v> </v>
      </c>
      <c r="E2215" s="202" t="str">
        <f t="shared" si="9"/>
        <v> </v>
      </c>
      <c r="F2215" s="55" t="str">
        <f t="shared" si="4"/>
        <v/>
      </c>
      <c r="G2215" s="202" t="str">
        <f t="shared" si="5"/>
        <v/>
      </c>
      <c r="H2215" s="202" t="str">
        <f t="shared" si="11"/>
        <v> </v>
      </c>
      <c r="I2215" s="205" t="str">
        <f t="shared" si="7"/>
        <v/>
      </c>
      <c r="J2215" s="205"/>
      <c r="K2215" s="205"/>
    </row>
    <row r="2216" ht="14.25" customHeight="1">
      <c r="A2216" s="55">
        <v>47871.0</v>
      </c>
      <c r="B2216" s="55" t="str">
        <f t="shared" si="10"/>
        <v>Primer dia</v>
      </c>
      <c r="C2216" s="202">
        <f t="shared" si="1"/>
        <v>23</v>
      </c>
      <c r="D2216" s="202" t="str">
        <f t="shared" si="2"/>
        <v> </v>
      </c>
      <c r="E2216" s="202" t="str">
        <f t="shared" si="9"/>
        <v> </v>
      </c>
      <c r="F2216" s="55" t="str">
        <f t="shared" si="4"/>
        <v/>
      </c>
      <c r="G2216" s="202" t="str">
        <f t="shared" si="5"/>
        <v/>
      </c>
      <c r="H2216" s="202" t="str">
        <f t="shared" si="11"/>
        <v> </v>
      </c>
      <c r="I2216" s="205" t="str">
        <f t="shared" si="7"/>
        <v/>
      </c>
      <c r="J2216" s="205"/>
      <c r="K2216" s="205"/>
    </row>
    <row r="2217" ht="14.25" customHeight="1">
      <c r="A2217" s="55">
        <v>47872.0</v>
      </c>
      <c r="B2217" s="55" t="str">
        <f t="shared" si="10"/>
        <v>Primer dia</v>
      </c>
      <c r="C2217" s="202">
        <f t="shared" si="1"/>
        <v>24</v>
      </c>
      <c r="D2217" s="202" t="str">
        <f t="shared" si="2"/>
        <v> </v>
      </c>
      <c r="E2217" s="202" t="str">
        <f t="shared" si="9"/>
        <v> </v>
      </c>
      <c r="F2217" s="55" t="str">
        <f t="shared" si="4"/>
        <v/>
      </c>
      <c r="G2217" s="202" t="str">
        <f t="shared" si="5"/>
        <v/>
      </c>
      <c r="H2217" s="202" t="str">
        <f t="shared" si="11"/>
        <v> </v>
      </c>
      <c r="I2217" s="205" t="str">
        <f t="shared" si="7"/>
        <v/>
      </c>
      <c r="J2217" s="205"/>
      <c r="K2217" s="205"/>
    </row>
    <row r="2218" ht="14.25" customHeight="1">
      <c r="A2218" s="55">
        <v>47873.0</v>
      </c>
      <c r="B2218" s="55" t="str">
        <f t="shared" si="10"/>
        <v>Primer dia</v>
      </c>
      <c r="C2218" s="202">
        <f t="shared" si="1"/>
        <v>25</v>
      </c>
      <c r="D2218" s="202" t="str">
        <f t="shared" si="2"/>
        <v> </v>
      </c>
      <c r="E2218" s="202" t="str">
        <f t="shared" si="9"/>
        <v> </v>
      </c>
      <c r="F2218" s="55" t="str">
        <f t="shared" si="4"/>
        <v/>
      </c>
      <c r="G2218" s="202" t="str">
        <f t="shared" si="5"/>
        <v/>
      </c>
      <c r="H2218" s="202" t="str">
        <f t="shared" si="11"/>
        <v> </v>
      </c>
      <c r="I2218" s="205" t="str">
        <f t="shared" si="7"/>
        <v/>
      </c>
      <c r="J2218" s="205"/>
      <c r="K2218" s="205"/>
    </row>
    <row r="2219" ht="14.25" customHeight="1">
      <c r="A2219" s="55">
        <v>47874.0</v>
      </c>
      <c r="B2219" s="55" t="str">
        <f t="shared" si="10"/>
        <v>Primer dia</v>
      </c>
      <c r="C2219" s="202">
        <f t="shared" si="1"/>
        <v>26</v>
      </c>
      <c r="D2219" s="202" t="str">
        <f t="shared" si="2"/>
        <v> </v>
      </c>
      <c r="E2219" s="202" t="str">
        <f t="shared" si="9"/>
        <v> </v>
      </c>
      <c r="F2219" s="55" t="str">
        <f t="shared" si="4"/>
        <v/>
      </c>
      <c r="G2219" s="202" t="str">
        <f t="shared" si="5"/>
        <v/>
      </c>
      <c r="H2219" s="202" t="str">
        <f t="shared" si="11"/>
        <v> </v>
      </c>
      <c r="I2219" s="205" t="str">
        <f t="shared" si="7"/>
        <v/>
      </c>
      <c r="J2219" s="205"/>
      <c r="K2219" s="205"/>
    </row>
    <row r="2220" ht="14.25" customHeight="1">
      <c r="A2220" s="55">
        <v>47875.0</v>
      </c>
      <c r="B2220" s="55" t="str">
        <f t="shared" si="10"/>
        <v>Primer dia</v>
      </c>
      <c r="C2220" s="202">
        <f t="shared" si="1"/>
        <v>27</v>
      </c>
      <c r="D2220" s="202" t="str">
        <f t="shared" si="2"/>
        <v> </v>
      </c>
      <c r="E2220" s="202" t="str">
        <f t="shared" si="9"/>
        <v> </v>
      </c>
      <c r="F2220" s="55" t="str">
        <f t="shared" si="4"/>
        <v/>
      </c>
      <c r="G2220" s="202" t="str">
        <f t="shared" si="5"/>
        <v/>
      </c>
      <c r="H2220" s="202" t="str">
        <f t="shared" si="11"/>
        <v> </v>
      </c>
      <c r="I2220" s="205" t="str">
        <f t="shared" si="7"/>
        <v/>
      </c>
      <c r="J2220" s="205"/>
      <c r="K2220" s="205"/>
    </row>
    <row r="2221" ht="14.25" customHeight="1">
      <c r="A2221" s="55">
        <v>47876.0</v>
      </c>
      <c r="B2221" s="55" t="str">
        <f t="shared" si="10"/>
        <v>Primer dia</v>
      </c>
      <c r="C2221" s="202">
        <f t="shared" si="1"/>
        <v>28</v>
      </c>
      <c r="D2221" s="202" t="str">
        <f t="shared" si="2"/>
        <v> </v>
      </c>
      <c r="E2221" s="202" t="str">
        <f t="shared" si="9"/>
        <v> </v>
      </c>
      <c r="F2221" s="55" t="str">
        <f t="shared" si="4"/>
        <v/>
      </c>
      <c r="G2221" s="202" t="str">
        <f t="shared" si="5"/>
        <v/>
      </c>
      <c r="H2221" s="202" t="str">
        <f t="shared" si="11"/>
        <v> </v>
      </c>
      <c r="I2221" s="205" t="str">
        <f t="shared" si="7"/>
        <v/>
      </c>
      <c r="J2221" s="205"/>
      <c r="K2221" s="205"/>
    </row>
    <row r="2222" ht="14.25" customHeight="1">
      <c r="A2222" s="55">
        <v>47877.0</v>
      </c>
      <c r="B2222" s="55" t="str">
        <f t="shared" si="10"/>
        <v>Primer dia</v>
      </c>
      <c r="C2222" s="202">
        <f t="shared" si="1"/>
        <v>29</v>
      </c>
      <c r="D2222" s="202" t="str">
        <f t="shared" si="2"/>
        <v> </v>
      </c>
      <c r="E2222" s="202" t="str">
        <f t="shared" si="9"/>
        <v> </v>
      </c>
      <c r="F2222" s="55" t="str">
        <f t="shared" si="4"/>
        <v/>
      </c>
      <c r="G2222" s="202" t="str">
        <f t="shared" si="5"/>
        <v/>
      </c>
      <c r="H2222" s="202" t="str">
        <f t="shared" si="11"/>
        <v> </v>
      </c>
      <c r="I2222" s="205" t="str">
        <f t="shared" si="7"/>
        <v/>
      </c>
      <c r="J2222" s="205"/>
      <c r="K2222" s="205"/>
    </row>
    <row r="2223" ht="14.25" customHeight="1">
      <c r="A2223" s="55">
        <v>47878.0</v>
      </c>
      <c r="B2223" s="55" t="str">
        <f t="shared" si="10"/>
        <v>Primer dia</v>
      </c>
      <c r="C2223" s="202">
        <f t="shared" si="1"/>
        <v>30</v>
      </c>
      <c r="D2223" s="202" t="str">
        <f t="shared" si="2"/>
        <v> </v>
      </c>
      <c r="E2223" s="202" t="str">
        <f t="shared" si="9"/>
        <v> </v>
      </c>
      <c r="F2223" s="55" t="str">
        <f t="shared" si="4"/>
        <v/>
      </c>
      <c r="G2223" s="202" t="str">
        <f t="shared" si="5"/>
        <v/>
      </c>
      <c r="H2223" s="202" t="str">
        <f t="shared" si="11"/>
        <v> </v>
      </c>
      <c r="I2223" s="205" t="str">
        <f t="shared" si="7"/>
        <v/>
      </c>
      <c r="J2223" s="205"/>
      <c r="K2223" s="205"/>
    </row>
    <row r="2224" ht="14.25" customHeight="1">
      <c r="A2224" s="55">
        <v>47879.0</v>
      </c>
      <c r="B2224" s="55" t="str">
        <f t="shared" si="10"/>
        <v>Primer dia</v>
      </c>
      <c r="C2224" s="202">
        <f t="shared" si="1"/>
        <v>31</v>
      </c>
      <c r="D2224" s="202" t="str">
        <f t="shared" si="2"/>
        <v> </v>
      </c>
      <c r="E2224" s="202" t="str">
        <f t="shared" si="9"/>
        <v> </v>
      </c>
      <c r="F2224" s="55" t="str">
        <f t="shared" si="4"/>
        <v/>
      </c>
      <c r="G2224" s="202" t="str">
        <f t="shared" si="5"/>
        <v/>
      </c>
      <c r="H2224" s="202" t="str">
        <f t="shared" si="11"/>
        <v> </v>
      </c>
      <c r="I2224" s="205" t="str">
        <f t="shared" si="7"/>
        <v/>
      </c>
      <c r="J2224" s="205"/>
      <c r="K2224" s="205"/>
    </row>
    <row r="2225" ht="14.25" customHeight="1">
      <c r="A2225" s="55">
        <v>47880.0</v>
      </c>
      <c r="B2225" s="55" t="str">
        <f t="shared" si="10"/>
        <v>Primer dia</v>
      </c>
      <c r="C2225" s="202">
        <f t="shared" si="1"/>
        <v>1</v>
      </c>
      <c r="D2225" s="202" t="str">
        <f t="shared" si="2"/>
        <v> </v>
      </c>
      <c r="E2225" s="202" t="str">
        <f t="shared" si="9"/>
        <v> </v>
      </c>
      <c r="F2225" s="55" t="str">
        <f t="shared" si="4"/>
        <v/>
      </c>
      <c r="G2225" s="202" t="str">
        <f t="shared" si="5"/>
        <v/>
      </c>
      <c r="H2225" s="202" t="str">
        <f t="shared" si="11"/>
        <v> </v>
      </c>
      <c r="I2225" s="205" t="str">
        <f t="shared" si="7"/>
        <v/>
      </c>
      <c r="J2225" s="205"/>
      <c r="K2225" s="205"/>
    </row>
    <row r="2226" ht="14.25" customHeight="1">
      <c r="A2226" s="55">
        <v>47881.0</v>
      </c>
      <c r="B2226" s="55" t="str">
        <f t="shared" si="10"/>
        <v>Primer dia</v>
      </c>
      <c r="C2226" s="202">
        <f t="shared" si="1"/>
        <v>2</v>
      </c>
      <c r="D2226" s="202" t="str">
        <f t="shared" si="2"/>
        <v> </v>
      </c>
      <c r="E2226" s="202">
        <f t="shared" si="9"/>
        <v>2</v>
      </c>
      <c r="F2226" s="55">
        <f t="shared" si="4"/>
        <v>47881</v>
      </c>
      <c r="G2226" s="202">
        <f t="shared" si="5"/>
        <v>121</v>
      </c>
      <c r="H2226" s="202" t="str">
        <f t="shared" si="11"/>
        <v> </v>
      </c>
      <c r="I2226" s="205" t="str">
        <f t="shared" si="7"/>
        <v/>
      </c>
      <c r="J2226" s="205"/>
      <c r="K2226" s="205"/>
    </row>
    <row r="2227" ht="14.25" customHeight="1">
      <c r="A2227" s="55">
        <v>47882.0</v>
      </c>
      <c r="B2227" s="55" t="str">
        <f t="shared" si="10"/>
        <v>Primer dia</v>
      </c>
      <c r="C2227" s="202">
        <f t="shared" si="1"/>
        <v>3</v>
      </c>
      <c r="D2227" s="202" t="str">
        <f t="shared" si="2"/>
        <v> </v>
      </c>
      <c r="E2227" s="202" t="str">
        <f t="shared" si="9"/>
        <v> </v>
      </c>
      <c r="F2227" s="55" t="str">
        <f t="shared" si="4"/>
        <v/>
      </c>
      <c r="G2227" s="202" t="str">
        <f t="shared" si="5"/>
        <v/>
      </c>
      <c r="H2227" s="202" t="str">
        <f t="shared" si="11"/>
        <v> </v>
      </c>
      <c r="I2227" s="205" t="str">
        <f t="shared" si="7"/>
        <v/>
      </c>
      <c r="J2227" s="205"/>
      <c r="K2227" s="205"/>
    </row>
    <row r="2228" ht="14.25" customHeight="1">
      <c r="A2228" s="55">
        <v>47883.0</v>
      </c>
      <c r="B2228" s="55" t="str">
        <f t="shared" si="10"/>
        <v>Primer dia</v>
      </c>
      <c r="C2228" s="202">
        <f t="shared" si="1"/>
        <v>4</v>
      </c>
      <c r="D2228" s="202" t="str">
        <f t="shared" si="2"/>
        <v> </v>
      </c>
      <c r="E2228" s="202" t="str">
        <f t="shared" si="9"/>
        <v> </v>
      </c>
      <c r="F2228" s="55" t="str">
        <f t="shared" si="4"/>
        <v/>
      </c>
      <c r="G2228" s="202" t="str">
        <f t="shared" si="5"/>
        <v/>
      </c>
      <c r="H2228" s="202" t="str">
        <f t="shared" si="11"/>
        <v> </v>
      </c>
      <c r="I2228" s="205" t="str">
        <f t="shared" si="7"/>
        <v/>
      </c>
      <c r="J2228" s="205"/>
      <c r="K2228" s="205"/>
    </row>
    <row r="2229" ht="14.25" customHeight="1">
      <c r="A2229" s="55">
        <v>47884.0</v>
      </c>
      <c r="B2229" s="55" t="str">
        <f t="shared" si="10"/>
        <v>Primer dia</v>
      </c>
      <c r="C2229" s="202">
        <f t="shared" si="1"/>
        <v>5</v>
      </c>
      <c r="D2229" s="202" t="str">
        <f t="shared" si="2"/>
        <v> </v>
      </c>
      <c r="E2229" s="202" t="str">
        <f t="shared" si="9"/>
        <v> </v>
      </c>
      <c r="F2229" s="55" t="str">
        <f t="shared" si="4"/>
        <v/>
      </c>
      <c r="G2229" s="202" t="str">
        <f t="shared" si="5"/>
        <v/>
      </c>
      <c r="H2229" s="202" t="str">
        <f t="shared" si="11"/>
        <v> </v>
      </c>
      <c r="I2229" s="205" t="str">
        <f t="shared" si="7"/>
        <v/>
      </c>
      <c r="J2229" s="205"/>
      <c r="K2229" s="205"/>
    </row>
    <row r="2230" ht="14.25" customHeight="1">
      <c r="A2230" s="55">
        <v>47885.0</v>
      </c>
      <c r="B2230" s="55" t="str">
        <f t="shared" si="10"/>
        <v>Primer dia</v>
      </c>
      <c r="C2230" s="202">
        <f t="shared" si="1"/>
        <v>6</v>
      </c>
      <c r="D2230" s="202" t="str">
        <f t="shared" si="2"/>
        <v> </v>
      </c>
      <c r="E2230" s="202" t="str">
        <f t="shared" si="9"/>
        <v> </v>
      </c>
      <c r="F2230" s="55" t="str">
        <f t="shared" si="4"/>
        <v/>
      </c>
      <c r="G2230" s="202" t="str">
        <f t="shared" si="5"/>
        <v/>
      </c>
      <c r="H2230" s="202" t="str">
        <f t="shared" si="11"/>
        <v> </v>
      </c>
      <c r="I2230" s="205" t="str">
        <f t="shared" si="7"/>
        <v/>
      </c>
      <c r="J2230" s="205"/>
      <c r="K2230" s="205"/>
    </row>
    <row r="2231" ht="14.25" customHeight="1">
      <c r="A2231" s="55">
        <v>47886.0</v>
      </c>
      <c r="B2231" s="55" t="str">
        <f t="shared" si="10"/>
        <v>Primer dia</v>
      </c>
      <c r="C2231" s="202">
        <f t="shared" si="1"/>
        <v>7</v>
      </c>
      <c r="D2231" s="202" t="str">
        <f t="shared" si="2"/>
        <v> </v>
      </c>
      <c r="E2231" s="202" t="str">
        <f t="shared" si="9"/>
        <v> </v>
      </c>
      <c r="F2231" s="55" t="str">
        <f t="shared" si="4"/>
        <v/>
      </c>
      <c r="G2231" s="202" t="str">
        <f t="shared" si="5"/>
        <v/>
      </c>
      <c r="H2231" s="202" t="str">
        <f t="shared" si="11"/>
        <v> </v>
      </c>
      <c r="I2231" s="205" t="str">
        <f t="shared" si="7"/>
        <v/>
      </c>
      <c r="J2231" s="205"/>
      <c r="K2231" s="205"/>
    </row>
    <row r="2232" ht="14.25" customHeight="1">
      <c r="A2232" s="55">
        <v>47887.0</v>
      </c>
      <c r="B2232" s="55" t="str">
        <f t="shared" si="10"/>
        <v>Primer dia</v>
      </c>
      <c r="C2232" s="202">
        <f t="shared" si="1"/>
        <v>8</v>
      </c>
      <c r="D2232" s="202" t="str">
        <f t="shared" si="2"/>
        <v> </v>
      </c>
      <c r="E2232" s="202" t="str">
        <f t="shared" si="9"/>
        <v> </v>
      </c>
      <c r="F2232" s="55" t="str">
        <f t="shared" si="4"/>
        <v/>
      </c>
      <c r="G2232" s="202" t="str">
        <f t="shared" si="5"/>
        <v/>
      </c>
      <c r="H2232" s="202" t="str">
        <f t="shared" si="11"/>
        <v> </v>
      </c>
      <c r="I2232" s="205" t="str">
        <f t="shared" si="7"/>
        <v/>
      </c>
      <c r="J2232" s="205"/>
      <c r="K2232" s="205"/>
    </row>
    <row r="2233" ht="14.25" customHeight="1">
      <c r="A2233" s="55">
        <v>47888.0</v>
      </c>
      <c r="B2233" s="55" t="str">
        <f t="shared" si="10"/>
        <v>Primer dia</v>
      </c>
      <c r="C2233" s="202">
        <f t="shared" si="1"/>
        <v>9</v>
      </c>
      <c r="D2233" s="202" t="str">
        <f t="shared" si="2"/>
        <v> </v>
      </c>
      <c r="E2233" s="202" t="str">
        <f t="shared" si="9"/>
        <v> </v>
      </c>
      <c r="F2233" s="55" t="str">
        <f t="shared" si="4"/>
        <v/>
      </c>
      <c r="G2233" s="202" t="str">
        <f t="shared" si="5"/>
        <v/>
      </c>
      <c r="H2233" s="202" t="str">
        <f t="shared" si="11"/>
        <v> </v>
      </c>
      <c r="I2233" s="205" t="str">
        <f t="shared" si="7"/>
        <v/>
      </c>
      <c r="J2233" s="205"/>
      <c r="K2233" s="205"/>
    </row>
    <row r="2234" ht="14.25" customHeight="1">
      <c r="A2234" s="55">
        <v>47889.0</v>
      </c>
      <c r="B2234" s="55" t="str">
        <f t="shared" si="10"/>
        <v>Primer dia</v>
      </c>
      <c r="C2234" s="202">
        <f t="shared" si="1"/>
        <v>10</v>
      </c>
      <c r="D2234" s="202" t="str">
        <f t="shared" si="2"/>
        <v> </v>
      </c>
      <c r="E2234" s="202" t="str">
        <f t="shared" si="9"/>
        <v> </v>
      </c>
      <c r="F2234" s="55" t="str">
        <f t="shared" si="4"/>
        <v/>
      </c>
      <c r="G2234" s="202" t="str">
        <f t="shared" si="5"/>
        <v/>
      </c>
      <c r="H2234" s="202" t="str">
        <f t="shared" si="11"/>
        <v> </v>
      </c>
      <c r="I2234" s="205" t="str">
        <f t="shared" si="7"/>
        <v/>
      </c>
      <c r="J2234" s="205"/>
      <c r="K2234" s="205"/>
    </row>
    <row r="2235" ht="14.25" customHeight="1">
      <c r="A2235" s="55">
        <v>47890.0</v>
      </c>
      <c r="B2235" s="55" t="str">
        <f t="shared" si="10"/>
        <v>Primer dia</v>
      </c>
      <c r="C2235" s="202">
        <f t="shared" si="1"/>
        <v>11</v>
      </c>
      <c r="D2235" s="202" t="str">
        <f t="shared" si="2"/>
        <v> </v>
      </c>
      <c r="E2235" s="202" t="str">
        <f t="shared" si="9"/>
        <v> </v>
      </c>
      <c r="F2235" s="55" t="str">
        <f t="shared" si="4"/>
        <v/>
      </c>
      <c r="G2235" s="202" t="str">
        <f t="shared" si="5"/>
        <v/>
      </c>
      <c r="H2235" s="202" t="str">
        <f t="shared" si="11"/>
        <v> </v>
      </c>
      <c r="I2235" s="205" t="str">
        <f t="shared" si="7"/>
        <v/>
      </c>
      <c r="J2235" s="205"/>
      <c r="K2235" s="205"/>
    </row>
    <row r="2236" ht="14.25" customHeight="1">
      <c r="A2236" s="55">
        <v>47891.0</v>
      </c>
      <c r="B2236" s="55" t="str">
        <f t="shared" si="10"/>
        <v>Primer dia</v>
      </c>
      <c r="C2236" s="202">
        <f t="shared" si="1"/>
        <v>12</v>
      </c>
      <c r="D2236" s="202" t="str">
        <f t="shared" si="2"/>
        <v> </v>
      </c>
      <c r="E2236" s="202" t="str">
        <f t="shared" si="9"/>
        <v> </v>
      </c>
      <c r="F2236" s="55" t="str">
        <f t="shared" si="4"/>
        <v/>
      </c>
      <c r="G2236" s="202" t="str">
        <f t="shared" si="5"/>
        <v/>
      </c>
      <c r="H2236" s="202" t="str">
        <f t="shared" si="11"/>
        <v> </v>
      </c>
      <c r="I2236" s="205" t="str">
        <f t="shared" si="7"/>
        <v/>
      </c>
      <c r="J2236" s="205"/>
      <c r="K2236" s="205"/>
    </row>
    <row r="2237" ht="14.25" customHeight="1">
      <c r="A2237" s="55">
        <v>47892.0</v>
      </c>
      <c r="B2237" s="55" t="str">
        <f t="shared" si="10"/>
        <v>Primer dia</v>
      </c>
      <c r="C2237" s="202">
        <f t="shared" si="1"/>
        <v>13</v>
      </c>
      <c r="D2237" s="202" t="str">
        <f t="shared" si="2"/>
        <v> </v>
      </c>
      <c r="E2237" s="202" t="str">
        <f t="shared" si="9"/>
        <v> </v>
      </c>
      <c r="F2237" s="55" t="str">
        <f t="shared" si="4"/>
        <v/>
      </c>
      <c r="G2237" s="202" t="str">
        <f t="shared" si="5"/>
        <v/>
      </c>
      <c r="H2237" s="202" t="str">
        <f t="shared" si="11"/>
        <v> </v>
      </c>
      <c r="I2237" s="205" t="str">
        <f t="shared" si="7"/>
        <v/>
      </c>
      <c r="J2237" s="205"/>
      <c r="K2237" s="205"/>
    </row>
    <row r="2238" ht="14.25" customHeight="1">
      <c r="A2238" s="55">
        <v>47893.0</v>
      </c>
      <c r="B2238" s="55" t="str">
        <f t="shared" si="10"/>
        <v>Primer dia</v>
      </c>
      <c r="C2238" s="202">
        <f t="shared" si="1"/>
        <v>14</v>
      </c>
      <c r="D2238" s="202" t="str">
        <f t="shared" si="2"/>
        <v> </v>
      </c>
      <c r="E2238" s="202" t="str">
        <f t="shared" si="9"/>
        <v> </v>
      </c>
      <c r="F2238" s="55" t="str">
        <f t="shared" si="4"/>
        <v/>
      </c>
      <c r="G2238" s="202" t="str">
        <f t="shared" si="5"/>
        <v/>
      </c>
      <c r="H2238" s="202" t="str">
        <f t="shared" si="11"/>
        <v> </v>
      </c>
      <c r="I2238" s="205" t="str">
        <f t="shared" si="7"/>
        <v/>
      </c>
      <c r="J2238" s="205"/>
      <c r="K2238" s="205"/>
    </row>
    <row r="2239" ht="14.25" customHeight="1">
      <c r="A2239" s="55">
        <v>47894.0</v>
      </c>
      <c r="B2239" s="55" t="str">
        <f t="shared" si="10"/>
        <v>Primer dia</v>
      </c>
      <c r="C2239" s="202">
        <f t="shared" si="1"/>
        <v>15</v>
      </c>
      <c r="D2239" s="202" t="str">
        <f t="shared" si="2"/>
        <v> </v>
      </c>
      <c r="E2239" s="202" t="str">
        <f t="shared" si="9"/>
        <v> </v>
      </c>
      <c r="F2239" s="55" t="str">
        <f t="shared" si="4"/>
        <v/>
      </c>
      <c r="G2239" s="202" t="str">
        <f t="shared" si="5"/>
        <v/>
      </c>
      <c r="H2239" s="202" t="str">
        <f t="shared" si="11"/>
        <v> </v>
      </c>
      <c r="I2239" s="205" t="str">
        <f t="shared" si="7"/>
        <v/>
      </c>
      <c r="J2239" s="205"/>
      <c r="K2239" s="205"/>
    </row>
    <row r="2240" ht="14.25" customHeight="1">
      <c r="A2240" s="55">
        <v>47895.0</v>
      </c>
      <c r="B2240" s="55" t="str">
        <f t="shared" si="10"/>
        <v>Primer dia</v>
      </c>
      <c r="C2240" s="202">
        <f t="shared" si="1"/>
        <v>16</v>
      </c>
      <c r="D2240" s="202" t="str">
        <f t="shared" si="2"/>
        <v> </v>
      </c>
      <c r="E2240" s="202" t="str">
        <f t="shared" si="9"/>
        <v> </v>
      </c>
      <c r="F2240" s="55" t="str">
        <f t="shared" si="4"/>
        <v/>
      </c>
      <c r="G2240" s="202" t="str">
        <f t="shared" si="5"/>
        <v/>
      </c>
      <c r="H2240" s="202" t="str">
        <f t="shared" si="11"/>
        <v> </v>
      </c>
      <c r="I2240" s="205" t="str">
        <f t="shared" si="7"/>
        <v/>
      </c>
      <c r="J2240" s="205"/>
      <c r="K2240" s="205"/>
    </row>
    <row r="2241" ht="14.25" customHeight="1">
      <c r="A2241" s="55">
        <v>47896.0</v>
      </c>
      <c r="B2241" s="55" t="str">
        <f t="shared" si="10"/>
        <v>Primer dia</v>
      </c>
      <c r="C2241" s="202">
        <f t="shared" si="1"/>
        <v>17</v>
      </c>
      <c r="D2241" s="202" t="str">
        <f t="shared" si="2"/>
        <v> </v>
      </c>
      <c r="E2241" s="202">
        <f t="shared" si="9"/>
        <v>17</v>
      </c>
      <c r="F2241" s="55">
        <f t="shared" si="4"/>
        <v>47896</v>
      </c>
      <c r="G2241" s="202">
        <f t="shared" si="5"/>
        <v>122</v>
      </c>
      <c r="H2241" s="202" t="str">
        <f t="shared" si="11"/>
        <v> </v>
      </c>
      <c r="I2241" s="205" t="str">
        <f t="shared" si="7"/>
        <v/>
      </c>
      <c r="J2241" s="205"/>
      <c r="K2241" s="205"/>
    </row>
    <row r="2242" ht="14.25" customHeight="1">
      <c r="A2242" s="55">
        <v>47897.0</v>
      </c>
      <c r="B2242" s="55" t="str">
        <f t="shared" si="10"/>
        <v>Primer dia</v>
      </c>
      <c r="C2242" s="202">
        <f t="shared" si="1"/>
        <v>18</v>
      </c>
      <c r="D2242" s="202" t="str">
        <f t="shared" si="2"/>
        <v> </v>
      </c>
      <c r="E2242" s="202" t="str">
        <f t="shared" si="9"/>
        <v> </v>
      </c>
      <c r="F2242" s="55" t="str">
        <f t="shared" si="4"/>
        <v/>
      </c>
      <c r="G2242" s="202" t="str">
        <f t="shared" si="5"/>
        <v/>
      </c>
      <c r="H2242" s="202" t="str">
        <f t="shared" si="11"/>
        <v> </v>
      </c>
      <c r="I2242" s="205" t="str">
        <f t="shared" si="7"/>
        <v/>
      </c>
      <c r="J2242" s="205"/>
      <c r="K2242" s="205"/>
    </row>
    <row r="2243" ht="14.25" customHeight="1">
      <c r="A2243" s="55">
        <v>47898.0</v>
      </c>
      <c r="B2243" s="55" t="str">
        <f t="shared" si="10"/>
        <v>Primer dia</v>
      </c>
      <c r="C2243" s="202">
        <f t="shared" si="1"/>
        <v>19</v>
      </c>
      <c r="D2243" s="202" t="str">
        <f t="shared" si="2"/>
        <v> </v>
      </c>
      <c r="E2243" s="202" t="str">
        <f t="shared" si="9"/>
        <v> </v>
      </c>
      <c r="F2243" s="55" t="str">
        <f t="shared" si="4"/>
        <v/>
      </c>
      <c r="G2243" s="202" t="str">
        <f t="shared" si="5"/>
        <v/>
      </c>
      <c r="H2243" s="202" t="str">
        <f t="shared" si="11"/>
        <v> </v>
      </c>
      <c r="I2243" s="205" t="str">
        <f t="shared" si="7"/>
        <v/>
      </c>
      <c r="J2243" s="205"/>
      <c r="K2243" s="205"/>
    </row>
    <row r="2244" ht="14.25" customHeight="1">
      <c r="A2244" s="55">
        <v>47899.0</v>
      </c>
      <c r="B2244" s="55" t="str">
        <f t="shared" si="10"/>
        <v>Primer dia</v>
      </c>
      <c r="C2244" s="202">
        <f t="shared" si="1"/>
        <v>20</v>
      </c>
      <c r="D2244" s="202" t="str">
        <f t="shared" si="2"/>
        <v> </v>
      </c>
      <c r="E2244" s="202" t="str">
        <f t="shared" si="9"/>
        <v> </v>
      </c>
      <c r="F2244" s="55" t="str">
        <f t="shared" si="4"/>
        <v/>
      </c>
      <c r="G2244" s="202" t="str">
        <f t="shared" si="5"/>
        <v/>
      </c>
      <c r="H2244" s="202" t="str">
        <f t="shared" si="11"/>
        <v> </v>
      </c>
      <c r="I2244" s="205" t="str">
        <f t="shared" si="7"/>
        <v/>
      </c>
      <c r="J2244" s="205"/>
      <c r="K2244" s="205"/>
    </row>
    <row r="2245" ht="14.25" customHeight="1">
      <c r="A2245" s="55">
        <v>47900.0</v>
      </c>
      <c r="B2245" s="55" t="str">
        <f t="shared" si="10"/>
        <v>Primer dia</v>
      </c>
      <c r="C2245" s="202">
        <f t="shared" si="1"/>
        <v>21</v>
      </c>
      <c r="D2245" s="202" t="str">
        <f t="shared" si="2"/>
        <v> </v>
      </c>
      <c r="E2245" s="202" t="str">
        <f t="shared" si="9"/>
        <v> </v>
      </c>
      <c r="F2245" s="55" t="str">
        <f t="shared" si="4"/>
        <v/>
      </c>
      <c r="G2245" s="202" t="str">
        <f t="shared" si="5"/>
        <v/>
      </c>
      <c r="H2245" s="202" t="str">
        <f t="shared" si="11"/>
        <v> </v>
      </c>
      <c r="I2245" s="205" t="str">
        <f t="shared" si="7"/>
        <v/>
      </c>
      <c r="J2245" s="205"/>
      <c r="K2245" s="205"/>
    </row>
    <row r="2246" ht="14.25" customHeight="1">
      <c r="A2246" s="55">
        <v>47901.0</v>
      </c>
      <c r="B2246" s="55" t="str">
        <f t="shared" si="10"/>
        <v>Primer dia</v>
      </c>
      <c r="C2246" s="202">
        <f t="shared" si="1"/>
        <v>22</v>
      </c>
      <c r="D2246" s="202" t="str">
        <f t="shared" si="2"/>
        <v> </v>
      </c>
      <c r="E2246" s="202" t="str">
        <f t="shared" si="9"/>
        <v> </v>
      </c>
      <c r="F2246" s="55" t="str">
        <f t="shared" si="4"/>
        <v/>
      </c>
      <c r="G2246" s="202" t="str">
        <f t="shared" si="5"/>
        <v/>
      </c>
      <c r="H2246" s="202" t="str">
        <f t="shared" si="11"/>
        <v> </v>
      </c>
      <c r="I2246" s="205" t="str">
        <f t="shared" si="7"/>
        <v/>
      </c>
      <c r="J2246" s="205"/>
      <c r="K2246" s="205"/>
    </row>
    <row r="2247" ht="14.25" customHeight="1">
      <c r="A2247" s="55">
        <v>47902.0</v>
      </c>
      <c r="B2247" s="55" t="str">
        <f t="shared" si="10"/>
        <v>Primer dia</v>
      </c>
      <c r="C2247" s="202">
        <f t="shared" si="1"/>
        <v>23</v>
      </c>
      <c r="D2247" s="202" t="str">
        <f t="shared" si="2"/>
        <v> </v>
      </c>
      <c r="E2247" s="202" t="str">
        <f t="shared" si="9"/>
        <v> </v>
      </c>
      <c r="F2247" s="55" t="str">
        <f t="shared" si="4"/>
        <v/>
      </c>
      <c r="G2247" s="202" t="str">
        <f t="shared" si="5"/>
        <v/>
      </c>
      <c r="H2247" s="202" t="str">
        <f t="shared" si="11"/>
        <v> </v>
      </c>
      <c r="I2247" s="205" t="str">
        <f t="shared" si="7"/>
        <v/>
      </c>
      <c r="J2247" s="205"/>
      <c r="K2247" s="205"/>
    </row>
    <row r="2248" ht="14.25" customHeight="1">
      <c r="A2248" s="55">
        <v>47903.0</v>
      </c>
      <c r="B2248" s="55" t="str">
        <f t="shared" si="10"/>
        <v>Primer dia</v>
      </c>
      <c r="C2248" s="202">
        <f t="shared" si="1"/>
        <v>24</v>
      </c>
      <c r="D2248" s="202" t="str">
        <f t="shared" si="2"/>
        <v> </v>
      </c>
      <c r="E2248" s="202" t="str">
        <f t="shared" si="9"/>
        <v> </v>
      </c>
      <c r="F2248" s="55" t="str">
        <f t="shared" si="4"/>
        <v/>
      </c>
      <c r="G2248" s="202" t="str">
        <f t="shared" si="5"/>
        <v/>
      </c>
      <c r="H2248" s="202" t="str">
        <f t="shared" si="11"/>
        <v> </v>
      </c>
      <c r="I2248" s="205" t="str">
        <f t="shared" si="7"/>
        <v/>
      </c>
      <c r="J2248" s="205"/>
      <c r="K2248" s="205"/>
    </row>
    <row r="2249" ht="14.25" customHeight="1">
      <c r="A2249" s="55">
        <v>47904.0</v>
      </c>
      <c r="B2249" s="55" t="str">
        <f t="shared" si="10"/>
        <v>Primer dia</v>
      </c>
      <c r="C2249" s="202">
        <f t="shared" si="1"/>
        <v>25</v>
      </c>
      <c r="D2249" s="202" t="str">
        <f t="shared" si="2"/>
        <v> </v>
      </c>
      <c r="E2249" s="202" t="str">
        <f t="shared" si="9"/>
        <v> </v>
      </c>
      <c r="F2249" s="55" t="str">
        <f t="shared" si="4"/>
        <v/>
      </c>
      <c r="G2249" s="202" t="str">
        <f t="shared" si="5"/>
        <v/>
      </c>
      <c r="H2249" s="202" t="str">
        <f t="shared" si="11"/>
        <v> </v>
      </c>
      <c r="I2249" s="205" t="str">
        <f t="shared" si="7"/>
        <v/>
      </c>
      <c r="J2249" s="205"/>
      <c r="K2249" s="205"/>
    </row>
    <row r="2250" ht="14.25" customHeight="1">
      <c r="A2250" s="55">
        <v>47905.0</v>
      </c>
      <c r="B2250" s="55" t="str">
        <f t="shared" si="10"/>
        <v>Primer dia</v>
      </c>
      <c r="C2250" s="202">
        <f t="shared" si="1"/>
        <v>26</v>
      </c>
      <c r="D2250" s="202" t="str">
        <f t="shared" si="2"/>
        <v> </v>
      </c>
      <c r="E2250" s="202" t="str">
        <f t="shared" si="9"/>
        <v> </v>
      </c>
      <c r="F2250" s="55" t="str">
        <f t="shared" si="4"/>
        <v/>
      </c>
      <c r="G2250" s="202" t="str">
        <f t="shared" si="5"/>
        <v/>
      </c>
      <c r="H2250" s="202" t="str">
        <f t="shared" si="11"/>
        <v> </v>
      </c>
      <c r="I2250" s="205" t="str">
        <f t="shared" si="7"/>
        <v/>
      </c>
      <c r="J2250" s="205"/>
      <c r="K2250" s="205"/>
    </row>
    <row r="2251" ht="14.25" customHeight="1">
      <c r="A2251" s="55">
        <v>47906.0</v>
      </c>
      <c r="B2251" s="55" t="str">
        <f t="shared" si="10"/>
        <v>Primer dia</v>
      </c>
      <c r="C2251" s="202">
        <f t="shared" si="1"/>
        <v>27</v>
      </c>
      <c r="D2251" s="202" t="str">
        <f t="shared" si="2"/>
        <v> </v>
      </c>
      <c r="E2251" s="202" t="str">
        <f t="shared" si="9"/>
        <v> </v>
      </c>
      <c r="F2251" s="55" t="str">
        <f t="shared" si="4"/>
        <v/>
      </c>
      <c r="G2251" s="202" t="str">
        <f t="shared" si="5"/>
        <v/>
      </c>
      <c r="H2251" s="202" t="str">
        <f t="shared" si="11"/>
        <v> </v>
      </c>
      <c r="I2251" s="205" t="str">
        <f t="shared" si="7"/>
        <v/>
      </c>
      <c r="J2251" s="205"/>
      <c r="K2251" s="205"/>
    </row>
    <row r="2252" ht="14.25" customHeight="1">
      <c r="A2252" s="55">
        <v>47907.0</v>
      </c>
      <c r="B2252" s="55" t="str">
        <f t="shared" si="10"/>
        <v>Primer dia</v>
      </c>
      <c r="C2252" s="202">
        <f t="shared" si="1"/>
        <v>28</v>
      </c>
      <c r="D2252" s="202" t="str">
        <f t="shared" si="2"/>
        <v> </v>
      </c>
      <c r="E2252" s="202" t="str">
        <f t="shared" si="9"/>
        <v> </v>
      </c>
      <c r="F2252" s="55" t="str">
        <f t="shared" si="4"/>
        <v/>
      </c>
      <c r="G2252" s="202" t="str">
        <f t="shared" si="5"/>
        <v/>
      </c>
      <c r="H2252" s="202" t="str">
        <f t="shared" si="11"/>
        <v> </v>
      </c>
      <c r="I2252" s="205" t="str">
        <f t="shared" si="7"/>
        <v/>
      </c>
      <c r="J2252" s="205"/>
      <c r="K2252" s="205"/>
    </row>
    <row r="2253" ht="14.25" customHeight="1">
      <c r="A2253" s="55">
        <v>47908.0</v>
      </c>
      <c r="B2253" s="55" t="str">
        <f t="shared" si="10"/>
        <v>Primer dia</v>
      </c>
      <c r="C2253" s="202">
        <f t="shared" si="1"/>
        <v>1</v>
      </c>
      <c r="D2253" s="202" t="str">
        <f t="shared" si="2"/>
        <v> </v>
      </c>
      <c r="E2253" s="202" t="str">
        <f t="shared" si="9"/>
        <v> </v>
      </c>
      <c r="F2253" s="55" t="str">
        <f t="shared" si="4"/>
        <v/>
      </c>
      <c r="G2253" s="202" t="str">
        <f t="shared" si="5"/>
        <v/>
      </c>
      <c r="H2253" s="202" t="str">
        <f t="shared" si="11"/>
        <v> </v>
      </c>
      <c r="I2253" s="205" t="str">
        <f t="shared" si="7"/>
        <v/>
      </c>
      <c r="J2253" s="205"/>
      <c r="K2253" s="205"/>
    </row>
    <row r="2254" ht="14.25" customHeight="1">
      <c r="A2254" s="55">
        <v>47909.0</v>
      </c>
      <c r="B2254" s="55" t="str">
        <f t="shared" si="10"/>
        <v>Primer dia</v>
      </c>
      <c r="C2254" s="202">
        <f t="shared" si="1"/>
        <v>2</v>
      </c>
      <c r="D2254" s="202" t="str">
        <f t="shared" si="2"/>
        <v> </v>
      </c>
      <c r="E2254" s="202">
        <f t="shared" si="9"/>
        <v>2</v>
      </c>
      <c r="F2254" s="55">
        <f t="shared" si="4"/>
        <v>47909</v>
      </c>
      <c r="G2254" s="202">
        <f t="shared" si="5"/>
        <v>123</v>
      </c>
      <c r="H2254" s="202" t="str">
        <f t="shared" si="11"/>
        <v> </v>
      </c>
      <c r="I2254" s="205" t="str">
        <f t="shared" si="7"/>
        <v/>
      </c>
      <c r="J2254" s="205"/>
      <c r="K2254" s="205"/>
    </row>
    <row r="2255" ht="14.25" customHeight="1">
      <c r="A2255" s="55">
        <v>47910.0</v>
      </c>
      <c r="B2255" s="55" t="str">
        <f t="shared" si="10"/>
        <v>Primer dia</v>
      </c>
      <c r="C2255" s="202">
        <f t="shared" si="1"/>
        <v>3</v>
      </c>
      <c r="D2255" s="202" t="str">
        <f t="shared" si="2"/>
        <v> </v>
      </c>
      <c r="E2255" s="202" t="str">
        <f t="shared" si="9"/>
        <v> </v>
      </c>
      <c r="F2255" s="55" t="str">
        <f t="shared" si="4"/>
        <v/>
      </c>
      <c r="G2255" s="202" t="str">
        <f t="shared" si="5"/>
        <v/>
      </c>
      <c r="H2255" s="202" t="str">
        <f t="shared" si="11"/>
        <v> </v>
      </c>
      <c r="I2255" s="205" t="str">
        <f t="shared" si="7"/>
        <v/>
      </c>
      <c r="J2255" s="205"/>
      <c r="K2255" s="205"/>
    </row>
    <row r="2256" ht="14.25" customHeight="1">
      <c r="A2256" s="55">
        <v>47911.0</v>
      </c>
      <c r="B2256" s="55" t="str">
        <f t="shared" si="10"/>
        <v>Primer dia</v>
      </c>
      <c r="C2256" s="202">
        <f t="shared" si="1"/>
        <v>4</v>
      </c>
      <c r="D2256" s="202" t="str">
        <f t="shared" si="2"/>
        <v> </v>
      </c>
      <c r="E2256" s="202" t="str">
        <f t="shared" si="9"/>
        <v> </v>
      </c>
      <c r="F2256" s="55" t="str">
        <f t="shared" si="4"/>
        <v/>
      </c>
      <c r="G2256" s="202" t="str">
        <f t="shared" si="5"/>
        <v/>
      </c>
      <c r="H2256" s="202" t="str">
        <f t="shared" si="11"/>
        <v> </v>
      </c>
      <c r="I2256" s="205" t="str">
        <f t="shared" si="7"/>
        <v/>
      </c>
      <c r="J2256" s="205"/>
      <c r="K2256" s="205"/>
    </row>
    <row r="2257" ht="14.25" customHeight="1">
      <c r="A2257" s="55">
        <v>47912.0</v>
      </c>
      <c r="B2257" s="55" t="str">
        <f t="shared" si="10"/>
        <v>Primer dia</v>
      </c>
      <c r="C2257" s="202">
        <f t="shared" si="1"/>
        <v>5</v>
      </c>
      <c r="D2257" s="202" t="str">
        <f t="shared" si="2"/>
        <v> </v>
      </c>
      <c r="E2257" s="202" t="str">
        <f t="shared" si="9"/>
        <v> </v>
      </c>
      <c r="F2257" s="55" t="str">
        <f t="shared" si="4"/>
        <v/>
      </c>
      <c r="G2257" s="202" t="str">
        <f t="shared" si="5"/>
        <v/>
      </c>
      <c r="H2257" s="202" t="str">
        <f t="shared" si="11"/>
        <v> </v>
      </c>
      <c r="I2257" s="205" t="str">
        <f t="shared" si="7"/>
        <v/>
      </c>
      <c r="J2257" s="205"/>
      <c r="K2257" s="205"/>
    </row>
    <row r="2258" ht="14.25" customHeight="1">
      <c r="A2258" s="55">
        <v>47913.0</v>
      </c>
      <c r="B2258" s="55" t="str">
        <f t="shared" si="10"/>
        <v>Primer dia</v>
      </c>
      <c r="C2258" s="202">
        <f t="shared" si="1"/>
        <v>6</v>
      </c>
      <c r="D2258" s="202" t="str">
        <f t="shared" si="2"/>
        <v> </v>
      </c>
      <c r="E2258" s="202" t="str">
        <f t="shared" si="9"/>
        <v> </v>
      </c>
      <c r="F2258" s="55" t="str">
        <f t="shared" si="4"/>
        <v/>
      </c>
      <c r="G2258" s="202" t="str">
        <f t="shared" si="5"/>
        <v/>
      </c>
      <c r="H2258" s="202" t="str">
        <f t="shared" si="11"/>
        <v> </v>
      </c>
      <c r="I2258" s="205" t="str">
        <f t="shared" si="7"/>
        <v/>
      </c>
      <c r="J2258" s="205"/>
      <c r="K2258" s="205"/>
    </row>
    <row r="2259" ht="14.25" customHeight="1">
      <c r="A2259" s="55">
        <v>47914.0</v>
      </c>
      <c r="B2259" s="55" t="str">
        <f t="shared" si="10"/>
        <v>Primer dia</v>
      </c>
      <c r="C2259" s="202">
        <f t="shared" si="1"/>
        <v>7</v>
      </c>
      <c r="D2259" s="202" t="str">
        <f t="shared" si="2"/>
        <v> </v>
      </c>
      <c r="E2259" s="202" t="str">
        <f t="shared" si="9"/>
        <v> </v>
      </c>
      <c r="F2259" s="55" t="str">
        <f t="shared" si="4"/>
        <v/>
      </c>
      <c r="G2259" s="202" t="str">
        <f t="shared" si="5"/>
        <v/>
      </c>
      <c r="H2259" s="202" t="str">
        <f t="shared" si="11"/>
        <v> </v>
      </c>
      <c r="I2259" s="205" t="str">
        <f t="shared" si="7"/>
        <v/>
      </c>
      <c r="J2259" s="205"/>
      <c r="K2259" s="205"/>
    </row>
    <row r="2260" ht="14.25" customHeight="1">
      <c r="A2260" s="55">
        <v>47915.0</v>
      </c>
      <c r="B2260" s="55" t="str">
        <f t="shared" si="10"/>
        <v>Primer dia</v>
      </c>
      <c r="C2260" s="202">
        <f t="shared" si="1"/>
        <v>8</v>
      </c>
      <c r="D2260" s="202" t="str">
        <f t="shared" si="2"/>
        <v> </v>
      </c>
      <c r="E2260" s="202" t="str">
        <f t="shared" si="9"/>
        <v> </v>
      </c>
      <c r="F2260" s="55" t="str">
        <f t="shared" si="4"/>
        <v/>
      </c>
      <c r="G2260" s="202" t="str">
        <f t="shared" si="5"/>
        <v/>
      </c>
      <c r="H2260" s="202" t="str">
        <f t="shared" si="11"/>
        <v> </v>
      </c>
      <c r="I2260" s="205" t="str">
        <f t="shared" si="7"/>
        <v/>
      </c>
      <c r="J2260" s="205"/>
      <c r="K2260" s="205"/>
    </row>
    <row r="2261" ht="14.25" customHeight="1">
      <c r="A2261" s="55">
        <v>47916.0</v>
      </c>
      <c r="B2261" s="55" t="str">
        <f t="shared" si="10"/>
        <v>Primer dia</v>
      </c>
      <c r="C2261" s="202">
        <f t="shared" si="1"/>
        <v>9</v>
      </c>
      <c r="D2261" s="202" t="str">
        <f t="shared" si="2"/>
        <v> </v>
      </c>
      <c r="E2261" s="202" t="str">
        <f t="shared" si="9"/>
        <v> </v>
      </c>
      <c r="F2261" s="55" t="str">
        <f t="shared" si="4"/>
        <v/>
      </c>
      <c r="G2261" s="202" t="str">
        <f t="shared" si="5"/>
        <v/>
      </c>
      <c r="H2261" s="202" t="str">
        <f t="shared" si="11"/>
        <v> </v>
      </c>
      <c r="I2261" s="205" t="str">
        <f t="shared" si="7"/>
        <v/>
      </c>
      <c r="J2261" s="205"/>
      <c r="K2261" s="205"/>
    </row>
    <row r="2262" ht="14.25" customHeight="1">
      <c r="A2262" s="55">
        <v>47917.0</v>
      </c>
      <c r="B2262" s="55" t="str">
        <f t="shared" si="10"/>
        <v>Primer dia</v>
      </c>
      <c r="C2262" s="202">
        <f t="shared" si="1"/>
        <v>10</v>
      </c>
      <c r="D2262" s="202" t="str">
        <f t="shared" si="2"/>
        <v> </v>
      </c>
      <c r="E2262" s="202" t="str">
        <f t="shared" si="9"/>
        <v> </v>
      </c>
      <c r="F2262" s="55" t="str">
        <f t="shared" si="4"/>
        <v/>
      </c>
      <c r="G2262" s="202" t="str">
        <f t="shared" si="5"/>
        <v/>
      </c>
      <c r="H2262" s="202" t="str">
        <f t="shared" si="11"/>
        <v> </v>
      </c>
      <c r="I2262" s="205" t="str">
        <f t="shared" si="7"/>
        <v/>
      </c>
      <c r="J2262" s="205"/>
      <c r="K2262" s="205"/>
    </row>
    <row r="2263" ht="14.25" customHeight="1">
      <c r="A2263" s="55">
        <v>47918.0</v>
      </c>
      <c r="B2263" s="55" t="str">
        <f t="shared" si="10"/>
        <v>Primer dia</v>
      </c>
      <c r="C2263" s="202">
        <f t="shared" si="1"/>
        <v>11</v>
      </c>
      <c r="D2263" s="202" t="str">
        <f t="shared" si="2"/>
        <v> </v>
      </c>
      <c r="E2263" s="202" t="str">
        <f t="shared" si="9"/>
        <v> </v>
      </c>
      <c r="F2263" s="55" t="str">
        <f t="shared" si="4"/>
        <v/>
      </c>
      <c r="G2263" s="202" t="str">
        <f t="shared" si="5"/>
        <v/>
      </c>
      <c r="H2263" s="202" t="str">
        <f t="shared" si="11"/>
        <v> </v>
      </c>
      <c r="I2263" s="205" t="str">
        <f t="shared" si="7"/>
        <v/>
      </c>
      <c r="J2263" s="205"/>
      <c r="K2263" s="205"/>
    </row>
    <row r="2264" ht="14.25" customHeight="1">
      <c r="A2264" s="55">
        <v>47919.0</v>
      </c>
      <c r="B2264" s="55" t="str">
        <f t="shared" si="10"/>
        <v>Primer dia</v>
      </c>
      <c r="C2264" s="202">
        <f t="shared" si="1"/>
        <v>12</v>
      </c>
      <c r="D2264" s="202" t="str">
        <f t="shared" si="2"/>
        <v> </v>
      </c>
      <c r="E2264" s="202" t="str">
        <f t="shared" si="9"/>
        <v> </v>
      </c>
      <c r="F2264" s="55" t="str">
        <f t="shared" si="4"/>
        <v/>
      </c>
      <c r="G2264" s="202" t="str">
        <f t="shared" si="5"/>
        <v/>
      </c>
      <c r="H2264" s="202" t="str">
        <f t="shared" si="11"/>
        <v> </v>
      </c>
      <c r="I2264" s="205" t="str">
        <f t="shared" si="7"/>
        <v/>
      </c>
      <c r="J2264" s="205"/>
      <c r="K2264" s="205"/>
    </row>
    <row r="2265" ht="14.25" customHeight="1">
      <c r="A2265" s="55">
        <v>47920.0</v>
      </c>
      <c r="B2265" s="55" t="str">
        <f t="shared" si="10"/>
        <v>Primer dia</v>
      </c>
      <c r="C2265" s="202">
        <f t="shared" si="1"/>
        <v>13</v>
      </c>
      <c r="D2265" s="202" t="str">
        <f t="shared" si="2"/>
        <v> </v>
      </c>
      <c r="E2265" s="202" t="str">
        <f t="shared" si="9"/>
        <v> </v>
      </c>
      <c r="F2265" s="55" t="str">
        <f t="shared" si="4"/>
        <v/>
      </c>
      <c r="G2265" s="202" t="str">
        <f t="shared" si="5"/>
        <v/>
      </c>
      <c r="H2265" s="202" t="str">
        <f t="shared" si="11"/>
        <v> </v>
      </c>
      <c r="I2265" s="205" t="str">
        <f t="shared" si="7"/>
        <v/>
      </c>
      <c r="J2265" s="205"/>
      <c r="K2265" s="205"/>
    </row>
    <row r="2266" ht="14.25" customHeight="1">
      <c r="A2266" s="55">
        <v>47921.0</v>
      </c>
      <c r="B2266" s="55" t="str">
        <f t="shared" si="10"/>
        <v>Primer dia</v>
      </c>
      <c r="C2266" s="202">
        <f t="shared" si="1"/>
        <v>14</v>
      </c>
      <c r="D2266" s="202" t="str">
        <f t="shared" si="2"/>
        <v> </v>
      </c>
      <c r="E2266" s="202" t="str">
        <f t="shared" si="9"/>
        <v> </v>
      </c>
      <c r="F2266" s="55" t="str">
        <f t="shared" si="4"/>
        <v/>
      </c>
      <c r="G2266" s="202" t="str">
        <f t="shared" si="5"/>
        <v/>
      </c>
      <c r="H2266" s="202" t="str">
        <f t="shared" si="11"/>
        <v> </v>
      </c>
      <c r="I2266" s="205" t="str">
        <f t="shared" si="7"/>
        <v/>
      </c>
      <c r="J2266" s="205"/>
      <c r="K2266" s="205"/>
    </row>
    <row r="2267" ht="14.25" customHeight="1">
      <c r="A2267" s="55">
        <v>47922.0</v>
      </c>
      <c r="B2267" s="55" t="str">
        <f t="shared" si="10"/>
        <v>Primer dia</v>
      </c>
      <c r="C2267" s="202">
        <f t="shared" si="1"/>
        <v>15</v>
      </c>
      <c r="D2267" s="202" t="str">
        <f t="shared" si="2"/>
        <v> </v>
      </c>
      <c r="E2267" s="202" t="str">
        <f t="shared" si="9"/>
        <v> </v>
      </c>
      <c r="F2267" s="55" t="str">
        <f t="shared" si="4"/>
        <v/>
      </c>
      <c r="G2267" s="202" t="str">
        <f t="shared" si="5"/>
        <v/>
      </c>
      <c r="H2267" s="202" t="str">
        <f t="shared" si="11"/>
        <v> </v>
      </c>
      <c r="I2267" s="205" t="str">
        <f t="shared" si="7"/>
        <v/>
      </c>
      <c r="J2267" s="205"/>
      <c r="K2267" s="205"/>
    </row>
    <row r="2268" ht="14.25" customHeight="1">
      <c r="A2268" s="55">
        <v>47923.0</v>
      </c>
      <c r="B2268" s="55" t="str">
        <f t="shared" si="10"/>
        <v>Primer dia</v>
      </c>
      <c r="C2268" s="202">
        <f t="shared" si="1"/>
        <v>16</v>
      </c>
      <c r="D2268" s="202" t="str">
        <f t="shared" si="2"/>
        <v> </v>
      </c>
      <c r="E2268" s="202" t="str">
        <f t="shared" si="9"/>
        <v> </v>
      </c>
      <c r="F2268" s="55" t="str">
        <f t="shared" si="4"/>
        <v/>
      </c>
      <c r="G2268" s="202" t="str">
        <f t="shared" si="5"/>
        <v/>
      </c>
      <c r="H2268" s="202" t="str">
        <f t="shared" si="11"/>
        <v> </v>
      </c>
      <c r="I2268" s="205" t="str">
        <f t="shared" si="7"/>
        <v/>
      </c>
      <c r="J2268" s="205"/>
      <c r="K2268" s="205"/>
    </row>
    <row r="2269" ht="14.25" customHeight="1">
      <c r="A2269" s="55">
        <v>47924.0</v>
      </c>
      <c r="B2269" s="55" t="str">
        <f t="shared" si="10"/>
        <v>Primer dia</v>
      </c>
      <c r="C2269" s="202">
        <f t="shared" si="1"/>
        <v>17</v>
      </c>
      <c r="D2269" s="202" t="str">
        <f t="shared" si="2"/>
        <v> </v>
      </c>
      <c r="E2269" s="202">
        <f t="shared" si="9"/>
        <v>17</v>
      </c>
      <c r="F2269" s="55">
        <f t="shared" si="4"/>
        <v>47924</v>
      </c>
      <c r="G2269" s="202">
        <f t="shared" si="5"/>
        <v>124</v>
      </c>
      <c r="H2269" s="202" t="str">
        <f t="shared" si="11"/>
        <v> </v>
      </c>
      <c r="I2269" s="205" t="str">
        <f t="shared" si="7"/>
        <v/>
      </c>
      <c r="J2269" s="205"/>
      <c r="K2269" s="205"/>
    </row>
    <row r="2270" ht="14.25" customHeight="1">
      <c r="A2270" s="55">
        <v>47925.0</v>
      </c>
      <c r="B2270" s="55" t="str">
        <f t="shared" si="10"/>
        <v>Primer dia</v>
      </c>
      <c r="C2270" s="202">
        <f t="shared" si="1"/>
        <v>18</v>
      </c>
      <c r="D2270" s="202" t="str">
        <f t="shared" si="2"/>
        <v> </v>
      </c>
      <c r="E2270" s="202" t="str">
        <f t="shared" si="9"/>
        <v> </v>
      </c>
      <c r="F2270" s="55" t="str">
        <f t="shared" si="4"/>
        <v/>
      </c>
      <c r="G2270" s="202" t="str">
        <f t="shared" si="5"/>
        <v/>
      </c>
      <c r="H2270" s="202" t="str">
        <f t="shared" si="11"/>
        <v> </v>
      </c>
      <c r="I2270" s="205" t="str">
        <f t="shared" si="7"/>
        <v/>
      </c>
      <c r="J2270" s="205"/>
      <c r="K2270" s="205"/>
    </row>
    <row r="2271" ht="14.25" customHeight="1">
      <c r="A2271" s="55">
        <v>47926.0</v>
      </c>
      <c r="B2271" s="55" t="str">
        <f t="shared" si="10"/>
        <v>Primer dia</v>
      </c>
      <c r="C2271" s="202">
        <f t="shared" si="1"/>
        <v>19</v>
      </c>
      <c r="D2271" s="202" t="str">
        <f t="shared" si="2"/>
        <v> </v>
      </c>
      <c r="E2271" s="202" t="str">
        <f t="shared" si="9"/>
        <v> </v>
      </c>
      <c r="F2271" s="55" t="str">
        <f t="shared" si="4"/>
        <v/>
      </c>
      <c r="G2271" s="202" t="str">
        <f t="shared" si="5"/>
        <v/>
      </c>
      <c r="H2271" s="202" t="str">
        <f t="shared" si="11"/>
        <v> </v>
      </c>
      <c r="I2271" s="205" t="str">
        <f t="shared" si="7"/>
        <v/>
      </c>
      <c r="J2271" s="205"/>
      <c r="K2271" s="205"/>
    </row>
    <row r="2272" ht="14.25" customHeight="1">
      <c r="A2272" s="55">
        <v>47927.0</v>
      </c>
      <c r="B2272" s="55" t="str">
        <f t="shared" si="10"/>
        <v>Primer dia</v>
      </c>
      <c r="C2272" s="202">
        <f t="shared" si="1"/>
        <v>20</v>
      </c>
      <c r="D2272" s="202" t="str">
        <f t="shared" si="2"/>
        <v> </v>
      </c>
      <c r="E2272" s="202" t="str">
        <f t="shared" si="9"/>
        <v> </v>
      </c>
      <c r="F2272" s="55" t="str">
        <f t="shared" si="4"/>
        <v/>
      </c>
      <c r="G2272" s="202" t="str">
        <f t="shared" si="5"/>
        <v/>
      </c>
      <c r="H2272" s="202" t="str">
        <f t="shared" si="11"/>
        <v> </v>
      </c>
      <c r="I2272" s="205" t="str">
        <f t="shared" si="7"/>
        <v/>
      </c>
      <c r="J2272" s="205"/>
      <c r="K2272" s="205"/>
    </row>
    <row r="2273" ht="14.25" customHeight="1">
      <c r="A2273" s="55">
        <v>47928.0</v>
      </c>
      <c r="B2273" s="55" t="str">
        <f t="shared" si="10"/>
        <v>Primer dia</v>
      </c>
      <c r="C2273" s="202">
        <f t="shared" si="1"/>
        <v>21</v>
      </c>
      <c r="D2273" s="202" t="str">
        <f t="shared" si="2"/>
        <v> </v>
      </c>
      <c r="E2273" s="202" t="str">
        <f t="shared" si="9"/>
        <v> </v>
      </c>
      <c r="F2273" s="55" t="str">
        <f t="shared" si="4"/>
        <v/>
      </c>
      <c r="G2273" s="202" t="str">
        <f t="shared" si="5"/>
        <v/>
      </c>
      <c r="H2273" s="202" t="str">
        <f t="shared" si="11"/>
        <v> </v>
      </c>
      <c r="I2273" s="205" t="str">
        <f t="shared" si="7"/>
        <v/>
      </c>
      <c r="J2273" s="205"/>
      <c r="K2273" s="205"/>
    </row>
    <row r="2274" ht="14.25" customHeight="1">
      <c r="A2274" s="55">
        <v>47929.0</v>
      </c>
      <c r="B2274" s="55" t="str">
        <f t="shared" si="10"/>
        <v>Primer dia</v>
      </c>
      <c r="C2274" s="202">
        <f t="shared" si="1"/>
        <v>22</v>
      </c>
      <c r="D2274" s="202" t="str">
        <f t="shared" si="2"/>
        <v> </v>
      </c>
      <c r="E2274" s="202" t="str">
        <f t="shared" si="9"/>
        <v> </v>
      </c>
      <c r="F2274" s="55" t="str">
        <f t="shared" si="4"/>
        <v/>
      </c>
      <c r="G2274" s="202" t="str">
        <f t="shared" si="5"/>
        <v/>
      </c>
      <c r="H2274" s="202" t="str">
        <f t="shared" si="11"/>
        <v> </v>
      </c>
      <c r="I2274" s="205" t="str">
        <f t="shared" si="7"/>
        <v/>
      </c>
      <c r="J2274" s="205"/>
      <c r="K2274" s="205"/>
    </row>
    <row r="2275" ht="14.25" customHeight="1">
      <c r="A2275" s="55">
        <v>47930.0</v>
      </c>
      <c r="B2275" s="55" t="str">
        <f t="shared" si="10"/>
        <v>Primer dia</v>
      </c>
      <c r="C2275" s="202">
        <f t="shared" si="1"/>
        <v>23</v>
      </c>
      <c r="D2275" s="202" t="str">
        <f t="shared" si="2"/>
        <v> </v>
      </c>
      <c r="E2275" s="202" t="str">
        <f t="shared" si="9"/>
        <v> </v>
      </c>
      <c r="F2275" s="55" t="str">
        <f t="shared" si="4"/>
        <v/>
      </c>
      <c r="G2275" s="202" t="str">
        <f t="shared" si="5"/>
        <v/>
      </c>
      <c r="H2275" s="202" t="str">
        <f t="shared" si="11"/>
        <v> </v>
      </c>
      <c r="I2275" s="205" t="str">
        <f t="shared" si="7"/>
        <v/>
      </c>
      <c r="J2275" s="205"/>
      <c r="K2275" s="205"/>
    </row>
    <row r="2276" ht="14.25" customHeight="1">
      <c r="A2276" s="55">
        <v>47931.0</v>
      </c>
      <c r="B2276" s="55" t="str">
        <f t="shared" si="10"/>
        <v>Primer dia</v>
      </c>
      <c r="C2276" s="202">
        <f t="shared" si="1"/>
        <v>24</v>
      </c>
      <c r="D2276" s="202" t="str">
        <f t="shared" si="2"/>
        <v> </v>
      </c>
      <c r="E2276" s="202" t="str">
        <f t="shared" si="9"/>
        <v> </v>
      </c>
      <c r="F2276" s="55" t="str">
        <f t="shared" si="4"/>
        <v/>
      </c>
      <c r="G2276" s="202" t="str">
        <f t="shared" si="5"/>
        <v/>
      </c>
      <c r="H2276" s="202" t="str">
        <f t="shared" si="11"/>
        <v> </v>
      </c>
      <c r="I2276" s="205" t="str">
        <f t="shared" si="7"/>
        <v/>
      </c>
      <c r="J2276" s="205"/>
      <c r="K2276" s="205"/>
    </row>
    <row r="2277" ht="14.25" customHeight="1">
      <c r="A2277" s="55">
        <v>47932.0</v>
      </c>
      <c r="B2277" s="55" t="str">
        <f t="shared" si="10"/>
        <v>Primer dia</v>
      </c>
      <c r="C2277" s="202">
        <f t="shared" si="1"/>
        <v>25</v>
      </c>
      <c r="D2277" s="202" t="str">
        <f t="shared" si="2"/>
        <v> </v>
      </c>
      <c r="E2277" s="202" t="str">
        <f t="shared" si="9"/>
        <v> </v>
      </c>
      <c r="F2277" s="55" t="str">
        <f t="shared" si="4"/>
        <v/>
      </c>
      <c r="G2277" s="202" t="str">
        <f t="shared" si="5"/>
        <v/>
      </c>
      <c r="H2277" s="202" t="str">
        <f t="shared" si="11"/>
        <v> </v>
      </c>
      <c r="I2277" s="205" t="str">
        <f t="shared" si="7"/>
        <v/>
      </c>
      <c r="J2277" s="205"/>
      <c r="K2277" s="205"/>
    </row>
    <row r="2278" ht="14.25" customHeight="1">
      <c r="A2278" s="55">
        <v>47933.0</v>
      </c>
      <c r="B2278" s="55" t="str">
        <f t="shared" si="10"/>
        <v>Primer dia</v>
      </c>
      <c r="C2278" s="202">
        <f t="shared" si="1"/>
        <v>26</v>
      </c>
      <c r="D2278" s="202" t="str">
        <f t="shared" si="2"/>
        <v> </v>
      </c>
      <c r="E2278" s="202" t="str">
        <f t="shared" si="9"/>
        <v> </v>
      </c>
      <c r="F2278" s="55" t="str">
        <f t="shared" si="4"/>
        <v/>
      </c>
      <c r="G2278" s="202" t="str">
        <f t="shared" si="5"/>
        <v/>
      </c>
      <c r="H2278" s="202" t="str">
        <f t="shared" si="11"/>
        <v> </v>
      </c>
      <c r="I2278" s="205" t="str">
        <f t="shared" si="7"/>
        <v/>
      </c>
      <c r="J2278" s="205"/>
      <c r="K2278" s="205"/>
    </row>
    <row r="2279" ht="14.25" customHeight="1">
      <c r="A2279" s="55">
        <v>47934.0</v>
      </c>
      <c r="B2279" s="55" t="str">
        <f t="shared" si="10"/>
        <v>Primer dia</v>
      </c>
      <c r="C2279" s="202">
        <f t="shared" si="1"/>
        <v>27</v>
      </c>
      <c r="D2279" s="202" t="str">
        <f t="shared" si="2"/>
        <v> </v>
      </c>
      <c r="E2279" s="202" t="str">
        <f t="shared" si="9"/>
        <v> </v>
      </c>
      <c r="F2279" s="55" t="str">
        <f t="shared" si="4"/>
        <v/>
      </c>
      <c r="G2279" s="202" t="str">
        <f t="shared" si="5"/>
        <v/>
      </c>
      <c r="H2279" s="202" t="str">
        <f t="shared" si="11"/>
        <v> </v>
      </c>
      <c r="I2279" s="205" t="str">
        <f t="shared" si="7"/>
        <v/>
      </c>
      <c r="J2279" s="205"/>
      <c r="K2279" s="205"/>
    </row>
    <row r="2280" ht="14.25" customHeight="1">
      <c r="A2280" s="55">
        <v>47935.0</v>
      </c>
      <c r="B2280" s="55" t="str">
        <f t="shared" si="10"/>
        <v>Primer dia</v>
      </c>
      <c r="C2280" s="202">
        <f t="shared" si="1"/>
        <v>28</v>
      </c>
      <c r="D2280" s="202" t="str">
        <f t="shared" si="2"/>
        <v> </v>
      </c>
      <c r="E2280" s="202" t="str">
        <f t="shared" si="9"/>
        <v> </v>
      </c>
      <c r="F2280" s="55" t="str">
        <f t="shared" si="4"/>
        <v/>
      </c>
      <c r="G2280" s="202" t="str">
        <f t="shared" si="5"/>
        <v/>
      </c>
      <c r="H2280" s="202" t="str">
        <f t="shared" si="11"/>
        <v> </v>
      </c>
      <c r="I2280" s="205" t="str">
        <f t="shared" si="7"/>
        <v/>
      </c>
      <c r="J2280" s="205"/>
      <c r="K2280" s="205"/>
    </row>
    <row r="2281" ht="14.25" customHeight="1">
      <c r="A2281" s="55">
        <v>47936.0</v>
      </c>
      <c r="B2281" s="55" t="str">
        <f t="shared" si="10"/>
        <v>Primer dia</v>
      </c>
      <c r="C2281" s="202">
        <f t="shared" si="1"/>
        <v>29</v>
      </c>
      <c r="D2281" s="202" t="str">
        <f t="shared" si="2"/>
        <v> </v>
      </c>
      <c r="E2281" s="202" t="str">
        <f t="shared" si="9"/>
        <v> </v>
      </c>
      <c r="F2281" s="55" t="str">
        <f t="shared" si="4"/>
        <v/>
      </c>
      <c r="G2281" s="202" t="str">
        <f t="shared" si="5"/>
        <v/>
      </c>
      <c r="H2281" s="202" t="str">
        <f t="shared" si="11"/>
        <v> </v>
      </c>
      <c r="I2281" s="205" t="str">
        <f t="shared" si="7"/>
        <v/>
      </c>
      <c r="J2281" s="205"/>
      <c r="K2281" s="205"/>
    </row>
    <row r="2282" ht="14.25" customHeight="1">
      <c r="A2282" s="55">
        <v>47937.0</v>
      </c>
      <c r="B2282" s="55" t="str">
        <f t="shared" si="10"/>
        <v>Primer dia</v>
      </c>
      <c r="C2282" s="202">
        <f t="shared" si="1"/>
        <v>30</v>
      </c>
      <c r="D2282" s="202" t="str">
        <f t="shared" si="2"/>
        <v> </v>
      </c>
      <c r="E2282" s="202" t="str">
        <f t="shared" si="9"/>
        <v> </v>
      </c>
      <c r="F2282" s="55" t="str">
        <f t="shared" si="4"/>
        <v/>
      </c>
      <c r="G2282" s="202" t="str">
        <f t="shared" si="5"/>
        <v/>
      </c>
      <c r="H2282" s="202" t="str">
        <f t="shared" si="11"/>
        <v> </v>
      </c>
      <c r="I2282" s="205" t="str">
        <f t="shared" si="7"/>
        <v/>
      </c>
      <c r="J2282" s="205"/>
      <c r="K2282" s="205"/>
    </row>
    <row r="2283" ht="14.25" customHeight="1">
      <c r="A2283" s="55">
        <v>47938.0</v>
      </c>
      <c r="B2283" s="55" t="str">
        <f t="shared" si="10"/>
        <v>Primer dia</v>
      </c>
      <c r="C2283" s="202">
        <f t="shared" si="1"/>
        <v>31</v>
      </c>
      <c r="D2283" s="202" t="str">
        <f t="shared" si="2"/>
        <v> </v>
      </c>
      <c r="E2283" s="202" t="str">
        <f t="shared" si="9"/>
        <v> </v>
      </c>
      <c r="F2283" s="55" t="str">
        <f t="shared" si="4"/>
        <v/>
      </c>
      <c r="G2283" s="202" t="str">
        <f t="shared" si="5"/>
        <v/>
      </c>
      <c r="H2283" s="202" t="str">
        <f t="shared" si="11"/>
        <v> </v>
      </c>
      <c r="I2283" s="205" t="str">
        <f t="shared" si="7"/>
        <v/>
      </c>
      <c r="J2283" s="205"/>
      <c r="K2283" s="205"/>
    </row>
    <row r="2284" ht="14.25" customHeight="1">
      <c r="A2284" s="55">
        <v>47939.0</v>
      </c>
      <c r="B2284" s="55" t="str">
        <f t="shared" si="10"/>
        <v>Primer dia</v>
      </c>
      <c r="C2284" s="202">
        <f t="shared" si="1"/>
        <v>1</v>
      </c>
      <c r="D2284" s="202" t="str">
        <f t="shared" si="2"/>
        <v> </v>
      </c>
      <c r="E2284" s="202" t="str">
        <f t="shared" si="9"/>
        <v> </v>
      </c>
      <c r="F2284" s="55" t="str">
        <f t="shared" si="4"/>
        <v/>
      </c>
      <c r="G2284" s="202" t="str">
        <f t="shared" si="5"/>
        <v/>
      </c>
      <c r="H2284" s="202" t="str">
        <f t="shared" si="11"/>
        <v> </v>
      </c>
      <c r="I2284" s="205" t="str">
        <f t="shared" si="7"/>
        <v/>
      </c>
      <c r="J2284" s="205"/>
      <c r="K2284" s="205"/>
    </row>
    <row r="2285" ht="14.25" customHeight="1">
      <c r="A2285" s="55">
        <v>47940.0</v>
      </c>
      <c r="B2285" s="55" t="str">
        <f t="shared" si="10"/>
        <v>Primer dia</v>
      </c>
      <c r="C2285" s="202">
        <f t="shared" si="1"/>
        <v>2</v>
      </c>
      <c r="D2285" s="202" t="str">
        <f t="shared" si="2"/>
        <v> </v>
      </c>
      <c r="E2285" s="202">
        <f t="shared" si="9"/>
        <v>2</v>
      </c>
      <c r="F2285" s="55">
        <f t="shared" si="4"/>
        <v>47940</v>
      </c>
      <c r="G2285" s="202">
        <f t="shared" si="5"/>
        <v>125</v>
      </c>
      <c r="H2285" s="202" t="str">
        <f t="shared" si="11"/>
        <v> </v>
      </c>
      <c r="I2285" s="205" t="str">
        <f t="shared" si="7"/>
        <v/>
      </c>
      <c r="J2285" s="205"/>
      <c r="K2285" s="205"/>
    </row>
    <row r="2286" ht="14.25" customHeight="1">
      <c r="A2286" s="55">
        <v>47941.0</v>
      </c>
      <c r="B2286" s="55" t="str">
        <f t="shared" si="10"/>
        <v>Primer dia</v>
      </c>
      <c r="C2286" s="202">
        <f t="shared" si="1"/>
        <v>3</v>
      </c>
      <c r="D2286" s="202" t="str">
        <f t="shared" si="2"/>
        <v> </v>
      </c>
      <c r="E2286" s="202" t="str">
        <f t="shared" si="9"/>
        <v> </v>
      </c>
      <c r="F2286" s="55" t="str">
        <f t="shared" si="4"/>
        <v/>
      </c>
      <c r="G2286" s="202" t="str">
        <f t="shared" si="5"/>
        <v/>
      </c>
      <c r="H2286" s="202" t="str">
        <f t="shared" si="11"/>
        <v> </v>
      </c>
      <c r="I2286" s="205" t="str">
        <f t="shared" si="7"/>
        <v/>
      </c>
      <c r="J2286" s="205"/>
      <c r="K2286" s="205"/>
    </row>
    <row r="2287" ht="14.25" customHeight="1">
      <c r="A2287" s="55">
        <v>47942.0</v>
      </c>
      <c r="B2287" s="55" t="str">
        <f t="shared" si="10"/>
        <v>Primer dia</v>
      </c>
      <c r="C2287" s="202">
        <f t="shared" si="1"/>
        <v>4</v>
      </c>
      <c r="D2287" s="202" t="str">
        <f t="shared" si="2"/>
        <v> </v>
      </c>
      <c r="E2287" s="202" t="str">
        <f t="shared" si="9"/>
        <v> </v>
      </c>
      <c r="F2287" s="55" t="str">
        <f t="shared" si="4"/>
        <v/>
      </c>
      <c r="G2287" s="202" t="str">
        <f t="shared" si="5"/>
        <v/>
      </c>
      <c r="H2287" s="202" t="str">
        <f t="shared" si="11"/>
        <v> </v>
      </c>
      <c r="I2287" s="205" t="str">
        <f t="shared" si="7"/>
        <v/>
      </c>
      <c r="J2287" s="205"/>
      <c r="K2287" s="205"/>
    </row>
    <row r="2288" ht="14.25" customHeight="1">
      <c r="A2288" s="55">
        <v>47943.0</v>
      </c>
      <c r="B2288" s="55" t="str">
        <f t="shared" si="10"/>
        <v>Primer dia</v>
      </c>
      <c r="C2288" s="202">
        <f t="shared" si="1"/>
        <v>5</v>
      </c>
      <c r="D2288" s="202" t="str">
        <f t="shared" si="2"/>
        <v> </v>
      </c>
      <c r="E2288" s="202" t="str">
        <f t="shared" si="9"/>
        <v> </v>
      </c>
      <c r="F2288" s="55" t="str">
        <f t="shared" si="4"/>
        <v/>
      </c>
      <c r="G2288" s="202" t="str">
        <f t="shared" si="5"/>
        <v/>
      </c>
      <c r="H2288" s="202" t="str">
        <f t="shared" si="11"/>
        <v> </v>
      </c>
      <c r="I2288" s="205" t="str">
        <f t="shared" si="7"/>
        <v/>
      </c>
      <c r="J2288" s="205"/>
      <c r="K2288" s="205"/>
    </row>
    <row r="2289" ht="14.25" customHeight="1">
      <c r="A2289" s="55">
        <v>47944.0</v>
      </c>
      <c r="B2289" s="55" t="str">
        <f t="shared" si="10"/>
        <v>Primer dia</v>
      </c>
      <c r="C2289" s="202">
        <f t="shared" si="1"/>
        <v>6</v>
      </c>
      <c r="D2289" s="202" t="str">
        <f t="shared" si="2"/>
        <v> </v>
      </c>
      <c r="E2289" s="202" t="str">
        <f t="shared" si="9"/>
        <v> </v>
      </c>
      <c r="F2289" s="55" t="str">
        <f t="shared" si="4"/>
        <v/>
      </c>
      <c r="G2289" s="202" t="str">
        <f t="shared" si="5"/>
        <v/>
      </c>
      <c r="H2289" s="202" t="str">
        <f t="shared" si="11"/>
        <v> </v>
      </c>
      <c r="I2289" s="205" t="str">
        <f t="shared" si="7"/>
        <v/>
      </c>
      <c r="J2289" s="205"/>
      <c r="K2289" s="205"/>
    </row>
    <row r="2290" ht="14.25" customHeight="1">
      <c r="A2290" s="55">
        <v>47945.0</v>
      </c>
      <c r="B2290" s="55" t="str">
        <f t="shared" si="10"/>
        <v>Primer dia</v>
      </c>
      <c r="C2290" s="202">
        <f t="shared" si="1"/>
        <v>7</v>
      </c>
      <c r="D2290" s="202" t="str">
        <f t="shared" si="2"/>
        <v> </v>
      </c>
      <c r="E2290" s="202" t="str">
        <f t="shared" si="9"/>
        <v> </v>
      </c>
      <c r="F2290" s="55" t="str">
        <f t="shared" si="4"/>
        <v/>
      </c>
      <c r="G2290" s="202" t="str">
        <f t="shared" si="5"/>
        <v/>
      </c>
      <c r="H2290" s="202" t="str">
        <f t="shared" si="11"/>
        <v> </v>
      </c>
      <c r="I2290" s="205" t="str">
        <f t="shared" si="7"/>
        <v/>
      </c>
      <c r="J2290" s="205"/>
      <c r="K2290" s="205"/>
    </row>
    <row r="2291" ht="14.25" customHeight="1">
      <c r="A2291" s="55">
        <v>47946.0</v>
      </c>
      <c r="B2291" s="55" t="str">
        <f t="shared" si="10"/>
        <v>Primer dia</v>
      </c>
      <c r="C2291" s="202">
        <f t="shared" si="1"/>
        <v>8</v>
      </c>
      <c r="D2291" s="202" t="str">
        <f t="shared" si="2"/>
        <v> </v>
      </c>
      <c r="E2291" s="202" t="str">
        <f t="shared" si="9"/>
        <v> </v>
      </c>
      <c r="F2291" s="55" t="str">
        <f t="shared" si="4"/>
        <v/>
      </c>
      <c r="G2291" s="202" t="str">
        <f t="shared" si="5"/>
        <v/>
      </c>
      <c r="H2291" s="202" t="str">
        <f t="shared" si="11"/>
        <v> </v>
      </c>
      <c r="I2291" s="205" t="str">
        <f t="shared" si="7"/>
        <v/>
      </c>
      <c r="J2291" s="205"/>
      <c r="K2291" s="205"/>
    </row>
    <row r="2292" ht="14.25" customHeight="1">
      <c r="A2292" s="55">
        <v>47947.0</v>
      </c>
      <c r="B2292" s="55" t="str">
        <f t="shared" si="10"/>
        <v>Primer dia</v>
      </c>
      <c r="C2292" s="202">
        <f t="shared" si="1"/>
        <v>9</v>
      </c>
      <c r="D2292" s="202" t="str">
        <f t="shared" si="2"/>
        <v> </v>
      </c>
      <c r="E2292" s="202" t="str">
        <f t="shared" si="9"/>
        <v> </v>
      </c>
      <c r="F2292" s="55" t="str">
        <f t="shared" si="4"/>
        <v/>
      </c>
      <c r="G2292" s="202" t="str">
        <f t="shared" si="5"/>
        <v/>
      </c>
      <c r="H2292" s="202" t="str">
        <f t="shared" si="11"/>
        <v> </v>
      </c>
      <c r="I2292" s="205" t="str">
        <f t="shared" si="7"/>
        <v/>
      </c>
      <c r="J2292" s="205"/>
      <c r="K2292" s="205"/>
    </row>
    <row r="2293" ht="14.25" customHeight="1">
      <c r="A2293" s="55">
        <v>47948.0</v>
      </c>
      <c r="B2293" s="55" t="str">
        <f t="shared" si="10"/>
        <v>Primer dia</v>
      </c>
      <c r="C2293" s="202">
        <f t="shared" si="1"/>
        <v>10</v>
      </c>
      <c r="D2293" s="202" t="str">
        <f t="shared" si="2"/>
        <v> </v>
      </c>
      <c r="E2293" s="202" t="str">
        <f t="shared" si="9"/>
        <v> </v>
      </c>
      <c r="F2293" s="55" t="str">
        <f t="shared" si="4"/>
        <v/>
      </c>
      <c r="G2293" s="202" t="str">
        <f t="shared" si="5"/>
        <v/>
      </c>
      <c r="H2293" s="202" t="str">
        <f t="shared" si="11"/>
        <v> </v>
      </c>
      <c r="I2293" s="205" t="str">
        <f t="shared" si="7"/>
        <v/>
      </c>
      <c r="J2293" s="205"/>
      <c r="K2293" s="205"/>
    </row>
    <row r="2294" ht="14.25" customHeight="1">
      <c r="A2294" s="55">
        <v>47949.0</v>
      </c>
      <c r="B2294" s="55" t="str">
        <f t="shared" si="10"/>
        <v>Primer dia</v>
      </c>
      <c r="C2294" s="202">
        <f t="shared" si="1"/>
        <v>11</v>
      </c>
      <c r="D2294" s="202" t="str">
        <f t="shared" si="2"/>
        <v> </v>
      </c>
      <c r="E2294" s="202" t="str">
        <f t="shared" si="9"/>
        <v> </v>
      </c>
      <c r="F2294" s="55" t="str">
        <f t="shared" si="4"/>
        <v/>
      </c>
      <c r="G2294" s="202" t="str">
        <f t="shared" si="5"/>
        <v/>
      </c>
      <c r="H2294" s="202" t="str">
        <f t="shared" si="11"/>
        <v> </v>
      </c>
      <c r="I2294" s="205" t="str">
        <f t="shared" si="7"/>
        <v/>
      </c>
      <c r="J2294" s="205"/>
      <c r="K2294" s="205"/>
    </row>
    <row r="2295" ht="14.25" customHeight="1">
      <c r="A2295" s="55">
        <v>47950.0</v>
      </c>
      <c r="B2295" s="55" t="str">
        <f t="shared" si="10"/>
        <v>Primer dia</v>
      </c>
      <c r="C2295" s="202">
        <f t="shared" si="1"/>
        <v>12</v>
      </c>
      <c r="D2295" s="202" t="str">
        <f t="shared" si="2"/>
        <v> </v>
      </c>
      <c r="E2295" s="202" t="str">
        <f t="shared" si="9"/>
        <v> </v>
      </c>
      <c r="F2295" s="55" t="str">
        <f t="shared" si="4"/>
        <v/>
      </c>
      <c r="G2295" s="202" t="str">
        <f t="shared" si="5"/>
        <v/>
      </c>
      <c r="H2295" s="202" t="str">
        <f t="shared" si="11"/>
        <v> </v>
      </c>
      <c r="I2295" s="205" t="str">
        <f t="shared" si="7"/>
        <v/>
      </c>
      <c r="J2295" s="205"/>
      <c r="K2295" s="205"/>
    </row>
    <row r="2296" ht="14.25" customHeight="1">
      <c r="A2296" s="55">
        <v>47951.0</v>
      </c>
      <c r="B2296" s="55" t="str">
        <f t="shared" si="10"/>
        <v>Primer dia</v>
      </c>
      <c r="C2296" s="202">
        <f t="shared" si="1"/>
        <v>13</v>
      </c>
      <c r="D2296" s="202" t="str">
        <f t="shared" si="2"/>
        <v> </v>
      </c>
      <c r="E2296" s="202" t="str">
        <f t="shared" si="9"/>
        <v> </v>
      </c>
      <c r="F2296" s="55" t="str">
        <f t="shared" si="4"/>
        <v/>
      </c>
      <c r="G2296" s="202" t="str">
        <f t="shared" si="5"/>
        <v/>
      </c>
      <c r="H2296" s="202" t="str">
        <f t="shared" si="11"/>
        <v> </v>
      </c>
      <c r="I2296" s="205" t="str">
        <f t="shared" si="7"/>
        <v/>
      </c>
      <c r="J2296" s="205"/>
      <c r="K2296" s="205"/>
    </row>
    <row r="2297" ht="14.25" customHeight="1">
      <c r="A2297" s="55">
        <v>47952.0</v>
      </c>
      <c r="B2297" s="55" t="str">
        <f t="shared" si="10"/>
        <v>Primer dia</v>
      </c>
      <c r="C2297" s="202">
        <f t="shared" si="1"/>
        <v>14</v>
      </c>
      <c r="D2297" s="202" t="str">
        <f t="shared" si="2"/>
        <v> </v>
      </c>
      <c r="E2297" s="202" t="str">
        <f t="shared" si="9"/>
        <v> </v>
      </c>
      <c r="F2297" s="55" t="str">
        <f t="shared" si="4"/>
        <v/>
      </c>
      <c r="G2297" s="202" t="str">
        <f t="shared" si="5"/>
        <v/>
      </c>
      <c r="H2297" s="202" t="str">
        <f t="shared" si="11"/>
        <v> </v>
      </c>
      <c r="I2297" s="205" t="str">
        <f t="shared" si="7"/>
        <v/>
      </c>
      <c r="J2297" s="205"/>
      <c r="K2297" s="205"/>
    </row>
    <row r="2298" ht="14.25" customHeight="1">
      <c r="A2298" s="55">
        <v>47953.0</v>
      </c>
      <c r="B2298" s="55" t="str">
        <f t="shared" si="10"/>
        <v>Primer dia</v>
      </c>
      <c r="C2298" s="202">
        <f t="shared" si="1"/>
        <v>15</v>
      </c>
      <c r="D2298" s="202" t="str">
        <f t="shared" si="2"/>
        <v> </v>
      </c>
      <c r="E2298" s="202" t="str">
        <f t="shared" si="9"/>
        <v> </v>
      </c>
      <c r="F2298" s="55" t="str">
        <f t="shared" si="4"/>
        <v/>
      </c>
      <c r="G2298" s="202" t="str">
        <f t="shared" si="5"/>
        <v/>
      </c>
      <c r="H2298" s="202" t="str">
        <f t="shared" si="11"/>
        <v> </v>
      </c>
      <c r="I2298" s="205" t="str">
        <f t="shared" si="7"/>
        <v/>
      </c>
      <c r="J2298" s="205"/>
      <c r="K2298" s="205"/>
    </row>
    <row r="2299" ht="14.25" customHeight="1">
      <c r="A2299" s="55">
        <v>47954.0</v>
      </c>
      <c r="B2299" s="55" t="str">
        <f t="shared" si="10"/>
        <v>Primer dia</v>
      </c>
      <c r="C2299" s="202">
        <f t="shared" si="1"/>
        <v>16</v>
      </c>
      <c r="D2299" s="202" t="str">
        <f t="shared" si="2"/>
        <v> </v>
      </c>
      <c r="E2299" s="202" t="str">
        <f t="shared" si="9"/>
        <v> </v>
      </c>
      <c r="F2299" s="55" t="str">
        <f t="shared" si="4"/>
        <v/>
      </c>
      <c r="G2299" s="202" t="str">
        <f t="shared" si="5"/>
        <v/>
      </c>
      <c r="H2299" s="202" t="str">
        <f t="shared" si="11"/>
        <v> </v>
      </c>
      <c r="I2299" s="205" t="str">
        <f t="shared" si="7"/>
        <v/>
      </c>
      <c r="J2299" s="205"/>
      <c r="K2299" s="205"/>
    </row>
    <row r="2300" ht="14.25" customHeight="1">
      <c r="A2300" s="55">
        <v>47955.0</v>
      </c>
      <c r="B2300" s="55" t="str">
        <f t="shared" si="10"/>
        <v>Primer dia</v>
      </c>
      <c r="C2300" s="202">
        <f t="shared" si="1"/>
        <v>17</v>
      </c>
      <c r="D2300" s="202" t="str">
        <f t="shared" si="2"/>
        <v> </v>
      </c>
      <c r="E2300" s="202">
        <f t="shared" si="9"/>
        <v>17</v>
      </c>
      <c r="F2300" s="55">
        <f t="shared" si="4"/>
        <v>47955</v>
      </c>
      <c r="G2300" s="202">
        <f t="shared" si="5"/>
        <v>126</v>
      </c>
      <c r="H2300" s="202" t="str">
        <f t="shared" si="11"/>
        <v> </v>
      </c>
      <c r="I2300" s="205" t="str">
        <f t="shared" si="7"/>
        <v/>
      </c>
      <c r="J2300" s="205"/>
      <c r="K2300" s="205"/>
    </row>
    <row r="2301" ht="14.25" customHeight="1">
      <c r="A2301" s="55">
        <v>47956.0</v>
      </c>
      <c r="B2301" s="55" t="str">
        <f t="shared" si="10"/>
        <v>Primer dia</v>
      </c>
      <c r="C2301" s="202">
        <f t="shared" si="1"/>
        <v>18</v>
      </c>
      <c r="D2301" s="202" t="str">
        <f t="shared" si="2"/>
        <v> </v>
      </c>
      <c r="E2301" s="202" t="str">
        <f t="shared" si="9"/>
        <v> </v>
      </c>
      <c r="F2301" s="55" t="str">
        <f t="shared" si="4"/>
        <v/>
      </c>
      <c r="G2301" s="202" t="str">
        <f t="shared" si="5"/>
        <v/>
      </c>
      <c r="H2301" s="202" t="str">
        <f t="shared" si="11"/>
        <v> </v>
      </c>
      <c r="I2301" s="205" t="str">
        <f t="shared" si="7"/>
        <v/>
      </c>
      <c r="J2301" s="205"/>
      <c r="K2301" s="205"/>
    </row>
    <row r="2302" ht="14.25" customHeight="1">
      <c r="A2302" s="55">
        <v>47957.0</v>
      </c>
      <c r="B2302" s="55" t="str">
        <f t="shared" si="10"/>
        <v>Primer dia</v>
      </c>
      <c r="C2302" s="202">
        <f t="shared" si="1"/>
        <v>19</v>
      </c>
      <c r="D2302" s="202" t="str">
        <f t="shared" si="2"/>
        <v> </v>
      </c>
      <c r="E2302" s="202" t="str">
        <f t="shared" si="9"/>
        <v> </v>
      </c>
      <c r="F2302" s="55" t="str">
        <f t="shared" si="4"/>
        <v/>
      </c>
      <c r="G2302" s="202" t="str">
        <f t="shared" si="5"/>
        <v/>
      </c>
      <c r="H2302" s="202" t="str">
        <f t="shared" si="11"/>
        <v> </v>
      </c>
      <c r="I2302" s="205" t="str">
        <f t="shared" si="7"/>
        <v/>
      </c>
      <c r="J2302" s="205"/>
      <c r="K2302" s="205"/>
    </row>
    <row r="2303" ht="14.25" customHeight="1">
      <c r="A2303" s="55">
        <v>47958.0</v>
      </c>
      <c r="B2303" s="55" t="str">
        <f t="shared" si="10"/>
        <v>Primer dia</v>
      </c>
      <c r="C2303" s="202">
        <f t="shared" si="1"/>
        <v>20</v>
      </c>
      <c r="D2303" s="202" t="str">
        <f t="shared" si="2"/>
        <v> </v>
      </c>
      <c r="E2303" s="202" t="str">
        <f t="shared" si="9"/>
        <v> </v>
      </c>
      <c r="F2303" s="55" t="str">
        <f t="shared" si="4"/>
        <v/>
      </c>
      <c r="G2303" s="202" t="str">
        <f t="shared" si="5"/>
        <v/>
      </c>
      <c r="H2303" s="202" t="str">
        <f t="shared" si="11"/>
        <v> </v>
      </c>
      <c r="I2303" s="205" t="str">
        <f t="shared" si="7"/>
        <v/>
      </c>
      <c r="J2303" s="205"/>
      <c r="K2303" s="205"/>
    </row>
    <row r="2304" ht="14.25" customHeight="1">
      <c r="A2304" s="55">
        <v>47959.0</v>
      </c>
      <c r="B2304" s="55" t="str">
        <f t="shared" si="10"/>
        <v>Primer dia</v>
      </c>
      <c r="C2304" s="202">
        <f t="shared" si="1"/>
        <v>21</v>
      </c>
      <c r="D2304" s="202" t="str">
        <f t="shared" si="2"/>
        <v> </v>
      </c>
      <c r="E2304" s="202" t="str">
        <f t="shared" si="9"/>
        <v> </v>
      </c>
      <c r="F2304" s="55" t="str">
        <f t="shared" si="4"/>
        <v/>
      </c>
      <c r="G2304" s="202" t="str">
        <f t="shared" si="5"/>
        <v/>
      </c>
      <c r="H2304" s="202" t="str">
        <f t="shared" si="11"/>
        <v> </v>
      </c>
      <c r="I2304" s="205" t="str">
        <f t="shared" si="7"/>
        <v/>
      </c>
      <c r="J2304" s="205"/>
      <c r="K2304" s="205"/>
    </row>
    <row r="2305" ht="14.25" customHeight="1">
      <c r="A2305" s="55">
        <v>47960.0</v>
      </c>
      <c r="B2305" s="55" t="str">
        <f t="shared" si="10"/>
        <v>Primer dia</v>
      </c>
      <c r="C2305" s="202">
        <f t="shared" si="1"/>
        <v>22</v>
      </c>
      <c r="D2305" s="202" t="str">
        <f t="shared" si="2"/>
        <v> </v>
      </c>
      <c r="E2305" s="202" t="str">
        <f t="shared" si="9"/>
        <v> </v>
      </c>
      <c r="F2305" s="55" t="str">
        <f t="shared" si="4"/>
        <v/>
      </c>
      <c r="G2305" s="202" t="str">
        <f t="shared" si="5"/>
        <v/>
      </c>
      <c r="H2305" s="202" t="str">
        <f t="shared" si="11"/>
        <v> </v>
      </c>
      <c r="I2305" s="205" t="str">
        <f t="shared" si="7"/>
        <v/>
      </c>
      <c r="J2305" s="205"/>
      <c r="K2305" s="205"/>
    </row>
    <row r="2306" ht="14.25" customHeight="1">
      <c r="A2306" s="55">
        <v>47961.0</v>
      </c>
      <c r="B2306" s="55" t="str">
        <f t="shared" si="10"/>
        <v>Primer dia</v>
      </c>
      <c r="C2306" s="202">
        <f t="shared" si="1"/>
        <v>23</v>
      </c>
      <c r="D2306" s="202" t="str">
        <f t="shared" si="2"/>
        <v> </v>
      </c>
      <c r="E2306" s="202" t="str">
        <f t="shared" si="9"/>
        <v> </v>
      </c>
      <c r="F2306" s="55" t="str">
        <f t="shared" si="4"/>
        <v/>
      </c>
      <c r="G2306" s="202" t="str">
        <f t="shared" si="5"/>
        <v/>
      </c>
      <c r="H2306" s="202" t="str">
        <f t="shared" si="11"/>
        <v> </v>
      </c>
      <c r="I2306" s="205" t="str">
        <f t="shared" si="7"/>
        <v/>
      </c>
      <c r="J2306" s="205"/>
      <c r="K2306" s="205"/>
    </row>
    <row r="2307" ht="14.25" customHeight="1">
      <c r="A2307" s="55">
        <v>47962.0</v>
      </c>
      <c r="B2307" s="55" t="str">
        <f t="shared" si="10"/>
        <v>Primer dia</v>
      </c>
      <c r="C2307" s="202">
        <f t="shared" si="1"/>
        <v>24</v>
      </c>
      <c r="D2307" s="202" t="str">
        <f t="shared" si="2"/>
        <v> </v>
      </c>
      <c r="E2307" s="202" t="str">
        <f t="shared" si="9"/>
        <v> </v>
      </c>
      <c r="F2307" s="55" t="str">
        <f t="shared" si="4"/>
        <v/>
      </c>
      <c r="G2307" s="202" t="str">
        <f t="shared" si="5"/>
        <v/>
      </c>
      <c r="H2307" s="202" t="str">
        <f t="shared" si="11"/>
        <v> </v>
      </c>
      <c r="I2307" s="205" t="str">
        <f t="shared" si="7"/>
        <v/>
      </c>
      <c r="J2307" s="205"/>
      <c r="K2307" s="205"/>
    </row>
    <row r="2308" ht="14.25" customHeight="1">
      <c r="A2308" s="55">
        <v>47963.0</v>
      </c>
      <c r="B2308" s="55" t="str">
        <f t="shared" si="10"/>
        <v>Primer dia</v>
      </c>
      <c r="C2308" s="202">
        <f t="shared" si="1"/>
        <v>25</v>
      </c>
      <c r="D2308" s="202" t="str">
        <f t="shared" si="2"/>
        <v> </v>
      </c>
      <c r="E2308" s="202" t="str">
        <f t="shared" si="9"/>
        <v> </v>
      </c>
      <c r="F2308" s="55" t="str">
        <f t="shared" si="4"/>
        <v/>
      </c>
      <c r="G2308" s="202" t="str">
        <f t="shared" si="5"/>
        <v/>
      </c>
      <c r="H2308" s="202" t="str">
        <f t="shared" si="11"/>
        <v> </v>
      </c>
      <c r="I2308" s="205" t="str">
        <f t="shared" si="7"/>
        <v/>
      </c>
      <c r="J2308" s="205"/>
      <c r="K2308" s="205"/>
    </row>
    <row r="2309" ht="14.25" customHeight="1">
      <c r="A2309" s="55">
        <v>47964.0</v>
      </c>
      <c r="B2309" s="55" t="str">
        <f t="shared" si="10"/>
        <v>Primer dia</v>
      </c>
      <c r="C2309" s="202">
        <f t="shared" si="1"/>
        <v>26</v>
      </c>
      <c r="D2309" s="202" t="str">
        <f t="shared" si="2"/>
        <v> </v>
      </c>
      <c r="E2309" s="202" t="str">
        <f t="shared" si="9"/>
        <v> </v>
      </c>
      <c r="F2309" s="55" t="str">
        <f t="shared" si="4"/>
        <v/>
      </c>
      <c r="G2309" s="202" t="str">
        <f t="shared" si="5"/>
        <v/>
      </c>
      <c r="H2309" s="202" t="str">
        <f t="shared" si="11"/>
        <v> </v>
      </c>
      <c r="I2309" s="205" t="str">
        <f t="shared" si="7"/>
        <v/>
      </c>
      <c r="J2309" s="205"/>
      <c r="K2309" s="205"/>
    </row>
    <row r="2310" ht="14.25" customHeight="1">
      <c r="A2310" s="55">
        <v>47965.0</v>
      </c>
      <c r="B2310" s="55" t="str">
        <f t="shared" si="10"/>
        <v>Primer dia</v>
      </c>
      <c r="C2310" s="202">
        <f t="shared" si="1"/>
        <v>27</v>
      </c>
      <c r="D2310" s="202" t="str">
        <f t="shared" si="2"/>
        <v> </v>
      </c>
      <c r="E2310" s="202" t="str">
        <f t="shared" si="9"/>
        <v> </v>
      </c>
      <c r="F2310" s="55" t="str">
        <f t="shared" si="4"/>
        <v/>
      </c>
      <c r="G2310" s="202" t="str">
        <f t="shared" si="5"/>
        <v/>
      </c>
      <c r="H2310" s="202" t="str">
        <f t="shared" si="11"/>
        <v> </v>
      </c>
      <c r="I2310" s="205" t="str">
        <f t="shared" si="7"/>
        <v/>
      </c>
      <c r="J2310" s="205"/>
      <c r="K2310" s="205"/>
    </row>
    <row r="2311" ht="14.25" customHeight="1">
      <c r="A2311" s="55">
        <v>47966.0</v>
      </c>
      <c r="B2311" s="55" t="str">
        <f t="shared" si="10"/>
        <v>Primer dia</v>
      </c>
      <c r="C2311" s="202">
        <f t="shared" si="1"/>
        <v>28</v>
      </c>
      <c r="D2311" s="202" t="str">
        <f t="shared" si="2"/>
        <v> </v>
      </c>
      <c r="E2311" s="202" t="str">
        <f t="shared" si="9"/>
        <v> </v>
      </c>
      <c r="F2311" s="55" t="str">
        <f t="shared" si="4"/>
        <v/>
      </c>
      <c r="G2311" s="202" t="str">
        <f t="shared" si="5"/>
        <v/>
      </c>
      <c r="H2311" s="202" t="str">
        <f t="shared" si="11"/>
        <v> </v>
      </c>
      <c r="I2311" s="205" t="str">
        <f t="shared" si="7"/>
        <v/>
      </c>
      <c r="J2311" s="205"/>
      <c r="K2311" s="205"/>
    </row>
    <row r="2312" ht="14.25" customHeight="1">
      <c r="A2312" s="55">
        <v>47967.0</v>
      </c>
      <c r="B2312" s="55" t="str">
        <f t="shared" si="10"/>
        <v>Primer dia</v>
      </c>
      <c r="C2312" s="202">
        <f t="shared" si="1"/>
        <v>29</v>
      </c>
      <c r="D2312" s="202" t="str">
        <f t="shared" si="2"/>
        <v> </v>
      </c>
      <c r="E2312" s="202" t="str">
        <f t="shared" si="9"/>
        <v> </v>
      </c>
      <c r="F2312" s="55" t="str">
        <f t="shared" si="4"/>
        <v/>
      </c>
      <c r="G2312" s="202" t="str">
        <f t="shared" si="5"/>
        <v/>
      </c>
      <c r="H2312" s="202" t="str">
        <f t="shared" si="11"/>
        <v> </v>
      </c>
      <c r="I2312" s="205" t="str">
        <f t="shared" si="7"/>
        <v/>
      </c>
      <c r="J2312" s="205"/>
      <c r="K2312" s="205"/>
    </row>
    <row r="2313" ht="14.25" customHeight="1">
      <c r="A2313" s="55">
        <v>47968.0</v>
      </c>
      <c r="B2313" s="55" t="str">
        <f t="shared" si="10"/>
        <v>Primer dia</v>
      </c>
      <c r="C2313" s="202">
        <f t="shared" si="1"/>
        <v>30</v>
      </c>
      <c r="D2313" s="202" t="str">
        <f t="shared" si="2"/>
        <v> </v>
      </c>
      <c r="E2313" s="202" t="str">
        <f t="shared" si="9"/>
        <v> </v>
      </c>
      <c r="F2313" s="55" t="str">
        <f t="shared" si="4"/>
        <v/>
      </c>
      <c r="G2313" s="202" t="str">
        <f t="shared" si="5"/>
        <v/>
      </c>
      <c r="H2313" s="202" t="str">
        <f t="shared" si="11"/>
        <v> </v>
      </c>
      <c r="I2313" s="205" t="str">
        <f t="shared" si="7"/>
        <v/>
      </c>
      <c r="J2313" s="205"/>
      <c r="K2313" s="205"/>
    </row>
    <row r="2314" ht="14.25" customHeight="1">
      <c r="A2314" s="55">
        <v>47969.0</v>
      </c>
      <c r="B2314" s="55" t="str">
        <f t="shared" si="10"/>
        <v>Primer dia</v>
      </c>
      <c r="C2314" s="202">
        <f t="shared" si="1"/>
        <v>1</v>
      </c>
      <c r="D2314" s="202" t="str">
        <f t="shared" si="2"/>
        <v> </v>
      </c>
      <c r="E2314" s="202" t="str">
        <f t="shared" si="9"/>
        <v> </v>
      </c>
      <c r="F2314" s="55" t="str">
        <f t="shared" si="4"/>
        <v/>
      </c>
      <c r="G2314" s="202" t="str">
        <f t="shared" si="5"/>
        <v/>
      </c>
      <c r="H2314" s="202" t="str">
        <f t="shared" si="11"/>
        <v> </v>
      </c>
      <c r="I2314" s="205" t="str">
        <f t="shared" si="7"/>
        <v/>
      </c>
      <c r="J2314" s="205"/>
      <c r="K2314" s="205"/>
    </row>
    <row r="2315" ht="14.25" customHeight="1">
      <c r="A2315" s="55">
        <v>47970.0</v>
      </c>
      <c r="B2315" s="55" t="str">
        <f t="shared" si="10"/>
        <v>Primer dia</v>
      </c>
      <c r="C2315" s="202">
        <f t="shared" si="1"/>
        <v>2</v>
      </c>
      <c r="D2315" s="202" t="str">
        <f t="shared" si="2"/>
        <v> </v>
      </c>
      <c r="E2315" s="202">
        <f t="shared" si="9"/>
        <v>2</v>
      </c>
      <c r="F2315" s="55">
        <f t="shared" si="4"/>
        <v>47970</v>
      </c>
      <c r="G2315" s="202">
        <f t="shared" si="5"/>
        <v>127</v>
      </c>
      <c r="H2315" s="202" t="str">
        <f t="shared" si="11"/>
        <v> </v>
      </c>
      <c r="I2315" s="205" t="str">
        <f t="shared" si="7"/>
        <v/>
      </c>
      <c r="J2315" s="205"/>
      <c r="K2315" s="205"/>
    </row>
    <row r="2316" ht="14.25" customHeight="1">
      <c r="A2316" s="55">
        <v>47971.0</v>
      </c>
      <c r="B2316" s="55" t="str">
        <f t="shared" si="10"/>
        <v>Primer dia</v>
      </c>
      <c r="C2316" s="202">
        <f t="shared" si="1"/>
        <v>3</v>
      </c>
      <c r="D2316" s="202" t="str">
        <f t="shared" si="2"/>
        <v> </v>
      </c>
      <c r="E2316" s="202" t="str">
        <f t="shared" si="9"/>
        <v> </v>
      </c>
      <c r="F2316" s="55" t="str">
        <f t="shared" si="4"/>
        <v/>
      </c>
      <c r="G2316" s="202" t="str">
        <f t="shared" si="5"/>
        <v/>
      </c>
      <c r="H2316" s="202" t="str">
        <f t="shared" si="11"/>
        <v> </v>
      </c>
      <c r="I2316" s="205" t="str">
        <f t="shared" si="7"/>
        <v/>
      </c>
      <c r="J2316" s="205"/>
      <c r="K2316" s="205"/>
    </row>
    <row r="2317" ht="14.25" customHeight="1">
      <c r="A2317" s="55">
        <v>47972.0</v>
      </c>
      <c r="B2317" s="55" t="str">
        <f t="shared" si="10"/>
        <v>Primer dia</v>
      </c>
      <c r="C2317" s="202">
        <f t="shared" si="1"/>
        <v>4</v>
      </c>
      <c r="D2317" s="202" t="str">
        <f t="shared" si="2"/>
        <v> </v>
      </c>
      <c r="E2317" s="202" t="str">
        <f t="shared" si="9"/>
        <v> </v>
      </c>
      <c r="F2317" s="55" t="str">
        <f t="shared" si="4"/>
        <v/>
      </c>
      <c r="G2317" s="202" t="str">
        <f t="shared" si="5"/>
        <v/>
      </c>
      <c r="H2317" s="202" t="str">
        <f t="shared" si="11"/>
        <v> </v>
      </c>
      <c r="I2317" s="205" t="str">
        <f t="shared" si="7"/>
        <v/>
      </c>
      <c r="J2317" s="205"/>
      <c r="K2317" s="205"/>
    </row>
    <row r="2318" ht="14.25" customHeight="1">
      <c r="A2318" s="55">
        <v>47973.0</v>
      </c>
      <c r="B2318" s="55" t="str">
        <f t="shared" si="10"/>
        <v>Primer dia</v>
      </c>
      <c r="C2318" s="202">
        <f t="shared" si="1"/>
        <v>5</v>
      </c>
      <c r="D2318" s="202" t="str">
        <f t="shared" si="2"/>
        <v> </v>
      </c>
      <c r="E2318" s="202" t="str">
        <f t="shared" si="9"/>
        <v> </v>
      </c>
      <c r="F2318" s="55" t="str">
        <f t="shared" si="4"/>
        <v/>
      </c>
      <c r="G2318" s="202" t="str">
        <f t="shared" si="5"/>
        <v/>
      </c>
      <c r="H2318" s="202" t="str">
        <f t="shared" si="11"/>
        <v> </v>
      </c>
      <c r="I2318" s="205" t="str">
        <f t="shared" si="7"/>
        <v/>
      </c>
      <c r="J2318" s="205"/>
      <c r="K2318" s="205"/>
    </row>
    <row r="2319" ht="14.25" customHeight="1">
      <c r="A2319" s="55">
        <v>47974.0</v>
      </c>
      <c r="B2319" s="55" t="str">
        <f t="shared" si="10"/>
        <v>Primer dia</v>
      </c>
      <c r="C2319" s="202">
        <f t="shared" si="1"/>
        <v>6</v>
      </c>
      <c r="D2319" s="202" t="str">
        <f t="shared" si="2"/>
        <v> </v>
      </c>
      <c r="E2319" s="202" t="str">
        <f t="shared" si="9"/>
        <v> </v>
      </c>
      <c r="F2319" s="55" t="str">
        <f t="shared" si="4"/>
        <v/>
      </c>
      <c r="G2319" s="202" t="str">
        <f t="shared" si="5"/>
        <v/>
      </c>
      <c r="H2319" s="202" t="str">
        <f t="shared" si="11"/>
        <v> </v>
      </c>
      <c r="I2319" s="205" t="str">
        <f t="shared" si="7"/>
        <v/>
      </c>
      <c r="J2319" s="205"/>
      <c r="K2319" s="205"/>
    </row>
    <row r="2320" ht="14.25" customHeight="1">
      <c r="A2320" s="55">
        <v>47975.0</v>
      </c>
      <c r="B2320" s="55" t="str">
        <f t="shared" si="10"/>
        <v>Primer dia</v>
      </c>
      <c r="C2320" s="202">
        <f t="shared" si="1"/>
        <v>7</v>
      </c>
      <c r="D2320" s="202" t="str">
        <f t="shared" si="2"/>
        <v> </v>
      </c>
      <c r="E2320" s="202" t="str">
        <f t="shared" si="9"/>
        <v> </v>
      </c>
      <c r="F2320" s="55" t="str">
        <f t="shared" si="4"/>
        <v/>
      </c>
      <c r="G2320" s="202" t="str">
        <f t="shared" si="5"/>
        <v/>
      </c>
      <c r="H2320" s="202" t="str">
        <f t="shared" si="11"/>
        <v> </v>
      </c>
      <c r="I2320" s="205" t="str">
        <f t="shared" si="7"/>
        <v/>
      </c>
      <c r="J2320" s="205"/>
      <c r="K2320" s="205"/>
    </row>
    <row r="2321" ht="14.25" customHeight="1">
      <c r="A2321" s="55">
        <v>47976.0</v>
      </c>
      <c r="B2321" s="55" t="str">
        <f t="shared" si="10"/>
        <v>Primer dia</v>
      </c>
      <c r="C2321" s="202">
        <f t="shared" si="1"/>
        <v>8</v>
      </c>
      <c r="D2321" s="202" t="str">
        <f t="shared" si="2"/>
        <v> </v>
      </c>
      <c r="E2321" s="202" t="str">
        <f t="shared" si="9"/>
        <v> </v>
      </c>
      <c r="F2321" s="55" t="str">
        <f t="shared" si="4"/>
        <v/>
      </c>
      <c r="G2321" s="202" t="str">
        <f t="shared" si="5"/>
        <v/>
      </c>
      <c r="H2321" s="202" t="str">
        <f t="shared" si="11"/>
        <v> </v>
      </c>
      <c r="I2321" s="205" t="str">
        <f t="shared" si="7"/>
        <v/>
      </c>
      <c r="J2321" s="205"/>
      <c r="K2321" s="205"/>
    </row>
    <row r="2322" ht="14.25" customHeight="1">
      <c r="A2322" s="55">
        <v>47977.0</v>
      </c>
      <c r="B2322" s="55" t="str">
        <f t="shared" si="10"/>
        <v>Primer dia</v>
      </c>
      <c r="C2322" s="202">
        <f t="shared" si="1"/>
        <v>9</v>
      </c>
      <c r="D2322" s="202" t="str">
        <f t="shared" si="2"/>
        <v> </v>
      </c>
      <c r="E2322" s="202" t="str">
        <f t="shared" si="9"/>
        <v> </v>
      </c>
      <c r="F2322" s="55" t="str">
        <f t="shared" si="4"/>
        <v/>
      </c>
      <c r="G2322" s="202" t="str">
        <f t="shared" si="5"/>
        <v/>
      </c>
      <c r="H2322" s="202" t="str">
        <f t="shared" si="11"/>
        <v> </v>
      </c>
      <c r="I2322" s="205" t="str">
        <f t="shared" si="7"/>
        <v/>
      </c>
      <c r="J2322" s="205"/>
      <c r="K2322" s="205"/>
    </row>
    <row r="2323" ht="14.25" customHeight="1">
      <c r="A2323" s="55">
        <v>47978.0</v>
      </c>
      <c r="B2323" s="55" t="str">
        <f t="shared" si="10"/>
        <v>Primer dia</v>
      </c>
      <c r="C2323" s="202">
        <f t="shared" si="1"/>
        <v>10</v>
      </c>
      <c r="D2323" s="202" t="str">
        <f t="shared" si="2"/>
        <v> </v>
      </c>
      <c r="E2323" s="202" t="str">
        <f t="shared" si="9"/>
        <v> </v>
      </c>
      <c r="F2323" s="55" t="str">
        <f t="shared" si="4"/>
        <v/>
      </c>
      <c r="G2323" s="202" t="str">
        <f t="shared" si="5"/>
        <v/>
      </c>
      <c r="H2323" s="202" t="str">
        <f t="shared" si="11"/>
        <v> </v>
      </c>
      <c r="I2323" s="205" t="str">
        <f t="shared" si="7"/>
        <v/>
      </c>
      <c r="J2323" s="205"/>
      <c r="K2323" s="205"/>
    </row>
    <row r="2324" ht="14.25" customHeight="1">
      <c r="A2324" s="55">
        <v>47979.0</v>
      </c>
      <c r="B2324" s="55" t="str">
        <f t="shared" si="10"/>
        <v>Primer dia</v>
      </c>
      <c r="C2324" s="202">
        <f t="shared" si="1"/>
        <v>11</v>
      </c>
      <c r="D2324" s="202" t="str">
        <f t="shared" si="2"/>
        <v> </v>
      </c>
      <c r="E2324" s="202" t="str">
        <f t="shared" si="9"/>
        <v> </v>
      </c>
      <c r="F2324" s="55" t="str">
        <f t="shared" si="4"/>
        <v/>
      </c>
      <c r="G2324" s="202" t="str">
        <f t="shared" si="5"/>
        <v/>
      </c>
      <c r="H2324" s="202" t="str">
        <f t="shared" si="11"/>
        <v> </v>
      </c>
      <c r="I2324" s="205" t="str">
        <f t="shared" si="7"/>
        <v/>
      </c>
      <c r="J2324" s="205"/>
      <c r="K2324" s="205"/>
    </row>
    <row r="2325" ht="14.25" customHeight="1">
      <c r="A2325" s="55">
        <v>47980.0</v>
      </c>
      <c r="B2325" s="55" t="str">
        <f t="shared" si="10"/>
        <v>Primer dia</v>
      </c>
      <c r="C2325" s="202">
        <f t="shared" si="1"/>
        <v>12</v>
      </c>
      <c r="D2325" s="202" t="str">
        <f t="shared" si="2"/>
        <v> </v>
      </c>
      <c r="E2325" s="202" t="str">
        <f t="shared" si="9"/>
        <v> </v>
      </c>
      <c r="F2325" s="55" t="str">
        <f t="shared" si="4"/>
        <v/>
      </c>
      <c r="G2325" s="202" t="str">
        <f t="shared" si="5"/>
        <v/>
      </c>
      <c r="H2325" s="202" t="str">
        <f t="shared" si="11"/>
        <v> </v>
      </c>
      <c r="I2325" s="205" t="str">
        <f t="shared" si="7"/>
        <v/>
      </c>
      <c r="J2325" s="205"/>
      <c r="K2325" s="205"/>
    </row>
    <row r="2326" ht="14.25" customHeight="1">
      <c r="A2326" s="55">
        <v>47981.0</v>
      </c>
      <c r="B2326" s="55" t="str">
        <f t="shared" si="10"/>
        <v>Primer dia</v>
      </c>
      <c r="C2326" s="202">
        <f t="shared" si="1"/>
        <v>13</v>
      </c>
      <c r="D2326" s="202" t="str">
        <f t="shared" si="2"/>
        <v> </v>
      </c>
      <c r="E2326" s="202" t="str">
        <f t="shared" si="9"/>
        <v> </v>
      </c>
      <c r="F2326" s="55" t="str">
        <f t="shared" si="4"/>
        <v/>
      </c>
      <c r="G2326" s="202" t="str">
        <f t="shared" si="5"/>
        <v/>
      </c>
      <c r="H2326" s="202" t="str">
        <f t="shared" si="11"/>
        <v> </v>
      </c>
      <c r="I2326" s="205" t="str">
        <f t="shared" si="7"/>
        <v/>
      </c>
      <c r="J2326" s="205"/>
      <c r="K2326" s="205"/>
    </row>
    <row r="2327" ht="14.25" customHeight="1">
      <c r="A2327" s="55">
        <v>47982.0</v>
      </c>
      <c r="B2327" s="55" t="str">
        <f t="shared" si="10"/>
        <v>Primer dia</v>
      </c>
      <c r="C2327" s="202">
        <f t="shared" si="1"/>
        <v>14</v>
      </c>
      <c r="D2327" s="202" t="str">
        <f t="shared" si="2"/>
        <v> </v>
      </c>
      <c r="E2327" s="202" t="str">
        <f t="shared" si="9"/>
        <v> </v>
      </c>
      <c r="F2327" s="55" t="str">
        <f t="shared" si="4"/>
        <v/>
      </c>
      <c r="G2327" s="202" t="str">
        <f t="shared" si="5"/>
        <v/>
      </c>
      <c r="H2327" s="202" t="str">
        <f t="shared" si="11"/>
        <v> </v>
      </c>
      <c r="I2327" s="205" t="str">
        <f t="shared" si="7"/>
        <v/>
      </c>
      <c r="J2327" s="205"/>
      <c r="K2327" s="205"/>
    </row>
    <row r="2328" ht="14.25" customHeight="1">
      <c r="A2328" s="55">
        <v>47983.0</v>
      </c>
      <c r="B2328" s="55" t="str">
        <f t="shared" si="10"/>
        <v>Primer dia</v>
      </c>
      <c r="C2328" s="202">
        <f t="shared" si="1"/>
        <v>15</v>
      </c>
      <c r="D2328" s="202" t="str">
        <f t="shared" si="2"/>
        <v> </v>
      </c>
      <c r="E2328" s="202" t="str">
        <f t="shared" si="9"/>
        <v> </v>
      </c>
      <c r="F2328" s="55" t="str">
        <f t="shared" si="4"/>
        <v/>
      </c>
      <c r="G2328" s="202" t="str">
        <f t="shared" si="5"/>
        <v/>
      </c>
      <c r="H2328" s="202" t="str">
        <f t="shared" si="11"/>
        <v> </v>
      </c>
      <c r="I2328" s="205" t="str">
        <f t="shared" si="7"/>
        <v/>
      </c>
      <c r="J2328" s="205"/>
      <c r="K2328" s="205"/>
    </row>
    <row r="2329" ht="14.25" customHeight="1">
      <c r="A2329" s="55">
        <v>47984.0</v>
      </c>
      <c r="B2329" s="55" t="str">
        <f t="shared" si="10"/>
        <v>Primer dia</v>
      </c>
      <c r="C2329" s="202">
        <f t="shared" si="1"/>
        <v>16</v>
      </c>
      <c r="D2329" s="202" t="str">
        <f t="shared" si="2"/>
        <v> </v>
      </c>
      <c r="E2329" s="202" t="str">
        <f t="shared" si="9"/>
        <v> </v>
      </c>
      <c r="F2329" s="55" t="str">
        <f t="shared" si="4"/>
        <v/>
      </c>
      <c r="G2329" s="202" t="str">
        <f t="shared" si="5"/>
        <v/>
      </c>
      <c r="H2329" s="202" t="str">
        <f t="shared" si="11"/>
        <v> </v>
      </c>
      <c r="I2329" s="205" t="str">
        <f t="shared" si="7"/>
        <v/>
      </c>
      <c r="J2329" s="205"/>
      <c r="K2329" s="205"/>
    </row>
    <row r="2330" ht="14.25" customHeight="1">
      <c r="A2330" s="55">
        <v>47985.0</v>
      </c>
      <c r="B2330" s="55" t="str">
        <f t="shared" si="10"/>
        <v>Primer dia</v>
      </c>
      <c r="C2330" s="202">
        <f t="shared" si="1"/>
        <v>17</v>
      </c>
      <c r="D2330" s="202" t="str">
        <f t="shared" si="2"/>
        <v> </v>
      </c>
      <c r="E2330" s="202">
        <f t="shared" si="9"/>
        <v>17</v>
      </c>
      <c r="F2330" s="55">
        <f t="shared" si="4"/>
        <v>47985</v>
      </c>
      <c r="G2330" s="202">
        <f t="shared" si="5"/>
        <v>128</v>
      </c>
      <c r="H2330" s="202" t="str">
        <f t="shared" si="11"/>
        <v> </v>
      </c>
      <c r="I2330" s="205" t="str">
        <f t="shared" si="7"/>
        <v/>
      </c>
      <c r="J2330" s="205"/>
      <c r="K2330" s="205"/>
    </row>
    <row r="2331" ht="14.25" customHeight="1">
      <c r="A2331" s="55">
        <v>47986.0</v>
      </c>
      <c r="B2331" s="55" t="str">
        <f t="shared" si="10"/>
        <v>Primer dia</v>
      </c>
      <c r="C2331" s="202">
        <f t="shared" si="1"/>
        <v>18</v>
      </c>
      <c r="D2331" s="202" t="str">
        <f t="shared" si="2"/>
        <v> </v>
      </c>
      <c r="E2331" s="202" t="str">
        <f t="shared" si="9"/>
        <v> </v>
      </c>
      <c r="F2331" s="55" t="str">
        <f t="shared" si="4"/>
        <v/>
      </c>
      <c r="G2331" s="202" t="str">
        <f t="shared" si="5"/>
        <v/>
      </c>
      <c r="H2331" s="202" t="str">
        <f t="shared" si="11"/>
        <v> </v>
      </c>
      <c r="I2331" s="205" t="str">
        <f t="shared" si="7"/>
        <v/>
      </c>
      <c r="J2331" s="205"/>
      <c r="K2331" s="205"/>
    </row>
    <row r="2332" ht="14.25" customHeight="1">
      <c r="A2332" s="55">
        <v>47987.0</v>
      </c>
      <c r="B2332" s="55" t="str">
        <f t="shared" si="10"/>
        <v>Primer dia</v>
      </c>
      <c r="C2332" s="202">
        <f t="shared" si="1"/>
        <v>19</v>
      </c>
      <c r="D2332" s="202" t="str">
        <f t="shared" si="2"/>
        <v> </v>
      </c>
      <c r="E2332" s="202" t="str">
        <f t="shared" si="9"/>
        <v> </v>
      </c>
      <c r="F2332" s="55" t="str">
        <f t="shared" si="4"/>
        <v/>
      </c>
      <c r="G2332" s="202" t="str">
        <f t="shared" si="5"/>
        <v/>
      </c>
      <c r="H2332" s="202" t="str">
        <f t="shared" si="11"/>
        <v> </v>
      </c>
      <c r="I2332" s="205" t="str">
        <f t="shared" si="7"/>
        <v/>
      </c>
      <c r="J2332" s="205"/>
      <c r="K2332" s="205"/>
    </row>
    <row r="2333" ht="14.25" customHeight="1">
      <c r="A2333" s="55">
        <v>47988.0</v>
      </c>
      <c r="B2333" s="55" t="str">
        <f t="shared" si="10"/>
        <v>Primer dia</v>
      </c>
      <c r="C2333" s="202">
        <f t="shared" si="1"/>
        <v>20</v>
      </c>
      <c r="D2333" s="202" t="str">
        <f t="shared" si="2"/>
        <v> </v>
      </c>
      <c r="E2333" s="202" t="str">
        <f t="shared" si="9"/>
        <v> </v>
      </c>
      <c r="F2333" s="55" t="str">
        <f t="shared" si="4"/>
        <v/>
      </c>
      <c r="G2333" s="202" t="str">
        <f t="shared" si="5"/>
        <v/>
      </c>
      <c r="H2333" s="202" t="str">
        <f t="shared" si="11"/>
        <v> </v>
      </c>
      <c r="I2333" s="205" t="str">
        <f t="shared" si="7"/>
        <v/>
      </c>
      <c r="J2333" s="205"/>
      <c r="K2333" s="205"/>
    </row>
    <row r="2334" ht="14.25" customHeight="1">
      <c r="A2334" s="55">
        <v>47989.0</v>
      </c>
      <c r="B2334" s="55" t="str">
        <f t="shared" si="10"/>
        <v>Primer dia</v>
      </c>
      <c r="C2334" s="202">
        <f t="shared" si="1"/>
        <v>21</v>
      </c>
      <c r="D2334" s="202" t="str">
        <f t="shared" si="2"/>
        <v> </v>
      </c>
      <c r="E2334" s="202" t="str">
        <f t="shared" si="9"/>
        <v> </v>
      </c>
      <c r="F2334" s="55" t="str">
        <f t="shared" si="4"/>
        <v/>
      </c>
      <c r="G2334" s="202" t="str">
        <f t="shared" si="5"/>
        <v/>
      </c>
      <c r="H2334" s="202" t="str">
        <f t="shared" si="11"/>
        <v> </v>
      </c>
      <c r="I2334" s="205" t="str">
        <f t="shared" si="7"/>
        <v/>
      </c>
      <c r="J2334" s="205"/>
      <c r="K2334" s="205"/>
    </row>
    <row r="2335" ht="14.25" customHeight="1">
      <c r="A2335" s="55">
        <v>47990.0</v>
      </c>
      <c r="B2335" s="55" t="str">
        <f t="shared" si="10"/>
        <v>Primer dia</v>
      </c>
      <c r="C2335" s="202">
        <f t="shared" si="1"/>
        <v>22</v>
      </c>
      <c r="D2335" s="202" t="str">
        <f t="shared" si="2"/>
        <v> </v>
      </c>
      <c r="E2335" s="202" t="str">
        <f t="shared" si="9"/>
        <v> </v>
      </c>
      <c r="F2335" s="55" t="str">
        <f t="shared" si="4"/>
        <v/>
      </c>
      <c r="G2335" s="202" t="str">
        <f t="shared" si="5"/>
        <v/>
      </c>
      <c r="H2335" s="202" t="str">
        <f t="shared" si="11"/>
        <v> </v>
      </c>
      <c r="I2335" s="205" t="str">
        <f t="shared" si="7"/>
        <v/>
      </c>
      <c r="J2335" s="205"/>
      <c r="K2335" s="205"/>
    </row>
    <row r="2336" ht="14.25" customHeight="1">
      <c r="A2336" s="55">
        <v>47991.0</v>
      </c>
      <c r="B2336" s="55" t="str">
        <f t="shared" si="10"/>
        <v>Primer dia</v>
      </c>
      <c r="C2336" s="202">
        <f t="shared" si="1"/>
        <v>23</v>
      </c>
      <c r="D2336" s="202" t="str">
        <f t="shared" si="2"/>
        <v> </v>
      </c>
      <c r="E2336" s="202" t="str">
        <f t="shared" si="9"/>
        <v> </v>
      </c>
      <c r="F2336" s="55" t="str">
        <f t="shared" si="4"/>
        <v/>
      </c>
      <c r="G2336" s="202" t="str">
        <f t="shared" si="5"/>
        <v/>
      </c>
      <c r="H2336" s="202" t="str">
        <f t="shared" si="11"/>
        <v> </v>
      </c>
      <c r="I2336" s="205" t="str">
        <f t="shared" si="7"/>
        <v/>
      </c>
      <c r="J2336" s="205"/>
      <c r="K2336" s="205"/>
    </row>
    <row r="2337" ht="14.25" customHeight="1">
      <c r="A2337" s="55">
        <v>47992.0</v>
      </c>
      <c r="B2337" s="55" t="str">
        <f t="shared" si="10"/>
        <v>Primer dia</v>
      </c>
      <c r="C2337" s="202">
        <f t="shared" si="1"/>
        <v>24</v>
      </c>
      <c r="D2337" s="202" t="str">
        <f t="shared" si="2"/>
        <v> </v>
      </c>
      <c r="E2337" s="202" t="str">
        <f t="shared" si="9"/>
        <v> </v>
      </c>
      <c r="F2337" s="55" t="str">
        <f t="shared" si="4"/>
        <v/>
      </c>
      <c r="G2337" s="202" t="str">
        <f t="shared" si="5"/>
        <v/>
      </c>
      <c r="H2337" s="202" t="str">
        <f t="shared" si="11"/>
        <v> </v>
      </c>
      <c r="I2337" s="205" t="str">
        <f t="shared" si="7"/>
        <v/>
      </c>
      <c r="J2337" s="205"/>
      <c r="K2337" s="205"/>
    </row>
    <row r="2338" ht="14.25" customHeight="1">
      <c r="A2338" s="55">
        <v>47993.0</v>
      </c>
      <c r="B2338" s="55" t="str">
        <f t="shared" si="10"/>
        <v>Primer dia</v>
      </c>
      <c r="C2338" s="202">
        <f t="shared" si="1"/>
        <v>25</v>
      </c>
      <c r="D2338" s="202" t="str">
        <f t="shared" si="2"/>
        <v> </v>
      </c>
      <c r="E2338" s="202" t="str">
        <f t="shared" si="9"/>
        <v> </v>
      </c>
      <c r="F2338" s="55" t="str">
        <f t="shared" si="4"/>
        <v/>
      </c>
      <c r="G2338" s="202" t="str">
        <f t="shared" si="5"/>
        <v/>
      </c>
      <c r="H2338" s="202" t="str">
        <f t="shared" si="11"/>
        <v> </v>
      </c>
      <c r="I2338" s="205" t="str">
        <f t="shared" si="7"/>
        <v/>
      </c>
      <c r="J2338" s="205"/>
      <c r="K2338" s="205"/>
    </row>
    <row r="2339" ht="14.25" customHeight="1">
      <c r="A2339" s="55">
        <v>47994.0</v>
      </c>
      <c r="B2339" s="55" t="str">
        <f t="shared" si="10"/>
        <v>Primer dia</v>
      </c>
      <c r="C2339" s="202">
        <f t="shared" si="1"/>
        <v>26</v>
      </c>
      <c r="D2339" s="202" t="str">
        <f t="shared" si="2"/>
        <v> </v>
      </c>
      <c r="E2339" s="202" t="str">
        <f t="shared" si="9"/>
        <v> </v>
      </c>
      <c r="F2339" s="55" t="str">
        <f t="shared" si="4"/>
        <v/>
      </c>
      <c r="G2339" s="202" t="str">
        <f t="shared" si="5"/>
        <v/>
      </c>
      <c r="H2339" s="202" t="str">
        <f t="shared" si="11"/>
        <v> </v>
      </c>
      <c r="I2339" s="205" t="str">
        <f t="shared" si="7"/>
        <v/>
      </c>
      <c r="J2339" s="205"/>
      <c r="K2339" s="205"/>
    </row>
    <row r="2340" ht="14.25" customHeight="1">
      <c r="A2340" s="55">
        <v>47995.0</v>
      </c>
      <c r="B2340" s="55" t="str">
        <f t="shared" si="10"/>
        <v>Primer dia</v>
      </c>
      <c r="C2340" s="202">
        <f t="shared" si="1"/>
        <v>27</v>
      </c>
      <c r="D2340" s="202" t="str">
        <f t="shared" si="2"/>
        <v> </v>
      </c>
      <c r="E2340" s="202" t="str">
        <f t="shared" si="9"/>
        <v> </v>
      </c>
      <c r="F2340" s="55" t="str">
        <f t="shared" si="4"/>
        <v/>
      </c>
      <c r="G2340" s="202" t="str">
        <f t="shared" si="5"/>
        <v/>
      </c>
      <c r="H2340" s="202" t="str">
        <f t="shared" si="11"/>
        <v> </v>
      </c>
      <c r="I2340" s="205" t="str">
        <f t="shared" si="7"/>
        <v/>
      </c>
      <c r="J2340" s="205"/>
      <c r="K2340" s="205"/>
    </row>
    <row r="2341" ht="14.25" customHeight="1">
      <c r="A2341" s="55">
        <v>47996.0</v>
      </c>
      <c r="B2341" s="55" t="str">
        <f t="shared" si="10"/>
        <v>Primer dia</v>
      </c>
      <c r="C2341" s="202">
        <f t="shared" si="1"/>
        <v>28</v>
      </c>
      <c r="D2341" s="202" t="str">
        <f t="shared" si="2"/>
        <v> </v>
      </c>
      <c r="E2341" s="202" t="str">
        <f t="shared" si="9"/>
        <v> </v>
      </c>
      <c r="F2341" s="55" t="str">
        <f t="shared" si="4"/>
        <v/>
      </c>
      <c r="G2341" s="202" t="str">
        <f t="shared" si="5"/>
        <v/>
      </c>
      <c r="H2341" s="202" t="str">
        <f t="shared" si="11"/>
        <v> </v>
      </c>
      <c r="I2341" s="205" t="str">
        <f t="shared" si="7"/>
        <v/>
      </c>
      <c r="J2341" s="205"/>
      <c r="K2341" s="205"/>
    </row>
    <row r="2342" ht="14.25" customHeight="1">
      <c r="A2342" s="55">
        <v>47997.0</v>
      </c>
      <c r="B2342" s="55" t="str">
        <f t="shared" si="10"/>
        <v>Primer dia</v>
      </c>
      <c r="C2342" s="202">
        <f t="shared" si="1"/>
        <v>29</v>
      </c>
      <c r="D2342" s="202" t="str">
        <f t="shared" si="2"/>
        <v> </v>
      </c>
      <c r="E2342" s="202" t="str">
        <f t="shared" si="9"/>
        <v> </v>
      </c>
      <c r="F2342" s="55" t="str">
        <f t="shared" si="4"/>
        <v/>
      </c>
      <c r="G2342" s="202" t="str">
        <f t="shared" si="5"/>
        <v/>
      </c>
      <c r="H2342" s="202" t="str">
        <f t="shared" si="11"/>
        <v> </v>
      </c>
      <c r="I2342" s="205" t="str">
        <f t="shared" si="7"/>
        <v/>
      </c>
      <c r="J2342" s="205"/>
      <c r="K2342" s="205"/>
    </row>
    <row r="2343" ht="14.25" customHeight="1">
      <c r="A2343" s="55">
        <v>47998.0</v>
      </c>
      <c r="B2343" s="55" t="str">
        <f t="shared" si="10"/>
        <v>Primer dia</v>
      </c>
      <c r="C2343" s="202">
        <f t="shared" si="1"/>
        <v>30</v>
      </c>
      <c r="D2343" s="202" t="str">
        <f t="shared" si="2"/>
        <v> </v>
      </c>
      <c r="E2343" s="202" t="str">
        <f t="shared" si="9"/>
        <v> </v>
      </c>
      <c r="F2343" s="55" t="str">
        <f t="shared" si="4"/>
        <v/>
      </c>
      <c r="G2343" s="202" t="str">
        <f t="shared" si="5"/>
        <v/>
      </c>
      <c r="H2343" s="202" t="str">
        <f t="shared" si="11"/>
        <v> </v>
      </c>
      <c r="I2343" s="205" t="str">
        <f t="shared" si="7"/>
        <v/>
      </c>
      <c r="J2343" s="205"/>
      <c r="K2343" s="205"/>
    </row>
    <row r="2344" ht="14.25" customHeight="1">
      <c r="A2344" s="55">
        <v>47999.0</v>
      </c>
      <c r="B2344" s="55" t="str">
        <f t="shared" si="10"/>
        <v>Primer dia</v>
      </c>
      <c r="C2344" s="202">
        <f t="shared" si="1"/>
        <v>31</v>
      </c>
      <c r="D2344" s="202" t="str">
        <f t="shared" si="2"/>
        <v> </v>
      </c>
      <c r="E2344" s="202" t="str">
        <f t="shared" si="9"/>
        <v> </v>
      </c>
      <c r="F2344" s="55" t="str">
        <f t="shared" si="4"/>
        <v/>
      </c>
      <c r="G2344" s="202" t="str">
        <f t="shared" si="5"/>
        <v/>
      </c>
      <c r="H2344" s="202" t="str">
        <f t="shared" si="11"/>
        <v> </v>
      </c>
      <c r="I2344" s="205" t="str">
        <f t="shared" si="7"/>
        <v/>
      </c>
      <c r="J2344" s="205"/>
      <c r="K2344" s="205"/>
    </row>
    <row r="2345" ht="14.25" customHeight="1">
      <c r="A2345" s="55">
        <v>48000.0</v>
      </c>
      <c r="B2345" s="55" t="str">
        <f t="shared" si="10"/>
        <v>Primer dia</v>
      </c>
      <c r="C2345" s="202">
        <f t="shared" si="1"/>
        <v>1</v>
      </c>
      <c r="D2345" s="202" t="str">
        <f t="shared" si="2"/>
        <v> </v>
      </c>
      <c r="E2345" s="202" t="str">
        <f t="shared" si="9"/>
        <v> </v>
      </c>
      <c r="F2345" s="55" t="str">
        <f t="shared" si="4"/>
        <v/>
      </c>
      <c r="G2345" s="202" t="str">
        <f t="shared" si="5"/>
        <v/>
      </c>
      <c r="H2345" s="202" t="str">
        <f t="shared" si="11"/>
        <v> </v>
      </c>
      <c r="I2345" s="205" t="str">
        <f t="shared" si="7"/>
        <v/>
      </c>
      <c r="J2345" s="205"/>
      <c r="K2345" s="205"/>
    </row>
    <row r="2346" ht="14.25" customHeight="1">
      <c r="A2346" s="55">
        <v>48001.0</v>
      </c>
      <c r="B2346" s="55" t="str">
        <f t="shared" si="10"/>
        <v>Primer dia</v>
      </c>
      <c r="C2346" s="202">
        <f t="shared" si="1"/>
        <v>2</v>
      </c>
      <c r="D2346" s="202" t="str">
        <f t="shared" si="2"/>
        <v> </v>
      </c>
      <c r="E2346" s="202">
        <f t="shared" si="9"/>
        <v>2</v>
      </c>
      <c r="F2346" s="55">
        <f t="shared" si="4"/>
        <v>48001</v>
      </c>
      <c r="G2346" s="202">
        <f t="shared" si="5"/>
        <v>129</v>
      </c>
      <c r="H2346" s="202" t="str">
        <f t="shared" si="11"/>
        <v> </v>
      </c>
      <c r="I2346" s="205" t="str">
        <f t="shared" si="7"/>
        <v/>
      </c>
      <c r="J2346" s="205"/>
      <c r="K2346" s="205"/>
    </row>
    <row r="2347" ht="14.25" customHeight="1">
      <c r="A2347" s="55">
        <v>48002.0</v>
      </c>
      <c r="B2347" s="55" t="str">
        <f t="shared" si="10"/>
        <v>Primer dia</v>
      </c>
      <c r="C2347" s="202">
        <f t="shared" si="1"/>
        <v>3</v>
      </c>
      <c r="D2347" s="202" t="str">
        <f t="shared" si="2"/>
        <v> </v>
      </c>
      <c r="E2347" s="202" t="str">
        <f t="shared" si="9"/>
        <v> </v>
      </c>
      <c r="F2347" s="55" t="str">
        <f t="shared" si="4"/>
        <v/>
      </c>
      <c r="G2347" s="202" t="str">
        <f t="shared" si="5"/>
        <v/>
      </c>
      <c r="H2347" s="202" t="str">
        <f t="shared" si="11"/>
        <v> </v>
      </c>
      <c r="I2347" s="205" t="str">
        <f t="shared" si="7"/>
        <v/>
      </c>
      <c r="J2347" s="205"/>
      <c r="K2347" s="205"/>
    </row>
    <row r="2348" ht="14.25" customHeight="1">
      <c r="A2348" s="55">
        <v>48003.0</v>
      </c>
      <c r="B2348" s="55" t="str">
        <f t="shared" si="10"/>
        <v>Primer dia</v>
      </c>
      <c r="C2348" s="202">
        <f t="shared" si="1"/>
        <v>4</v>
      </c>
      <c r="D2348" s="202" t="str">
        <f t="shared" si="2"/>
        <v> </v>
      </c>
      <c r="E2348" s="202" t="str">
        <f t="shared" si="9"/>
        <v> </v>
      </c>
      <c r="F2348" s="55" t="str">
        <f t="shared" si="4"/>
        <v/>
      </c>
      <c r="G2348" s="202" t="str">
        <f t="shared" si="5"/>
        <v/>
      </c>
      <c r="H2348" s="202" t="str">
        <f t="shared" si="11"/>
        <v> </v>
      </c>
      <c r="I2348" s="205" t="str">
        <f t="shared" si="7"/>
        <v/>
      </c>
      <c r="J2348" s="205"/>
      <c r="K2348" s="205"/>
    </row>
    <row r="2349" ht="14.25" customHeight="1">
      <c r="A2349" s="55">
        <v>48004.0</v>
      </c>
      <c r="B2349" s="55" t="str">
        <f t="shared" si="10"/>
        <v>Primer dia</v>
      </c>
      <c r="C2349" s="202">
        <f t="shared" si="1"/>
        <v>5</v>
      </c>
      <c r="D2349" s="202" t="str">
        <f t="shared" si="2"/>
        <v> </v>
      </c>
      <c r="E2349" s="202" t="str">
        <f t="shared" si="9"/>
        <v> </v>
      </c>
      <c r="F2349" s="55" t="str">
        <f t="shared" si="4"/>
        <v/>
      </c>
      <c r="G2349" s="202" t="str">
        <f t="shared" si="5"/>
        <v/>
      </c>
      <c r="H2349" s="202" t="str">
        <f t="shared" si="11"/>
        <v> </v>
      </c>
      <c r="I2349" s="205" t="str">
        <f t="shared" si="7"/>
        <v/>
      </c>
      <c r="J2349" s="205"/>
      <c r="K2349" s="205"/>
    </row>
    <row r="2350" ht="14.25" customHeight="1">
      <c r="A2350" s="55">
        <v>48005.0</v>
      </c>
      <c r="B2350" s="55" t="str">
        <f t="shared" si="10"/>
        <v>Primer dia</v>
      </c>
      <c r="C2350" s="202">
        <f t="shared" si="1"/>
        <v>6</v>
      </c>
      <c r="D2350" s="202" t="str">
        <f t="shared" si="2"/>
        <v> </v>
      </c>
      <c r="E2350" s="202" t="str">
        <f t="shared" si="9"/>
        <v> </v>
      </c>
      <c r="F2350" s="55" t="str">
        <f t="shared" si="4"/>
        <v/>
      </c>
      <c r="G2350" s="202" t="str">
        <f t="shared" si="5"/>
        <v/>
      </c>
      <c r="H2350" s="202" t="str">
        <f t="shared" si="11"/>
        <v> </v>
      </c>
      <c r="I2350" s="205" t="str">
        <f t="shared" si="7"/>
        <v/>
      </c>
      <c r="J2350" s="205"/>
      <c r="K2350" s="205"/>
    </row>
    <row r="2351" ht="14.25" customHeight="1">
      <c r="A2351" s="55">
        <v>48006.0</v>
      </c>
      <c r="B2351" s="55" t="str">
        <f t="shared" si="10"/>
        <v>Primer dia</v>
      </c>
      <c r="C2351" s="202">
        <f t="shared" si="1"/>
        <v>7</v>
      </c>
      <c r="D2351" s="202" t="str">
        <f t="shared" si="2"/>
        <v> </v>
      </c>
      <c r="E2351" s="202" t="str">
        <f t="shared" si="9"/>
        <v> </v>
      </c>
      <c r="F2351" s="55" t="str">
        <f t="shared" si="4"/>
        <v/>
      </c>
      <c r="G2351" s="202" t="str">
        <f t="shared" si="5"/>
        <v/>
      </c>
      <c r="H2351" s="202" t="str">
        <f t="shared" si="11"/>
        <v> </v>
      </c>
      <c r="I2351" s="205" t="str">
        <f t="shared" si="7"/>
        <v/>
      </c>
      <c r="J2351" s="205"/>
      <c r="K2351" s="205"/>
    </row>
    <row r="2352" ht="14.25" customHeight="1">
      <c r="A2352" s="55">
        <v>48007.0</v>
      </c>
      <c r="B2352" s="55" t="str">
        <f t="shared" si="10"/>
        <v>Primer dia</v>
      </c>
      <c r="C2352" s="202">
        <f t="shared" si="1"/>
        <v>8</v>
      </c>
      <c r="D2352" s="202" t="str">
        <f t="shared" si="2"/>
        <v> </v>
      </c>
      <c r="E2352" s="202" t="str">
        <f t="shared" si="9"/>
        <v> </v>
      </c>
      <c r="F2352" s="55" t="str">
        <f t="shared" si="4"/>
        <v/>
      </c>
      <c r="G2352" s="202" t="str">
        <f t="shared" si="5"/>
        <v/>
      </c>
      <c r="H2352" s="202" t="str">
        <f t="shared" si="11"/>
        <v> </v>
      </c>
      <c r="I2352" s="205" t="str">
        <f t="shared" si="7"/>
        <v/>
      </c>
      <c r="J2352" s="205"/>
      <c r="K2352" s="205"/>
    </row>
    <row r="2353" ht="14.25" customHeight="1">
      <c r="A2353" s="55">
        <v>48008.0</v>
      </c>
      <c r="B2353" s="55" t="str">
        <f t="shared" si="10"/>
        <v>Primer dia</v>
      </c>
      <c r="C2353" s="202">
        <f t="shared" si="1"/>
        <v>9</v>
      </c>
      <c r="D2353" s="202" t="str">
        <f t="shared" si="2"/>
        <v> </v>
      </c>
      <c r="E2353" s="202" t="str">
        <f t="shared" si="9"/>
        <v> </v>
      </c>
      <c r="F2353" s="55" t="str">
        <f t="shared" si="4"/>
        <v/>
      </c>
      <c r="G2353" s="202" t="str">
        <f t="shared" si="5"/>
        <v/>
      </c>
      <c r="H2353" s="202" t="str">
        <f t="shared" si="11"/>
        <v> </v>
      </c>
      <c r="I2353" s="205" t="str">
        <f t="shared" si="7"/>
        <v/>
      </c>
      <c r="J2353" s="205"/>
      <c r="K2353" s="205"/>
    </row>
    <row r="2354" ht="14.25" customHeight="1">
      <c r="A2354" s="55">
        <v>48009.0</v>
      </c>
      <c r="B2354" s="55" t="str">
        <f t="shared" si="10"/>
        <v>Primer dia</v>
      </c>
      <c r="C2354" s="202">
        <f t="shared" si="1"/>
        <v>10</v>
      </c>
      <c r="D2354" s="202" t="str">
        <f t="shared" si="2"/>
        <v> </v>
      </c>
      <c r="E2354" s="202" t="str">
        <f t="shared" si="9"/>
        <v> </v>
      </c>
      <c r="F2354" s="55" t="str">
        <f t="shared" si="4"/>
        <v/>
      </c>
      <c r="G2354" s="202" t="str">
        <f t="shared" si="5"/>
        <v/>
      </c>
      <c r="H2354" s="202" t="str">
        <f t="shared" si="11"/>
        <v> </v>
      </c>
      <c r="I2354" s="205" t="str">
        <f t="shared" si="7"/>
        <v/>
      </c>
      <c r="J2354" s="205"/>
      <c r="K2354" s="205"/>
    </row>
    <row r="2355" ht="14.25" customHeight="1">
      <c r="A2355" s="55">
        <v>48010.0</v>
      </c>
      <c r="B2355" s="55" t="str">
        <f t="shared" si="10"/>
        <v>Primer dia</v>
      </c>
      <c r="C2355" s="202">
        <f t="shared" si="1"/>
        <v>11</v>
      </c>
      <c r="D2355" s="202" t="str">
        <f t="shared" si="2"/>
        <v> </v>
      </c>
      <c r="E2355" s="202" t="str">
        <f t="shared" si="9"/>
        <v> </v>
      </c>
      <c r="F2355" s="55" t="str">
        <f t="shared" si="4"/>
        <v/>
      </c>
      <c r="G2355" s="202" t="str">
        <f t="shared" si="5"/>
        <v/>
      </c>
      <c r="H2355" s="202" t="str">
        <f t="shared" si="11"/>
        <v> </v>
      </c>
      <c r="I2355" s="205" t="str">
        <f t="shared" si="7"/>
        <v/>
      </c>
      <c r="J2355" s="205"/>
      <c r="K2355" s="205"/>
    </row>
    <row r="2356" ht="14.25" customHeight="1">
      <c r="A2356" s="55">
        <v>48011.0</v>
      </c>
      <c r="B2356" s="55" t="str">
        <f t="shared" si="10"/>
        <v>Primer dia</v>
      </c>
      <c r="C2356" s="202">
        <f t="shared" si="1"/>
        <v>12</v>
      </c>
      <c r="D2356" s="202" t="str">
        <f t="shared" si="2"/>
        <v> </v>
      </c>
      <c r="E2356" s="202" t="str">
        <f t="shared" si="9"/>
        <v> </v>
      </c>
      <c r="F2356" s="55" t="str">
        <f t="shared" si="4"/>
        <v/>
      </c>
      <c r="G2356" s="202" t="str">
        <f t="shared" si="5"/>
        <v/>
      </c>
      <c r="H2356" s="202" t="str">
        <f t="shared" si="11"/>
        <v> </v>
      </c>
      <c r="I2356" s="205" t="str">
        <f t="shared" si="7"/>
        <v/>
      </c>
      <c r="J2356" s="205"/>
      <c r="K2356" s="205"/>
    </row>
    <row r="2357" ht="14.25" customHeight="1">
      <c r="A2357" s="55">
        <v>48012.0</v>
      </c>
      <c r="B2357" s="55" t="str">
        <f t="shared" si="10"/>
        <v>Primer dia</v>
      </c>
      <c r="C2357" s="202">
        <f t="shared" si="1"/>
        <v>13</v>
      </c>
      <c r="D2357" s="202" t="str">
        <f t="shared" si="2"/>
        <v> </v>
      </c>
      <c r="E2357" s="202" t="str">
        <f t="shared" si="9"/>
        <v> </v>
      </c>
      <c r="F2357" s="55" t="str">
        <f t="shared" si="4"/>
        <v/>
      </c>
      <c r="G2357" s="202" t="str">
        <f t="shared" si="5"/>
        <v/>
      </c>
      <c r="H2357" s="202" t="str">
        <f t="shared" si="11"/>
        <v> </v>
      </c>
      <c r="I2357" s="205" t="str">
        <f t="shared" si="7"/>
        <v/>
      </c>
      <c r="J2357" s="205"/>
      <c r="K2357" s="205"/>
    </row>
    <row r="2358" ht="14.25" customHeight="1">
      <c r="A2358" s="55">
        <v>48013.0</v>
      </c>
      <c r="B2358" s="55" t="str">
        <f t="shared" si="10"/>
        <v>Primer dia</v>
      </c>
      <c r="C2358" s="202">
        <f t="shared" si="1"/>
        <v>14</v>
      </c>
      <c r="D2358" s="202" t="str">
        <f t="shared" si="2"/>
        <v> </v>
      </c>
      <c r="E2358" s="202" t="str">
        <f t="shared" si="9"/>
        <v> </v>
      </c>
      <c r="F2358" s="55" t="str">
        <f t="shared" si="4"/>
        <v/>
      </c>
      <c r="G2358" s="202" t="str">
        <f t="shared" si="5"/>
        <v/>
      </c>
      <c r="H2358" s="202" t="str">
        <f t="shared" si="11"/>
        <v> </v>
      </c>
      <c r="I2358" s="205" t="str">
        <f t="shared" si="7"/>
        <v/>
      </c>
      <c r="J2358" s="205"/>
      <c r="K2358" s="205"/>
    </row>
    <row r="2359" ht="14.25" customHeight="1">
      <c r="A2359" s="55">
        <v>48014.0</v>
      </c>
      <c r="B2359" s="55" t="str">
        <f t="shared" si="10"/>
        <v>Primer dia</v>
      </c>
      <c r="C2359" s="202">
        <f t="shared" si="1"/>
        <v>15</v>
      </c>
      <c r="D2359" s="202" t="str">
        <f t="shared" si="2"/>
        <v> </v>
      </c>
      <c r="E2359" s="202" t="str">
        <f t="shared" si="9"/>
        <v> </v>
      </c>
      <c r="F2359" s="55" t="str">
        <f t="shared" si="4"/>
        <v/>
      </c>
      <c r="G2359" s="202" t="str">
        <f t="shared" si="5"/>
        <v/>
      </c>
      <c r="H2359" s="202" t="str">
        <f t="shared" si="11"/>
        <v> </v>
      </c>
      <c r="I2359" s="205" t="str">
        <f t="shared" si="7"/>
        <v/>
      </c>
      <c r="J2359" s="205"/>
      <c r="K2359" s="205"/>
    </row>
    <row r="2360" ht="14.25" customHeight="1">
      <c r="A2360" s="55">
        <v>48015.0</v>
      </c>
      <c r="B2360" s="55" t="str">
        <f t="shared" si="10"/>
        <v>Primer dia</v>
      </c>
      <c r="C2360" s="202">
        <f t="shared" si="1"/>
        <v>16</v>
      </c>
      <c r="D2360" s="202" t="str">
        <f t="shared" si="2"/>
        <v> </v>
      </c>
      <c r="E2360" s="202" t="str">
        <f t="shared" si="9"/>
        <v> </v>
      </c>
      <c r="F2360" s="55" t="str">
        <f t="shared" si="4"/>
        <v/>
      </c>
      <c r="G2360" s="202" t="str">
        <f t="shared" si="5"/>
        <v/>
      </c>
      <c r="H2360" s="202" t="str">
        <f t="shared" si="11"/>
        <v> </v>
      </c>
      <c r="I2360" s="205" t="str">
        <f t="shared" si="7"/>
        <v/>
      </c>
      <c r="J2360" s="205"/>
      <c r="K2360" s="205"/>
    </row>
    <row r="2361" ht="14.25" customHeight="1">
      <c r="A2361" s="55">
        <v>48016.0</v>
      </c>
      <c r="B2361" s="55" t="str">
        <f t="shared" si="10"/>
        <v>Primer dia</v>
      </c>
      <c r="C2361" s="202">
        <f t="shared" si="1"/>
        <v>17</v>
      </c>
      <c r="D2361" s="202" t="str">
        <f t="shared" si="2"/>
        <v> </v>
      </c>
      <c r="E2361" s="202">
        <f t="shared" si="9"/>
        <v>17</v>
      </c>
      <c r="F2361" s="55">
        <f t="shared" si="4"/>
        <v>48016</v>
      </c>
      <c r="G2361" s="202">
        <f t="shared" si="5"/>
        <v>130</v>
      </c>
      <c r="H2361" s="202" t="str">
        <f t="shared" si="11"/>
        <v> </v>
      </c>
      <c r="I2361" s="205" t="str">
        <f t="shared" si="7"/>
        <v/>
      </c>
      <c r="J2361" s="205"/>
      <c r="K2361" s="205"/>
    </row>
    <row r="2362" ht="14.25" customHeight="1">
      <c r="A2362" s="55">
        <v>48017.0</v>
      </c>
      <c r="B2362" s="55" t="str">
        <f t="shared" si="10"/>
        <v>Primer dia</v>
      </c>
      <c r="C2362" s="202">
        <f t="shared" si="1"/>
        <v>18</v>
      </c>
      <c r="D2362" s="202" t="str">
        <f t="shared" si="2"/>
        <v> </v>
      </c>
      <c r="E2362" s="202" t="str">
        <f t="shared" si="9"/>
        <v> </v>
      </c>
      <c r="F2362" s="55" t="str">
        <f t="shared" si="4"/>
        <v/>
      </c>
      <c r="G2362" s="202" t="str">
        <f t="shared" si="5"/>
        <v/>
      </c>
      <c r="H2362" s="202" t="str">
        <f t="shared" si="11"/>
        <v> </v>
      </c>
      <c r="I2362" s="205" t="str">
        <f t="shared" si="7"/>
        <v/>
      </c>
      <c r="J2362" s="205"/>
      <c r="K2362" s="205"/>
    </row>
    <row r="2363" ht="14.25" customHeight="1">
      <c r="A2363" s="55">
        <v>48018.0</v>
      </c>
      <c r="B2363" s="55" t="str">
        <f t="shared" si="10"/>
        <v>Primer dia</v>
      </c>
      <c r="C2363" s="202">
        <f t="shared" si="1"/>
        <v>19</v>
      </c>
      <c r="D2363" s="202" t="str">
        <f t="shared" si="2"/>
        <v> </v>
      </c>
      <c r="E2363" s="202" t="str">
        <f t="shared" si="9"/>
        <v> </v>
      </c>
      <c r="F2363" s="55" t="str">
        <f t="shared" si="4"/>
        <v/>
      </c>
      <c r="G2363" s="202" t="str">
        <f t="shared" si="5"/>
        <v/>
      </c>
      <c r="H2363" s="202" t="str">
        <f t="shared" si="11"/>
        <v> </v>
      </c>
      <c r="I2363" s="205" t="str">
        <f t="shared" si="7"/>
        <v/>
      </c>
      <c r="J2363" s="205"/>
      <c r="K2363" s="205"/>
    </row>
    <row r="2364" ht="14.25" customHeight="1">
      <c r="A2364" s="55">
        <v>48019.0</v>
      </c>
      <c r="B2364" s="55" t="str">
        <f t="shared" si="10"/>
        <v>Primer dia</v>
      </c>
      <c r="C2364" s="202">
        <f t="shared" si="1"/>
        <v>20</v>
      </c>
      <c r="D2364" s="202" t="str">
        <f t="shared" si="2"/>
        <v> </v>
      </c>
      <c r="E2364" s="202" t="str">
        <f t="shared" si="9"/>
        <v> </v>
      </c>
      <c r="F2364" s="55" t="str">
        <f t="shared" si="4"/>
        <v/>
      </c>
      <c r="G2364" s="202" t="str">
        <f t="shared" si="5"/>
        <v/>
      </c>
      <c r="H2364" s="202" t="str">
        <f t="shared" si="11"/>
        <v> </v>
      </c>
      <c r="I2364" s="205" t="str">
        <f t="shared" si="7"/>
        <v/>
      </c>
      <c r="J2364" s="205"/>
      <c r="K2364" s="205"/>
    </row>
    <row r="2365" ht="14.25" customHeight="1">
      <c r="A2365" s="55">
        <v>48020.0</v>
      </c>
      <c r="B2365" s="55" t="str">
        <f t="shared" si="10"/>
        <v>Primer dia</v>
      </c>
      <c r="C2365" s="202">
        <f t="shared" si="1"/>
        <v>21</v>
      </c>
      <c r="D2365" s="202" t="str">
        <f t="shared" si="2"/>
        <v> </v>
      </c>
      <c r="E2365" s="202" t="str">
        <f t="shared" si="9"/>
        <v> </v>
      </c>
      <c r="F2365" s="55" t="str">
        <f t="shared" si="4"/>
        <v/>
      </c>
      <c r="G2365" s="202" t="str">
        <f t="shared" si="5"/>
        <v/>
      </c>
      <c r="H2365" s="202" t="str">
        <f t="shared" si="11"/>
        <v> </v>
      </c>
      <c r="I2365" s="205" t="str">
        <f t="shared" si="7"/>
        <v/>
      </c>
      <c r="J2365" s="205"/>
      <c r="K2365" s="205"/>
    </row>
    <row r="2366" ht="14.25" customHeight="1">
      <c r="A2366" s="55">
        <v>48021.0</v>
      </c>
      <c r="B2366" s="55" t="str">
        <f t="shared" si="10"/>
        <v>Primer dia</v>
      </c>
      <c r="C2366" s="202">
        <f t="shared" si="1"/>
        <v>22</v>
      </c>
      <c r="D2366" s="202" t="str">
        <f t="shared" si="2"/>
        <v> </v>
      </c>
      <c r="E2366" s="202" t="str">
        <f t="shared" si="9"/>
        <v> </v>
      </c>
      <c r="F2366" s="55" t="str">
        <f t="shared" si="4"/>
        <v/>
      </c>
      <c r="G2366" s="202" t="str">
        <f t="shared" si="5"/>
        <v/>
      </c>
      <c r="H2366" s="202" t="str">
        <f t="shared" si="11"/>
        <v> </v>
      </c>
      <c r="I2366" s="205" t="str">
        <f t="shared" si="7"/>
        <v/>
      </c>
      <c r="J2366" s="205"/>
      <c r="K2366" s="205"/>
    </row>
    <row r="2367" ht="14.25" customHeight="1">
      <c r="A2367" s="55">
        <v>48022.0</v>
      </c>
      <c r="B2367" s="55" t="str">
        <f t="shared" si="10"/>
        <v>Primer dia</v>
      </c>
      <c r="C2367" s="202">
        <f t="shared" si="1"/>
        <v>23</v>
      </c>
      <c r="D2367" s="202" t="str">
        <f t="shared" si="2"/>
        <v> </v>
      </c>
      <c r="E2367" s="202" t="str">
        <f t="shared" si="9"/>
        <v> </v>
      </c>
      <c r="F2367" s="55" t="str">
        <f t="shared" si="4"/>
        <v/>
      </c>
      <c r="G2367" s="202" t="str">
        <f t="shared" si="5"/>
        <v/>
      </c>
      <c r="H2367" s="202" t="str">
        <f t="shared" si="11"/>
        <v> </v>
      </c>
      <c r="I2367" s="205" t="str">
        <f t="shared" si="7"/>
        <v/>
      </c>
      <c r="J2367" s="205"/>
      <c r="K2367" s="205"/>
    </row>
    <row r="2368" ht="14.25" customHeight="1">
      <c r="A2368" s="55">
        <v>48023.0</v>
      </c>
      <c r="B2368" s="55" t="str">
        <f t="shared" si="10"/>
        <v>Primer dia</v>
      </c>
      <c r="C2368" s="202">
        <f t="shared" si="1"/>
        <v>24</v>
      </c>
      <c r="D2368" s="202" t="str">
        <f t="shared" si="2"/>
        <v> </v>
      </c>
      <c r="E2368" s="202" t="str">
        <f t="shared" si="9"/>
        <v> </v>
      </c>
      <c r="F2368" s="55" t="str">
        <f t="shared" si="4"/>
        <v/>
      </c>
      <c r="G2368" s="202" t="str">
        <f t="shared" si="5"/>
        <v/>
      </c>
      <c r="H2368" s="202" t="str">
        <f t="shared" si="11"/>
        <v> </v>
      </c>
      <c r="I2368" s="205" t="str">
        <f t="shared" si="7"/>
        <v/>
      </c>
      <c r="J2368" s="205"/>
      <c r="K2368" s="205"/>
    </row>
    <row r="2369" ht="14.25" customHeight="1">
      <c r="A2369" s="55">
        <v>48024.0</v>
      </c>
      <c r="B2369" s="55" t="str">
        <f t="shared" si="10"/>
        <v>Primer dia</v>
      </c>
      <c r="C2369" s="202">
        <f t="shared" si="1"/>
        <v>25</v>
      </c>
      <c r="D2369" s="202" t="str">
        <f t="shared" si="2"/>
        <v> </v>
      </c>
      <c r="E2369" s="202" t="str">
        <f t="shared" si="9"/>
        <v> </v>
      </c>
      <c r="F2369" s="55" t="str">
        <f t="shared" si="4"/>
        <v/>
      </c>
      <c r="G2369" s="202" t="str">
        <f t="shared" si="5"/>
        <v/>
      </c>
      <c r="H2369" s="202" t="str">
        <f t="shared" si="11"/>
        <v> </v>
      </c>
      <c r="I2369" s="205" t="str">
        <f t="shared" si="7"/>
        <v/>
      </c>
      <c r="J2369" s="205"/>
      <c r="K2369" s="205"/>
    </row>
    <row r="2370" ht="14.25" customHeight="1">
      <c r="A2370" s="55">
        <v>48025.0</v>
      </c>
      <c r="B2370" s="55" t="str">
        <f t="shared" si="10"/>
        <v>Primer dia</v>
      </c>
      <c r="C2370" s="202">
        <f t="shared" si="1"/>
        <v>26</v>
      </c>
      <c r="D2370" s="202" t="str">
        <f t="shared" si="2"/>
        <v> </v>
      </c>
      <c r="E2370" s="202" t="str">
        <f t="shared" si="9"/>
        <v> </v>
      </c>
      <c r="F2370" s="55" t="str">
        <f t="shared" si="4"/>
        <v/>
      </c>
      <c r="G2370" s="202" t="str">
        <f t="shared" si="5"/>
        <v/>
      </c>
      <c r="H2370" s="202" t="str">
        <f t="shared" si="11"/>
        <v> </v>
      </c>
      <c r="I2370" s="205" t="str">
        <f t="shared" si="7"/>
        <v/>
      </c>
      <c r="J2370" s="205"/>
      <c r="K2370" s="205"/>
    </row>
    <row r="2371" ht="14.25" customHeight="1">
      <c r="A2371" s="55">
        <v>48026.0</v>
      </c>
      <c r="B2371" s="55" t="str">
        <f t="shared" si="10"/>
        <v>Primer dia</v>
      </c>
      <c r="C2371" s="202">
        <f t="shared" si="1"/>
        <v>27</v>
      </c>
      <c r="D2371" s="202" t="str">
        <f t="shared" si="2"/>
        <v> </v>
      </c>
      <c r="E2371" s="202" t="str">
        <f t="shared" si="9"/>
        <v> </v>
      </c>
      <c r="F2371" s="55" t="str">
        <f t="shared" si="4"/>
        <v/>
      </c>
      <c r="G2371" s="202" t="str">
        <f t="shared" si="5"/>
        <v/>
      </c>
      <c r="H2371" s="202" t="str">
        <f t="shared" si="11"/>
        <v> </v>
      </c>
      <c r="I2371" s="205" t="str">
        <f t="shared" si="7"/>
        <v/>
      </c>
      <c r="J2371" s="205"/>
      <c r="K2371" s="205"/>
    </row>
    <row r="2372" ht="14.25" customHeight="1">
      <c r="A2372" s="55">
        <v>48027.0</v>
      </c>
      <c r="B2372" s="55" t="str">
        <f t="shared" si="10"/>
        <v>Primer dia</v>
      </c>
      <c r="C2372" s="202">
        <f t="shared" si="1"/>
        <v>28</v>
      </c>
      <c r="D2372" s="202" t="str">
        <f t="shared" si="2"/>
        <v> </v>
      </c>
      <c r="E2372" s="202" t="str">
        <f t="shared" si="9"/>
        <v> </v>
      </c>
      <c r="F2372" s="55" t="str">
        <f t="shared" si="4"/>
        <v/>
      </c>
      <c r="G2372" s="202" t="str">
        <f t="shared" si="5"/>
        <v/>
      </c>
      <c r="H2372" s="202" t="str">
        <f t="shared" si="11"/>
        <v> </v>
      </c>
      <c r="I2372" s="205" t="str">
        <f t="shared" si="7"/>
        <v/>
      </c>
      <c r="J2372" s="205"/>
      <c r="K2372" s="205"/>
    </row>
    <row r="2373" ht="14.25" customHeight="1">
      <c r="A2373" s="55">
        <v>48028.0</v>
      </c>
      <c r="B2373" s="55" t="str">
        <f t="shared" si="10"/>
        <v>Primer dia</v>
      </c>
      <c r="C2373" s="202">
        <f t="shared" si="1"/>
        <v>29</v>
      </c>
      <c r="D2373" s="202" t="str">
        <f t="shared" si="2"/>
        <v> </v>
      </c>
      <c r="E2373" s="202" t="str">
        <f t="shared" si="9"/>
        <v> </v>
      </c>
      <c r="F2373" s="55" t="str">
        <f t="shared" si="4"/>
        <v/>
      </c>
      <c r="G2373" s="202" t="str">
        <f t="shared" si="5"/>
        <v/>
      </c>
      <c r="H2373" s="202" t="str">
        <f t="shared" si="11"/>
        <v> </v>
      </c>
      <c r="I2373" s="205" t="str">
        <f t="shared" si="7"/>
        <v/>
      </c>
      <c r="J2373" s="205"/>
      <c r="K2373" s="205"/>
    </row>
    <row r="2374" ht="14.25" customHeight="1">
      <c r="A2374" s="55">
        <v>48029.0</v>
      </c>
      <c r="B2374" s="55" t="str">
        <f t="shared" si="10"/>
        <v>Primer dia</v>
      </c>
      <c r="C2374" s="202">
        <f t="shared" si="1"/>
        <v>30</v>
      </c>
      <c r="D2374" s="202" t="str">
        <f t="shared" si="2"/>
        <v> </v>
      </c>
      <c r="E2374" s="202" t="str">
        <f t="shared" si="9"/>
        <v> </v>
      </c>
      <c r="F2374" s="55" t="str">
        <f t="shared" si="4"/>
        <v/>
      </c>
      <c r="G2374" s="202" t="str">
        <f t="shared" si="5"/>
        <v/>
      </c>
      <c r="H2374" s="202" t="str">
        <f t="shared" si="11"/>
        <v> </v>
      </c>
      <c r="I2374" s="205" t="str">
        <f t="shared" si="7"/>
        <v/>
      </c>
      <c r="J2374" s="205"/>
      <c r="K2374" s="205"/>
    </row>
    <row r="2375" ht="14.25" customHeight="1">
      <c r="A2375" s="55">
        <v>48030.0</v>
      </c>
      <c r="B2375" s="55" t="str">
        <f t="shared" si="10"/>
        <v>Primer dia</v>
      </c>
      <c r="C2375" s="202">
        <f t="shared" si="1"/>
        <v>1</v>
      </c>
      <c r="D2375" s="202" t="str">
        <f t="shared" si="2"/>
        <v> </v>
      </c>
      <c r="E2375" s="202" t="str">
        <f t="shared" si="9"/>
        <v> </v>
      </c>
      <c r="F2375" s="55" t="str">
        <f t="shared" si="4"/>
        <v/>
      </c>
      <c r="G2375" s="202" t="str">
        <f t="shared" si="5"/>
        <v/>
      </c>
      <c r="H2375" s="202" t="str">
        <f t="shared" si="11"/>
        <v> </v>
      </c>
      <c r="I2375" s="205" t="str">
        <f t="shared" si="7"/>
        <v/>
      </c>
      <c r="J2375" s="205"/>
      <c r="K2375" s="205"/>
    </row>
    <row r="2376" ht="14.25" customHeight="1">
      <c r="A2376" s="55">
        <v>48031.0</v>
      </c>
      <c r="B2376" s="55" t="str">
        <f t="shared" si="10"/>
        <v>Primer dia</v>
      </c>
      <c r="C2376" s="202">
        <f t="shared" si="1"/>
        <v>2</v>
      </c>
      <c r="D2376" s="202" t="str">
        <f t="shared" si="2"/>
        <v> </v>
      </c>
      <c r="E2376" s="202">
        <f t="shared" si="9"/>
        <v>2</v>
      </c>
      <c r="F2376" s="55">
        <f t="shared" si="4"/>
        <v>48031</v>
      </c>
      <c r="G2376" s="202">
        <f t="shared" si="5"/>
        <v>131</v>
      </c>
      <c r="H2376" s="202" t="str">
        <f t="shared" si="11"/>
        <v> </v>
      </c>
      <c r="I2376" s="205" t="str">
        <f t="shared" si="7"/>
        <v/>
      </c>
      <c r="J2376" s="205"/>
      <c r="K2376" s="205"/>
    </row>
    <row r="2377" ht="14.25" customHeight="1">
      <c r="A2377" s="55">
        <v>48032.0</v>
      </c>
      <c r="B2377" s="55" t="str">
        <f t="shared" si="10"/>
        <v>Primer dia</v>
      </c>
      <c r="C2377" s="202">
        <f t="shared" si="1"/>
        <v>3</v>
      </c>
      <c r="D2377" s="202" t="str">
        <f t="shared" si="2"/>
        <v> </v>
      </c>
      <c r="E2377" s="202" t="str">
        <f t="shared" si="9"/>
        <v> </v>
      </c>
      <c r="F2377" s="55" t="str">
        <f t="shared" si="4"/>
        <v/>
      </c>
      <c r="G2377" s="202" t="str">
        <f t="shared" si="5"/>
        <v/>
      </c>
      <c r="H2377" s="202" t="str">
        <f t="shared" si="11"/>
        <v> </v>
      </c>
      <c r="I2377" s="205" t="str">
        <f t="shared" si="7"/>
        <v/>
      </c>
      <c r="J2377" s="205"/>
      <c r="K2377" s="205"/>
    </row>
    <row r="2378" ht="14.25" customHeight="1">
      <c r="A2378" s="55">
        <v>48033.0</v>
      </c>
      <c r="B2378" s="55" t="str">
        <f t="shared" si="10"/>
        <v>Primer dia</v>
      </c>
      <c r="C2378" s="202">
        <f t="shared" si="1"/>
        <v>4</v>
      </c>
      <c r="D2378" s="202" t="str">
        <f t="shared" si="2"/>
        <v> </v>
      </c>
      <c r="E2378" s="202" t="str">
        <f t="shared" si="9"/>
        <v> </v>
      </c>
      <c r="F2378" s="55" t="str">
        <f t="shared" si="4"/>
        <v/>
      </c>
      <c r="G2378" s="202" t="str">
        <f t="shared" si="5"/>
        <v/>
      </c>
      <c r="H2378" s="202" t="str">
        <f t="shared" si="11"/>
        <v> </v>
      </c>
      <c r="I2378" s="205" t="str">
        <f t="shared" si="7"/>
        <v/>
      </c>
      <c r="J2378" s="205"/>
      <c r="K2378" s="205"/>
    </row>
    <row r="2379" ht="14.25" customHeight="1">
      <c r="A2379" s="55">
        <v>48034.0</v>
      </c>
      <c r="B2379" s="55" t="str">
        <f t="shared" si="10"/>
        <v>Primer dia</v>
      </c>
      <c r="C2379" s="202">
        <f t="shared" si="1"/>
        <v>5</v>
      </c>
      <c r="D2379" s="202" t="str">
        <f t="shared" si="2"/>
        <v> </v>
      </c>
      <c r="E2379" s="202" t="str">
        <f t="shared" si="9"/>
        <v> </v>
      </c>
      <c r="F2379" s="55" t="str">
        <f t="shared" si="4"/>
        <v/>
      </c>
      <c r="G2379" s="202" t="str">
        <f t="shared" si="5"/>
        <v/>
      </c>
      <c r="H2379" s="202" t="str">
        <f t="shared" si="11"/>
        <v> </v>
      </c>
      <c r="I2379" s="205" t="str">
        <f t="shared" si="7"/>
        <v/>
      </c>
      <c r="J2379" s="205"/>
      <c r="K2379" s="205"/>
    </row>
    <row r="2380" ht="14.25" customHeight="1">
      <c r="A2380" s="55">
        <v>48035.0</v>
      </c>
      <c r="B2380" s="55" t="str">
        <f t="shared" si="10"/>
        <v>Primer dia</v>
      </c>
      <c r="C2380" s="202">
        <f t="shared" si="1"/>
        <v>6</v>
      </c>
      <c r="D2380" s="202" t="str">
        <f t="shared" si="2"/>
        <v> </v>
      </c>
      <c r="E2380" s="202" t="str">
        <f t="shared" si="9"/>
        <v> </v>
      </c>
      <c r="F2380" s="55" t="str">
        <f t="shared" si="4"/>
        <v/>
      </c>
      <c r="G2380" s="202" t="str">
        <f t="shared" si="5"/>
        <v/>
      </c>
      <c r="H2380" s="202" t="str">
        <f t="shared" si="11"/>
        <v> </v>
      </c>
      <c r="I2380" s="205" t="str">
        <f t="shared" si="7"/>
        <v/>
      </c>
      <c r="J2380" s="205"/>
      <c r="K2380" s="205"/>
    </row>
    <row r="2381" ht="14.25" customHeight="1">
      <c r="A2381" s="55">
        <v>48036.0</v>
      </c>
      <c r="B2381" s="55" t="str">
        <f t="shared" si="10"/>
        <v>Primer dia</v>
      </c>
      <c r="C2381" s="202">
        <f t="shared" si="1"/>
        <v>7</v>
      </c>
      <c r="D2381" s="202" t="str">
        <f t="shared" si="2"/>
        <v> </v>
      </c>
      <c r="E2381" s="202" t="str">
        <f t="shared" si="9"/>
        <v> </v>
      </c>
      <c r="F2381" s="55" t="str">
        <f t="shared" si="4"/>
        <v/>
      </c>
      <c r="G2381" s="202" t="str">
        <f t="shared" si="5"/>
        <v/>
      </c>
      <c r="H2381" s="202" t="str">
        <f t="shared" si="11"/>
        <v> </v>
      </c>
      <c r="I2381" s="205" t="str">
        <f t="shared" si="7"/>
        <v/>
      </c>
      <c r="J2381" s="205"/>
      <c r="K2381" s="205"/>
    </row>
    <row r="2382" ht="14.25" customHeight="1">
      <c r="A2382" s="55">
        <v>48037.0</v>
      </c>
      <c r="B2382" s="55" t="str">
        <f t="shared" si="10"/>
        <v>Primer dia</v>
      </c>
      <c r="C2382" s="202">
        <f t="shared" si="1"/>
        <v>8</v>
      </c>
      <c r="D2382" s="202" t="str">
        <f t="shared" si="2"/>
        <v> </v>
      </c>
      <c r="E2382" s="202" t="str">
        <f t="shared" si="9"/>
        <v> </v>
      </c>
      <c r="F2382" s="55" t="str">
        <f t="shared" si="4"/>
        <v/>
      </c>
      <c r="G2382" s="202" t="str">
        <f t="shared" si="5"/>
        <v/>
      </c>
      <c r="H2382" s="202" t="str">
        <f t="shared" si="11"/>
        <v> </v>
      </c>
      <c r="I2382" s="205" t="str">
        <f t="shared" si="7"/>
        <v/>
      </c>
      <c r="J2382" s="205"/>
      <c r="K2382" s="205"/>
    </row>
    <row r="2383" ht="14.25" customHeight="1">
      <c r="A2383" s="55">
        <v>48038.0</v>
      </c>
      <c r="B2383" s="55" t="str">
        <f t="shared" si="10"/>
        <v>Primer dia</v>
      </c>
      <c r="C2383" s="202">
        <f t="shared" si="1"/>
        <v>9</v>
      </c>
      <c r="D2383" s="202" t="str">
        <f t="shared" si="2"/>
        <v> </v>
      </c>
      <c r="E2383" s="202" t="str">
        <f t="shared" si="9"/>
        <v> </v>
      </c>
      <c r="F2383" s="55" t="str">
        <f t="shared" si="4"/>
        <v/>
      </c>
      <c r="G2383" s="202" t="str">
        <f t="shared" si="5"/>
        <v/>
      </c>
      <c r="H2383" s="202" t="str">
        <f t="shared" si="11"/>
        <v> </v>
      </c>
      <c r="I2383" s="205" t="str">
        <f t="shared" si="7"/>
        <v/>
      </c>
      <c r="J2383" s="205"/>
      <c r="K2383" s="205"/>
    </row>
    <row r="2384" ht="14.25" customHeight="1">
      <c r="A2384" s="55">
        <v>48039.0</v>
      </c>
      <c r="B2384" s="55" t="str">
        <f t="shared" si="10"/>
        <v>Primer dia</v>
      </c>
      <c r="C2384" s="202">
        <f t="shared" si="1"/>
        <v>10</v>
      </c>
      <c r="D2384" s="202" t="str">
        <f t="shared" si="2"/>
        <v> </v>
      </c>
      <c r="E2384" s="202" t="str">
        <f t="shared" si="9"/>
        <v> </v>
      </c>
      <c r="F2384" s="55" t="str">
        <f t="shared" si="4"/>
        <v/>
      </c>
      <c r="G2384" s="202" t="str">
        <f t="shared" si="5"/>
        <v/>
      </c>
      <c r="H2384" s="202" t="str">
        <f t="shared" si="11"/>
        <v> </v>
      </c>
      <c r="I2384" s="205" t="str">
        <f t="shared" si="7"/>
        <v/>
      </c>
      <c r="J2384" s="205"/>
      <c r="K2384" s="205"/>
    </row>
    <row r="2385" ht="14.25" customHeight="1">
      <c r="A2385" s="55">
        <v>48040.0</v>
      </c>
      <c r="B2385" s="55" t="str">
        <f t="shared" si="10"/>
        <v>Primer dia</v>
      </c>
      <c r="C2385" s="202">
        <f t="shared" si="1"/>
        <v>11</v>
      </c>
      <c r="D2385" s="202" t="str">
        <f t="shared" si="2"/>
        <v> </v>
      </c>
      <c r="E2385" s="202" t="str">
        <f t="shared" si="9"/>
        <v> </v>
      </c>
      <c r="F2385" s="55" t="str">
        <f t="shared" si="4"/>
        <v/>
      </c>
      <c r="G2385" s="202" t="str">
        <f t="shared" si="5"/>
        <v/>
      </c>
      <c r="H2385" s="202" t="str">
        <f t="shared" si="11"/>
        <v> </v>
      </c>
      <c r="I2385" s="205" t="str">
        <f t="shared" si="7"/>
        <v/>
      </c>
      <c r="J2385" s="205"/>
      <c r="K2385" s="205"/>
    </row>
    <row r="2386" ht="14.25" customHeight="1">
      <c r="A2386" s="55">
        <v>48041.0</v>
      </c>
      <c r="B2386" s="55" t="str">
        <f t="shared" si="10"/>
        <v>Primer dia</v>
      </c>
      <c r="C2386" s="202">
        <f t="shared" si="1"/>
        <v>12</v>
      </c>
      <c r="D2386" s="202" t="str">
        <f t="shared" si="2"/>
        <v> </v>
      </c>
      <c r="E2386" s="202" t="str">
        <f t="shared" si="9"/>
        <v> </v>
      </c>
      <c r="F2386" s="55" t="str">
        <f t="shared" si="4"/>
        <v/>
      </c>
      <c r="G2386" s="202" t="str">
        <f t="shared" si="5"/>
        <v/>
      </c>
      <c r="H2386" s="202" t="str">
        <f t="shared" si="11"/>
        <v> </v>
      </c>
      <c r="I2386" s="205" t="str">
        <f t="shared" si="7"/>
        <v/>
      </c>
      <c r="J2386" s="205"/>
      <c r="K2386" s="205"/>
    </row>
    <row r="2387" ht="14.25" customHeight="1">
      <c r="A2387" s="55">
        <v>48042.0</v>
      </c>
      <c r="B2387" s="55" t="str">
        <f t="shared" si="10"/>
        <v>Primer dia</v>
      </c>
      <c r="C2387" s="202">
        <f t="shared" si="1"/>
        <v>13</v>
      </c>
      <c r="D2387" s="202" t="str">
        <f t="shared" si="2"/>
        <v> </v>
      </c>
      <c r="E2387" s="202" t="str">
        <f t="shared" si="9"/>
        <v> </v>
      </c>
      <c r="F2387" s="55" t="str">
        <f t="shared" si="4"/>
        <v/>
      </c>
      <c r="G2387" s="202" t="str">
        <f t="shared" si="5"/>
        <v/>
      </c>
      <c r="H2387" s="202" t="str">
        <f t="shared" si="11"/>
        <v> </v>
      </c>
      <c r="I2387" s="205" t="str">
        <f t="shared" si="7"/>
        <v/>
      </c>
      <c r="J2387" s="205"/>
      <c r="K2387" s="205"/>
    </row>
    <row r="2388" ht="14.25" customHeight="1">
      <c r="A2388" s="55">
        <v>48043.0</v>
      </c>
      <c r="B2388" s="55" t="str">
        <f t="shared" si="10"/>
        <v>Primer dia</v>
      </c>
      <c r="C2388" s="202">
        <f t="shared" si="1"/>
        <v>14</v>
      </c>
      <c r="D2388" s="202" t="str">
        <f t="shared" si="2"/>
        <v> </v>
      </c>
      <c r="E2388" s="202" t="str">
        <f t="shared" si="9"/>
        <v> </v>
      </c>
      <c r="F2388" s="55" t="str">
        <f t="shared" si="4"/>
        <v/>
      </c>
      <c r="G2388" s="202" t="str">
        <f t="shared" si="5"/>
        <v/>
      </c>
      <c r="H2388" s="202" t="str">
        <f t="shared" si="11"/>
        <v> </v>
      </c>
      <c r="I2388" s="205" t="str">
        <f t="shared" si="7"/>
        <v/>
      </c>
      <c r="J2388" s="205"/>
      <c r="K2388" s="205"/>
    </row>
    <row r="2389" ht="14.25" customHeight="1">
      <c r="A2389" s="55">
        <v>48044.0</v>
      </c>
      <c r="B2389" s="55" t="str">
        <f t="shared" si="10"/>
        <v>Primer dia</v>
      </c>
      <c r="C2389" s="202">
        <f t="shared" si="1"/>
        <v>15</v>
      </c>
      <c r="D2389" s="202" t="str">
        <f t="shared" si="2"/>
        <v> </v>
      </c>
      <c r="E2389" s="202" t="str">
        <f t="shared" si="9"/>
        <v> </v>
      </c>
      <c r="F2389" s="55" t="str">
        <f t="shared" si="4"/>
        <v/>
      </c>
      <c r="G2389" s="202" t="str">
        <f t="shared" si="5"/>
        <v/>
      </c>
      <c r="H2389" s="202" t="str">
        <f t="shared" si="11"/>
        <v> </v>
      </c>
      <c r="I2389" s="205" t="str">
        <f t="shared" si="7"/>
        <v/>
      </c>
      <c r="J2389" s="205"/>
      <c r="K2389" s="205"/>
    </row>
    <row r="2390" ht="14.25" customHeight="1">
      <c r="A2390" s="55">
        <v>48045.0</v>
      </c>
      <c r="B2390" s="55" t="str">
        <f t="shared" si="10"/>
        <v>Primer dia</v>
      </c>
      <c r="C2390" s="202">
        <f t="shared" si="1"/>
        <v>16</v>
      </c>
      <c r="D2390" s="202" t="str">
        <f t="shared" si="2"/>
        <v> </v>
      </c>
      <c r="E2390" s="202" t="str">
        <f t="shared" si="9"/>
        <v> </v>
      </c>
      <c r="F2390" s="55" t="str">
        <f t="shared" si="4"/>
        <v/>
      </c>
      <c r="G2390" s="202" t="str">
        <f t="shared" si="5"/>
        <v/>
      </c>
      <c r="H2390" s="202" t="str">
        <f t="shared" si="11"/>
        <v> </v>
      </c>
      <c r="I2390" s="205" t="str">
        <f t="shared" si="7"/>
        <v/>
      </c>
      <c r="J2390" s="205"/>
      <c r="K2390" s="205"/>
    </row>
    <row r="2391" ht="14.25" customHeight="1">
      <c r="A2391" s="55">
        <v>48046.0</v>
      </c>
      <c r="B2391" s="55" t="str">
        <f t="shared" si="10"/>
        <v>Primer dia</v>
      </c>
      <c r="C2391" s="202">
        <f t="shared" si="1"/>
        <v>17</v>
      </c>
      <c r="D2391" s="202" t="str">
        <f t="shared" si="2"/>
        <v> </v>
      </c>
      <c r="E2391" s="202">
        <f t="shared" si="9"/>
        <v>17</v>
      </c>
      <c r="F2391" s="55">
        <f t="shared" si="4"/>
        <v>48046</v>
      </c>
      <c r="G2391" s="202">
        <f t="shared" si="5"/>
        <v>132</v>
      </c>
      <c r="H2391" s="202" t="str">
        <f t="shared" si="11"/>
        <v> </v>
      </c>
      <c r="I2391" s="205" t="str">
        <f t="shared" si="7"/>
        <v/>
      </c>
      <c r="J2391" s="205"/>
      <c r="K2391" s="205"/>
    </row>
    <row r="2392" ht="14.25" customHeight="1">
      <c r="A2392" s="55">
        <v>48047.0</v>
      </c>
      <c r="B2392" s="55" t="str">
        <f t="shared" si="10"/>
        <v>Primer dia</v>
      </c>
      <c r="C2392" s="202">
        <f t="shared" si="1"/>
        <v>18</v>
      </c>
      <c r="D2392" s="202" t="str">
        <f t="shared" si="2"/>
        <v> </v>
      </c>
      <c r="E2392" s="202" t="str">
        <f t="shared" si="9"/>
        <v> </v>
      </c>
      <c r="F2392" s="55" t="str">
        <f t="shared" si="4"/>
        <v/>
      </c>
      <c r="G2392" s="202" t="str">
        <f t="shared" si="5"/>
        <v/>
      </c>
      <c r="H2392" s="202" t="str">
        <f t="shared" si="11"/>
        <v> </v>
      </c>
      <c r="I2392" s="205" t="str">
        <f t="shared" si="7"/>
        <v/>
      </c>
      <c r="J2392" s="205"/>
      <c r="K2392" s="205"/>
    </row>
    <row r="2393" ht="14.25" customHeight="1">
      <c r="A2393" s="55">
        <v>48048.0</v>
      </c>
      <c r="B2393" s="55" t="str">
        <f t="shared" si="10"/>
        <v>Primer dia</v>
      </c>
      <c r="C2393" s="202">
        <f t="shared" si="1"/>
        <v>19</v>
      </c>
      <c r="D2393" s="202" t="str">
        <f t="shared" si="2"/>
        <v> </v>
      </c>
      <c r="E2393" s="202" t="str">
        <f t="shared" si="9"/>
        <v> </v>
      </c>
      <c r="F2393" s="55" t="str">
        <f t="shared" si="4"/>
        <v/>
      </c>
      <c r="G2393" s="202" t="str">
        <f t="shared" si="5"/>
        <v/>
      </c>
      <c r="H2393" s="202" t="str">
        <f t="shared" si="11"/>
        <v> </v>
      </c>
      <c r="I2393" s="205" t="str">
        <f t="shared" si="7"/>
        <v/>
      </c>
      <c r="J2393" s="205"/>
      <c r="K2393" s="205"/>
    </row>
    <row r="2394" ht="14.25" customHeight="1">
      <c r="A2394" s="55">
        <v>48049.0</v>
      </c>
      <c r="B2394" s="55" t="str">
        <f t="shared" si="10"/>
        <v>Primer dia</v>
      </c>
      <c r="C2394" s="202">
        <f t="shared" si="1"/>
        <v>20</v>
      </c>
      <c r="D2394" s="202" t="str">
        <f t="shared" si="2"/>
        <v> </v>
      </c>
      <c r="E2394" s="202" t="str">
        <f t="shared" si="9"/>
        <v> </v>
      </c>
      <c r="F2394" s="55" t="str">
        <f t="shared" si="4"/>
        <v/>
      </c>
      <c r="G2394" s="202" t="str">
        <f t="shared" si="5"/>
        <v/>
      </c>
      <c r="H2394" s="202" t="str">
        <f t="shared" si="11"/>
        <v> </v>
      </c>
      <c r="I2394" s="205" t="str">
        <f t="shared" si="7"/>
        <v/>
      </c>
      <c r="J2394" s="205"/>
      <c r="K2394" s="205"/>
    </row>
    <row r="2395" ht="14.25" customHeight="1">
      <c r="A2395" s="55">
        <v>48050.0</v>
      </c>
      <c r="B2395" s="55" t="str">
        <f t="shared" si="10"/>
        <v>Primer dia</v>
      </c>
      <c r="C2395" s="202">
        <f t="shared" si="1"/>
        <v>21</v>
      </c>
      <c r="D2395" s="202" t="str">
        <f t="shared" si="2"/>
        <v> </v>
      </c>
      <c r="E2395" s="202" t="str">
        <f t="shared" si="9"/>
        <v> </v>
      </c>
      <c r="F2395" s="55" t="str">
        <f t="shared" si="4"/>
        <v/>
      </c>
      <c r="G2395" s="202" t="str">
        <f t="shared" si="5"/>
        <v/>
      </c>
      <c r="H2395" s="202" t="str">
        <f t="shared" si="11"/>
        <v> </v>
      </c>
      <c r="I2395" s="205" t="str">
        <f t="shared" si="7"/>
        <v/>
      </c>
      <c r="J2395" s="205"/>
      <c r="K2395" s="205"/>
    </row>
    <row r="2396" ht="14.25" customHeight="1">
      <c r="A2396" s="55">
        <v>48051.0</v>
      </c>
      <c r="B2396" s="55" t="str">
        <f t="shared" si="10"/>
        <v>Primer dia</v>
      </c>
      <c r="C2396" s="202">
        <f t="shared" si="1"/>
        <v>22</v>
      </c>
      <c r="D2396" s="202" t="str">
        <f t="shared" si="2"/>
        <v> </v>
      </c>
      <c r="E2396" s="202" t="str">
        <f t="shared" si="9"/>
        <v> </v>
      </c>
      <c r="F2396" s="55" t="str">
        <f t="shared" si="4"/>
        <v/>
      </c>
      <c r="G2396" s="202" t="str">
        <f t="shared" si="5"/>
        <v/>
      </c>
      <c r="H2396" s="202" t="str">
        <f t="shared" si="11"/>
        <v> </v>
      </c>
      <c r="I2396" s="205" t="str">
        <f t="shared" si="7"/>
        <v/>
      </c>
      <c r="J2396" s="205"/>
      <c r="K2396" s="205"/>
    </row>
    <row r="2397" ht="14.25" customHeight="1">
      <c r="A2397" s="55">
        <v>48052.0</v>
      </c>
      <c r="B2397" s="55" t="str">
        <f t="shared" si="10"/>
        <v>Primer dia</v>
      </c>
      <c r="C2397" s="202">
        <f t="shared" si="1"/>
        <v>23</v>
      </c>
      <c r="D2397" s="202" t="str">
        <f t="shared" si="2"/>
        <v> </v>
      </c>
      <c r="E2397" s="202" t="str">
        <f t="shared" si="9"/>
        <v> </v>
      </c>
      <c r="F2397" s="55" t="str">
        <f t="shared" si="4"/>
        <v/>
      </c>
      <c r="G2397" s="202" t="str">
        <f t="shared" si="5"/>
        <v/>
      </c>
      <c r="H2397" s="202" t="str">
        <f t="shared" si="11"/>
        <v> </v>
      </c>
      <c r="I2397" s="205" t="str">
        <f t="shared" si="7"/>
        <v/>
      </c>
      <c r="J2397" s="205"/>
      <c r="K2397" s="205"/>
    </row>
    <row r="2398" ht="14.25" customHeight="1">
      <c r="A2398" s="55">
        <v>48053.0</v>
      </c>
      <c r="B2398" s="55" t="str">
        <f t="shared" si="10"/>
        <v>Primer dia</v>
      </c>
      <c r="C2398" s="202">
        <f t="shared" si="1"/>
        <v>24</v>
      </c>
      <c r="D2398" s="202" t="str">
        <f t="shared" si="2"/>
        <v> </v>
      </c>
      <c r="E2398" s="202" t="str">
        <f t="shared" si="9"/>
        <v> </v>
      </c>
      <c r="F2398" s="55" t="str">
        <f t="shared" si="4"/>
        <v/>
      </c>
      <c r="G2398" s="202" t="str">
        <f t="shared" si="5"/>
        <v/>
      </c>
      <c r="H2398" s="202" t="str">
        <f t="shared" si="11"/>
        <v> </v>
      </c>
      <c r="I2398" s="205" t="str">
        <f t="shared" si="7"/>
        <v/>
      </c>
      <c r="J2398" s="205"/>
      <c r="K2398" s="205"/>
    </row>
    <row r="2399" ht="14.25" customHeight="1">
      <c r="A2399" s="55">
        <v>48054.0</v>
      </c>
      <c r="B2399" s="55" t="str">
        <f t="shared" si="10"/>
        <v>Primer dia</v>
      </c>
      <c r="C2399" s="202">
        <f t="shared" si="1"/>
        <v>25</v>
      </c>
      <c r="D2399" s="202" t="str">
        <f t="shared" si="2"/>
        <v> </v>
      </c>
      <c r="E2399" s="202" t="str">
        <f t="shared" si="9"/>
        <v> </v>
      </c>
      <c r="F2399" s="55" t="str">
        <f t="shared" si="4"/>
        <v/>
      </c>
      <c r="G2399" s="202" t="str">
        <f t="shared" si="5"/>
        <v/>
      </c>
      <c r="H2399" s="202" t="str">
        <f t="shared" si="11"/>
        <v> </v>
      </c>
      <c r="I2399" s="205" t="str">
        <f t="shared" si="7"/>
        <v/>
      </c>
      <c r="J2399" s="205"/>
      <c r="K2399" s="205"/>
    </row>
    <row r="2400" ht="14.25" customHeight="1">
      <c r="A2400" s="55">
        <v>48055.0</v>
      </c>
      <c r="B2400" s="55" t="str">
        <f t="shared" si="10"/>
        <v>Primer dia</v>
      </c>
      <c r="C2400" s="202">
        <f t="shared" si="1"/>
        <v>26</v>
      </c>
      <c r="D2400" s="202" t="str">
        <f t="shared" si="2"/>
        <v> </v>
      </c>
      <c r="E2400" s="202" t="str">
        <f t="shared" si="9"/>
        <v> </v>
      </c>
      <c r="F2400" s="55" t="str">
        <f t="shared" si="4"/>
        <v/>
      </c>
      <c r="G2400" s="202" t="str">
        <f t="shared" si="5"/>
        <v/>
      </c>
      <c r="H2400" s="202" t="str">
        <f t="shared" si="11"/>
        <v> </v>
      </c>
      <c r="I2400" s="205" t="str">
        <f t="shared" si="7"/>
        <v/>
      </c>
      <c r="J2400" s="205"/>
      <c r="K2400" s="205"/>
    </row>
    <row r="2401" ht="14.25" customHeight="1">
      <c r="A2401" s="55">
        <v>48056.0</v>
      </c>
      <c r="B2401" s="55" t="str">
        <f t="shared" si="10"/>
        <v>Primer dia</v>
      </c>
      <c r="C2401" s="202">
        <f t="shared" si="1"/>
        <v>27</v>
      </c>
      <c r="D2401" s="202" t="str">
        <f t="shared" si="2"/>
        <v> </v>
      </c>
      <c r="E2401" s="202" t="str">
        <f t="shared" si="9"/>
        <v> </v>
      </c>
      <c r="F2401" s="55" t="str">
        <f t="shared" si="4"/>
        <v/>
      </c>
      <c r="G2401" s="202" t="str">
        <f t="shared" si="5"/>
        <v/>
      </c>
      <c r="H2401" s="202" t="str">
        <f t="shared" si="11"/>
        <v> </v>
      </c>
      <c r="I2401" s="205" t="str">
        <f t="shared" si="7"/>
        <v/>
      </c>
      <c r="J2401" s="205"/>
      <c r="K2401" s="205"/>
    </row>
    <row r="2402" ht="14.25" customHeight="1">
      <c r="A2402" s="55">
        <v>48057.0</v>
      </c>
      <c r="B2402" s="55" t="str">
        <f t="shared" si="10"/>
        <v>Primer dia</v>
      </c>
      <c r="C2402" s="202">
        <f t="shared" si="1"/>
        <v>28</v>
      </c>
      <c r="D2402" s="202" t="str">
        <f t="shared" si="2"/>
        <v> </v>
      </c>
      <c r="E2402" s="202" t="str">
        <f t="shared" si="9"/>
        <v> </v>
      </c>
      <c r="F2402" s="55" t="str">
        <f t="shared" si="4"/>
        <v/>
      </c>
      <c r="G2402" s="202" t="str">
        <f t="shared" si="5"/>
        <v/>
      </c>
      <c r="H2402" s="202" t="str">
        <f t="shared" si="11"/>
        <v> </v>
      </c>
      <c r="I2402" s="205" t="str">
        <f t="shared" si="7"/>
        <v/>
      </c>
      <c r="J2402" s="205"/>
      <c r="K2402" s="205"/>
    </row>
    <row r="2403" ht="14.25" customHeight="1">
      <c r="A2403" s="55">
        <v>48058.0</v>
      </c>
      <c r="B2403" s="55" t="str">
        <f t="shared" si="10"/>
        <v>Primer dia</v>
      </c>
      <c r="C2403" s="202">
        <f t="shared" si="1"/>
        <v>29</v>
      </c>
      <c r="D2403" s="202" t="str">
        <f t="shared" si="2"/>
        <v> </v>
      </c>
      <c r="E2403" s="202" t="str">
        <f t="shared" si="9"/>
        <v> </v>
      </c>
      <c r="F2403" s="55" t="str">
        <f t="shared" si="4"/>
        <v/>
      </c>
      <c r="G2403" s="202" t="str">
        <f t="shared" si="5"/>
        <v/>
      </c>
      <c r="H2403" s="202" t="str">
        <f t="shared" si="11"/>
        <v> </v>
      </c>
      <c r="I2403" s="205" t="str">
        <f t="shared" si="7"/>
        <v/>
      </c>
      <c r="J2403" s="205"/>
      <c r="K2403" s="205"/>
    </row>
    <row r="2404" ht="14.25" customHeight="1">
      <c r="A2404" s="55">
        <v>48059.0</v>
      </c>
      <c r="B2404" s="55" t="str">
        <f t="shared" si="10"/>
        <v>Primer dia</v>
      </c>
      <c r="C2404" s="202">
        <f t="shared" si="1"/>
        <v>30</v>
      </c>
      <c r="D2404" s="202" t="str">
        <f t="shared" si="2"/>
        <v> </v>
      </c>
      <c r="E2404" s="202" t="str">
        <f t="shared" si="9"/>
        <v> </v>
      </c>
      <c r="F2404" s="55" t="str">
        <f t="shared" si="4"/>
        <v/>
      </c>
      <c r="G2404" s="202" t="str">
        <f t="shared" si="5"/>
        <v/>
      </c>
      <c r="H2404" s="202" t="str">
        <f t="shared" si="11"/>
        <v> </v>
      </c>
      <c r="I2404" s="205" t="str">
        <f t="shared" si="7"/>
        <v/>
      </c>
      <c r="J2404" s="205"/>
      <c r="K2404" s="205"/>
    </row>
    <row r="2405" ht="14.25" customHeight="1">
      <c r="A2405" s="55">
        <v>48060.0</v>
      </c>
      <c r="B2405" s="55" t="str">
        <f t="shared" si="10"/>
        <v>Primer dia</v>
      </c>
      <c r="C2405" s="202">
        <f t="shared" si="1"/>
        <v>31</v>
      </c>
      <c r="D2405" s="202" t="str">
        <f t="shared" si="2"/>
        <v> </v>
      </c>
      <c r="E2405" s="202" t="str">
        <f t="shared" si="9"/>
        <v> </v>
      </c>
      <c r="F2405" s="55" t="str">
        <f t="shared" si="4"/>
        <v/>
      </c>
      <c r="G2405" s="202" t="str">
        <f t="shared" si="5"/>
        <v/>
      </c>
      <c r="H2405" s="202" t="str">
        <f t="shared" si="11"/>
        <v> </v>
      </c>
      <c r="I2405" s="205" t="str">
        <f t="shared" si="7"/>
        <v/>
      </c>
      <c r="J2405" s="205"/>
      <c r="K2405" s="205"/>
    </row>
    <row r="2406" ht="14.25" customHeight="1">
      <c r="A2406" s="55">
        <v>48061.0</v>
      </c>
      <c r="B2406" s="55" t="str">
        <f t="shared" si="10"/>
        <v>Primer dia</v>
      </c>
      <c r="C2406" s="202">
        <f t="shared" si="1"/>
        <v>1</v>
      </c>
      <c r="D2406" s="202" t="str">
        <f t="shared" si="2"/>
        <v> </v>
      </c>
      <c r="E2406" s="202" t="str">
        <f t="shared" si="9"/>
        <v> </v>
      </c>
      <c r="F2406" s="55" t="str">
        <f t="shared" si="4"/>
        <v/>
      </c>
      <c r="G2406" s="202" t="str">
        <f t="shared" si="5"/>
        <v/>
      </c>
      <c r="H2406" s="202" t="str">
        <f t="shared" si="11"/>
        <v> </v>
      </c>
      <c r="I2406" s="205" t="str">
        <f t="shared" si="7"/>
        <v/>
      </c>
      <c r="J2406" s="205"/>
      <c r="K2406" s="205"/>
    </row>
    <row r="2407" ht="14.25" customHeight="1">
      <c r="A2407" s="55">
        <v>48062.0</v>
      </c>
      <c r="B2407" s="55" t="str">
        <f t="shared" si="10"/>
        <v>Primer dia</v>
      </c>
      <c r="C2407" s="202">
        <f t="shared" si="1"/>
        <v>2</v>
      </c>
      <c r="D2407" s="202" t="str">
        <f t="shared" si="2"/>
        <v> </v>
      </c>
      <c r="E2407" s="202">
        <f t="shared" si="9"/>
        <v>2</v>
      </c>
      <c r="F2407" s="55">
        <f t="shared" si="4"/>
        <v>48062</v>
      </c>
      <c r="G2407" s="202">
        <f t="shared" si="5"/>
        <v>133</v>
      </c>
      <c r="H2407" s="202" t="str">
        <f t="shared" si="11"/>
        <v> </v>
      </c>
      <c r="I2407" s="205" t="str">
        <f t="shared" si="7"/>
        <v/>
      </c>
      <c r="J2407" s="205"/>
      <c r="K2407" s="205"/>
    </row>
    <row r="2408" ht="14.25" customHeight="1">
      <c r="A2408" s="55">
        <v>48063.0</v>
      </c>
      <c r="B2408" s="55" t="str">
        <f t="shared" si="10"/>
        <v>Primer dia</v>
      </c>
      <c r="C2408" s="202">
        <f t="shared" si="1"/>
        <v>3</v>
      </c>
      <c r="D2408" s="202" t="str">
        <f t="shared" si="2"/>
        <v> </v>
      </c>
      <c r="E2408" s="202" t="str">
        <f t="shared" si="9"/>
        <v> </v>
      </c>
      <c r="F2408" s="55" t="str">
        <f t="shared" si="4"/>
        <v/>
      </c>
      <c r="G2408" s="202" t="str">
        <f t="shared" si="5"/>
        <v/>
      </c>
      <c r="H2408" s="202" t="str">
        <f t="shared" si="11"/>
        <v> </v>
      </c>
      <c r="I2408" s="205" t="str">
        <f t="shared" si="7"/>
        <v/>
      </c>
      <c r="J2408" s="205"/>
      <c r="K2408" s="205"/>
    </row>
    <row r="2409" ht="14.25" customHeight="1">
      <c r="A2409" s="55">
        <v>48064.0</v>
      </c>
      <c r="B2409" s="55" t="str">
        <f t="shared" si="10"/>
        <v>Primer dia</v>
      </c>
      <c r="C2409" s="202">
        <f t="shared" si="1"/>
        <v>4</v>
      </c>
      <c r="D2409" s="202" t="str">
        <f t="shared" si="2"/>
        <v> </v>
      </c>
      <c r="E2409" s="202" t="str">
        <f t="shared" si="9"/>
        <v> </v>
      </c>
      <c r="F2409" s="55" t="str">
        <f t="shared" si="4"/>
        <v/>
      </c>
      <c r="G2409" s="202" t="str">
        <f t="shared" si="5"/>
        <v/>
      </c>
      <c r="H2409" s="202" t="str">
        <f t="shared" si="11"/>
        <v> </v>
      </c>
      <c r="I2409" s="205" t="str">
        <f t="shared" si="7"/>
        <v/>
      </c>
      <c r="J2409" s="205"/>
      <c r="K2409" s="205"/>
    </row>
    <row r="2410" ht="14.25" customHeight="1">
      <c r="A2410" s="55">
        <v>48065.0</v>
      </c>
      <c r="B2410" s="55" t="str">
        <f t="shared" si="10"/>
        <v>Primer dia</v>
      </c>
      <c r="C2410" s="202">
        <f t="shared" si="1"/>
        <v>5</v>
      </c>
      <c r="D2410" s="202" t="str">
        <f t="shared" si="2"/>
        <v> </v>
      </c>
      <c r="E2410" s="202" t="str">
        <f t="shared" si="9"/>
        <v> </v>
      </c>
      <c r="F2410" s="55" t="str">
        <f t="shared" si="4"/>
        <v/>
      </c>
      <c r="G2410" s="202" t="str">
        <f t="shared" si="5"/>
        <v/>
      </c>
      <c r="H2410" s="202" t="str">
        <f t="shared" si="11"/>
        <v> </v>
      </c>
      <c r="I2410" s="205" t="str">
        <f t="shared" si="7"/>
        <v/>
      </c>
      <c r="J2410" s="205"/>
      <c r="K2410" s="205"/>
    </row>
    <row r="2411" ht="14.25" customHeight="1">
      <c r="A2411" s="55">
        <v>48066.0</v>
      </c>
      <c r="B2411" s="55" t="str">
        <f t="shared" si="10"/>
        <v>Primer dia</v>
      </c>
      <c r="C2411" s="202">
        <f t="shared" si="1"/>
        <v>6</v>
      </c>
      <c r="D2411" s="202" t="str">
        <f t="shared" si="2"/>
        <v> </v>
      </c>
      <c r="E2411" s="202" t="str">
        <f t="shared" si="9"/>
        <v> </v>
      </c>
      <c r="F2411" s="55" t="str">
        <f t="shared" si="4"/>
        <v/>
      </c>
      <c r="G2411" s="202" t="str">
        <f t="shared" si="5"/>
        <v/>
      </c>
      <c r="H2411" s="202" t="str">
        <f t="shared" si="11"/>
        <v> </v>
      </c>
      <c r="I2411" s="205" t="str">
        <f t="shared" si="7"/>
        <v/>
      </c>
      <c r="J2411" s="205"/>
      <c r="K2411" s="205"/>
    </row>
    <row r="2412" ht="14.25" customHeight="1">
      <c r="A2412" s="55">
        <v>48067.0</v>
      </c>
      <c r="B2412" s="55" t="str">
        <f t="shared" si="10"/>
        <v>Primer dia</v>
      </c>
      <c r="C2412" s="202">
        <f t="shared" si="1"/>
        <v>7</v>
      </c>
      <c r="D2412" s="202" t="str">
        <f t="shared" si="2"/>
        <v> </v>
      </c>
      <c r="E2412" s="202" t="str">
        <f t="shared" si="9"/>
        <v> </v>
      </c>
      <c r="F2412" s="55" t="str">
        <f t="shared" si="4"/>
        <v/>
      </c>
      <c r="G2412" s="202" t="str">
        <f t="shared" si="5"/>
        <v/>
      </c>
      <c r="H2412" s="202" t="str">
        <f t="shared" si="11"/>
        <v> </v>
      </c>
      <c r="I2412" s="205" t="str">
        <f t="shared" si="7"/>
        <v/>
      </c>
      <c r="J2412" s="205"/>
      <c r="K2412" s="205"/>
    </row>
    <row r="2413" ht="14.25" customHeight="1">
      <c r="A2413" s="55">
        <v>48068.0</v>
      </c>
      <c r="B2413" s="55" t="str">
        <f t="shared" si="10"/>
        <v>Primer dia</v>
      </c>
      <c r="C2413" s="202">
        <f t="shared" si="1"/>
        <v>8</v>
      </c>
      <c r="D2413" s="202" t="str">
        <f t="shared" si="2"/>
        <v> </v>
      </c>
      <c r="E2413" s="202" t="str">
        <f t="shared" si="9"/>
        <v> </v>
      </c>
      <c r="F2413" s="55" t="str">
        <f t="shared" si="4"/>
        <v/>
      </c>
      <c r="G2413" s="202" t="str">
        <f t="shared" si="5"/>
        <v/>
      </c>
      <c r="H2413" s="202" t="str">
        <f t="shared" si="11"/>
        <v> </v>
      </c>
      <c r="I2413" s="205" t="str">
        <f t="shared" si="7"/>
        <v/>
      </c>
      <c r="J2413" s="205"/>
      <c r="K2413" s="205"/>
    </row>
    <row r="2414" ht="14.25" customHeight="1">
      <c r="A2414" s="55">
        <v>48069.0</v>
      </c>
      <c r="B2414" s="55" t="str">
        <f t="shared" si="10"/>
        <v>Primer dia</v>
      </c>
      <c r="C2414" s="202">
        <f t="shared" si="1"/>
        <v>9</v>
      </c>
      <c r="D2414" s="202" t="str">
        <f t="shared" si="2"/>
        <v> </v>
      </c>
      <c r="E2414" s="202" t="str">
        <f t="shared" si="9"/>
        <v> </v>
      </c>
      <c r="F2414" s="55" t="str">
        <f t="shared" si="4"/>
        <v/>
      </c>
      <c r="G2414" s="202" t="str">
        <f t="shared" si="5"/>
        <v/>
      </c>
      <c r="H2414" s="202" t="str">
        <f t="shared" si="11"/>
        <v> </v>
      </c>
      <c r="I2414" s="205" t="str">
        <f t="shared" si="7"/>
        <v/>
      </c>
      <c r="J2414" s="205"/>
      <c r="K2414" s="205"/>
    </row>
    <row r="2415" ht="14.25" customHeight="1">
      <c r="A2415" s="55">
        <v>48070.0</v>
      </c>
      <c r="B2415" s="55" t="str">
        <f t="shared" si="10"/>
        <v>Primer dia</v>
      </c>
      <c r="C2415" s="202">
        <f t="shared" si="1"/>
        <v>10</v>
      </c>
      <c r="D2415" s="202" t="str">
        <f t="shared" si="2"/>
        <v> </v>
      </c>
      <c r="E2415" s="202" t="str">
        <f t="shared" si="9"/>
        <v> </v>
      </c>
      <c r="F2415" s="55" t="str">
        <f t="shared" si="4"/>
        <v/>
      </c>
      <c r="G2415" s="202" t="str">
        <f t="shared" si="5"/>
        <v/>
      </c>
      <c r="H2415" s="202" t="str">
        <f t="shared" si="11"/>
        <v> </v>
      </c>
      <c r="I2415" s="205" t="str">
        <f t="shared" si="7"/>
        <v/>
      </c>
      <c r="J2415" s="205"/>
      <c r="K2415" s="205"/>
    </row>
    <row r="2416" ht="14.25" customHeight="1">
      <c r="A2416" s="55">
        <v>48071.0</v>
      </c>
      <c r="B2416" s="55" t="str">
        <f t="shared" si="10"/>
        <v>Primer dia</v>
      </c>
      <c r="C2416" s="202">
        <f t="shared" si="1"/>
        <v>11</v>
      </c>
      <c r="D2416" s="202" t="str">
        <f t="shared" si="2"/>
        <v> </v>
      </c>
      <c r="E2416" s="202" t="str">
        <f t="shared" si="9"/>
        <v> </v>
      </c>
      <c r="F2416" s="55" t="str">
        <f t="shared" si="4"/>
        <v/>
      </c>
      <c r="G2416" s="202" t="str">
        <f t="shared" si="5"/>
        <v/>
      </c>
      <c r="H2416" s="202" t="str">
        <f t="shared" si="11"/>
        <v> </v>
      </c>
      <c r="I2416" s="205" t="str">
        <f t="shared" si="7"/>
        <v/>
      </c>
      <c r="J2416" s="205"/>
      <c r="K2416" s="205"/>
    </row>
    <row r="2417" ht="14.25" customHeight="1">
      <c r="A2417" s="55">
        <v>48072.0</v>
      </c>
      <c r="B2417" s="55" t="str">
        <f t="shared" si="10"/>
        <v>Primer dia</v>
      </c>
      <c r="C2417" s="202">
        <f t="shared" si="1"/>
        <v>12</v>
      </c>
      <c r="D2417" s="202" t="str">
        <f t="shared" si="2"/>
        <v> </v>
      </c>
      <c r="E2417" s="202" t="str">
        <f t="shared" si="9"/>
        <v> </v>
      </c>
      <c r="F2417" s="55" t="str">
        <f t="shared" si="4"/>
        <v/>
      </c>
      <c r="G2417" s="202" t="str">
        <f t="shared" si="5"/>
        <v/>
      </c>
      <c r="H2417" s="202" t="str">
        <f t="shared" si="11"/>
        <v> </v>
      </c>
      <c r="I2417" s="205" t="str">
        <f t="shared" si="7"/>
        <v/>
      </c>
      <c r="J2417" s="205"/>
      <c r="K2417" s="205"/>
    </row>
    <row r="2418" ht="14.25" customHeight="1">
      <c r="A2418" s="55">
        <v>48073.0</v>
      </c>
      <c r="B2418" s="55" t="str">
        <f t="shared" si="10"/>
        <v>Primer dia</v>
      </c>
      <c r="C2418" s="202">
        <f t="shared" si="1"/>
        <v>13</v>
      </c>
      <c r="D2418" s="202" t="str">
        <f t="shared" si="2"/>
        <v> </v>
      </c>
      <c r="E2418" s="202" t="str">
        <f t="shared" si="9"/>
        <v> </v>
      </c>
      <c r="F2418" s="55" t="str">
        <f t="shared" si="4"/>
        <v/>
      </c>
      <c r="G2418" s="202" t="str">
        <f t="shared" si="5"/>
        <v/>
      </c>
      <c r="H2418" s="202" t="str">
        <f t="shared" si="11"/>
        <v> </v>
      </c>
      <c r="I2418" s="205" t="str">
        <f t="shared" si="7"/>
        <v/>
      </c>
      <c r="J2418" s="205"/>
      <c r="K2418" s="205"/>
    </row>
    <row r="2419" ht="14.25" customHeight="1">
      <c r="A2419" s="55">
        <v>48074.0</v>
      </c>
      <c r="B2419" s="55" t="str">
        <f t="shared" si="10"/>
        <v>Primer dia</v>
      </c>
      <c r="C2419" s="202">
        <f t="shared" si="1"/>
        <v>14</v>
      </c>
      <c r="D2419" s="202" t="str">
        <f t="shared" si="2"/>
        <v> </v>
      </c>
      <c r="E2419" s="202" t="str">
        <f t="shared" si="9"/>
        <v> </v>
      </c>
      <c r="F2419" s="55" t="str">
        <f t="shared" si="4"/>
        <v/>
      </c>
      <c r="G2419" s="202" t="str">
        <f t="shared" si="5"/>
        <v/>
      </c>
      <c r="H2419" s="202" t="str">
        <f t="shared" si="11"/>
        <v> </v>
      </c>
      <c r="I2419" s="205" t="str">
        <f t="shared" si="7"/>
        <v/>
      </c>
      <c r="J2419" s="205"/>
      <c r="K2419" s="205"/>
    </row>
    <row r="2420" ht="14.25" customHeight="1">
      <c r="A2420" s="55">
        <v>48075.0</v>
      </c>
      <c r="B2420" s="55" t="str">
        <f t="shared" si="10"/>
        <v>Primer dia</v>
      </c>
      <c r="C2420" s="202">
        <f t="shared" si="1"/>
        <v>15</v>
      </c>
      <c r="D2420" s="202" t="str">
        <f t="shared" si="2"/>
        <v> </v>
      </c>
      <c r="E2420" s="202" t="str">
        <f t="shared" si="9"/>
        <v> </v>
      </c>
      <c r="F2420" s="55" t="str">
        <f t="shared" si="4"/>
        <v/>
      </c>
      <c r="G2420" s="202" t="str">
        <f t="shared" si="5"/>
        <v/>
      </c>
      <c r="H2420" s="202" t="str">
        <f t="shared" si="11"/>
        <v> </v>
      </c>
      <c r="I2420" s="205" t="str">
        <f t="shared" si="7"/>
        <v/>
      </c>
      <c r="J2420" s="205"/>
      <c r="K2420" s="205"/>
    </row>
    <row r="2421" ht="14.25" customHeight="1">
      <c r="A2421" s="55">
        <v>48076.0</v>
      </c>
      <c r="B2421" s="55" t="str">
        <f t="shared" si="10"/>
        <v>Primer dia</v>
      </c>
      <c r="C2421" s="202">
        <f t="shared" si="1"/>
        <v>16</v>
      </c>
      <c r="D2421" s="202" t="str">
        <f t="shared" si="2"/>
        <v> </v>
      </c>
      <c r="E2421" s="202" t="str">
        <f t="shared" si="9"/>
        <v> </v>
      </c>
      <c r="F2421" s="55" t="str">
        <f t="shared" si="4"/>
        <v/>
      </c>
      <c r="G2421" s="202" t="str">
        <f t="shared" si="5"/>
        <v/>
      </c>
      <c r="H2421" s="202" t="str">
        <f t="shared" si="11"/>
        <v> </v>
      </c>
      <c r="I2421" s="205" t="str">
        <f t="shared" si="7"/>
        <v/>
      </c>
      <c r="J2421" s="205"/>
      <c r="K2421" s="205"/>
    </row>
    <row r="2422" ht="14.25" customHeight="1">
      <c r="A2422" s="55">
        <v>48077.0</v>
      </c>
      <c r="B2422" s="55" t="str">
        <f t="shared" si="10"/>
        <v>Primer dia</v>
      </c>
      <c r="C2422" s="202">
        <f t="shared" si="1"/>
        <v>17</v>
      </c>
      <c r="D2422" s="202" t="str">
        <f t="shared" si="2"/>
        <v> </v>
      </c>
      <c r="E2422" s="202">
        <f t="shared" si="9"/>
        <v>17</v>
      </c>
      <c r="F2422" s="55">
        <f t="shared" si="4"/>
        <v>48077</v>
      </c>
      <c r="G2422" s="202">
        <f t="shared" si="5"/>
        <v>134</v>
      </c>
      <c r="H2422" s="202" t="str">
        <f t="shared" si="11"/>
        <v> </v>
      </c>
      <c r="I2422" s="205" t="str">
        <f t="shared" si="7"/>
        <v/>
      </c>
      <c r="J2422" s="205"/>
      <c r="K2422" s="205"/>
    </row>
    <row r="2423" ht="14.25" customHeight="1">
      <c r="A2423" s="55">
        <v>48078.0</v>
      </c>
      <c r="B2423" s="55" t="str">
        <f t="shared" si="10"/>
        <v>Primer dia</v>
      </c>
      <c r="C2423" s="202">
        <f t="shared" si="1"/>
        <v>18</v>
      </c>
      <c r="D2423" s="202" t="str">
        <f t="shared" si="2"/>
        <v> </v>
      </c>
      <c r="E2423" s="202" t="str">
        <f t="shared" si="9"/>
        <v> </v>
      </c>
      <c r="F2423" s="55" t="str">
        <f t="shared" si="4"/>
        <v/>
      </c>
      <c r="G2423" s="202" t="str">
        <f t="shared" si="5"/>
        <v/>
      </c>
      <c r="H2423" s="202" t="str">
        <f t="shared" si="11"/>
        <v> </v>
      </c>
      <c r="I2423" s="205" t="str">
        <f t="shared" si="7"/>
        <v/>
      </c>
      <c r="J2423" s="205"/>
      <c r="K2423" s="205"/>
    </row>
    <row r="2424" ht="14.25" customHeight="1">
      <c r="A2424" s="55">
        <v>48079.0</v>
      </c>
      <c r="B2424" s="55" t="str">
        <f t="shared" si="10"/>
        <v>Primer dia</v>
      </c>
      <c r="C2424" s="202">
        <f t="shared" si="1"/>
        <v>19</v>
      </c>
      <c r="D2424" s="202" t="str">
        <f t="shared" si="2"/>
        <v> </v>
      </c>
      <c r="E2424" s="202" t="str">
        <f t="shared" si="9"/>
        <v> </v>
      </c>
      <c r="F2424" s="55" t="str">
        <f t="shared" si="4"/>
        <v/>
      </c>
      <c r="G2424" s="202" t="str">
        <f t="shared" si="5"/>
        <v/>
      </c>
      <c r="H2424" s="202" t="str">
        <f t="shared" si="11"/>
        <v> </v>
      </c>
      <c r="I2424" s="205" t="str">
        <f t="shared" si="7"/>
        <v/>
      </c>
      <c r="J2424" s="205"/>
      <c r="K2424" s="205"/>
    </row>
    <row r="2425" ht="14.25" customHeight="1">
      <c r="A2425" s="55">
        <v>48080.0</v>
      </c>
      <c r="B2425" s="55" t="str">
        <f t="shared" si="10"/>
        <v>Primer dia</v>
      </c>
      <c r="C2425" s="202">
        <f t="shared" si="1"/>
        <v>20</v>
      </c>
      <c r="D2425" s="202" t="str">
        <f t="shared" si="2"/>
        <v> </v>
      </c>
      <c r="E2425" s="202" t="str">
        <f t="shared" si="9"/>
        <v> </v>
      </c>
      <c r="F2425" s="55" t="str">
        <f t="shared" si="4"/>
        <v/>
      </c>
      <c r="G2425" s="202" t="str">
        <f t="shared" si="5"/>
        <v/>
      </c>
      <c r="H2425" s="202" t="str">
        <f t="shared" si="11"/>
        <v> </v>
      </c>
      <c r="I2425" s="205" t="str">
        <f t="shared" si="7"/>
        <v/>
      </c>
      <c r="J2425" s="205"/>
      <c r="K2425" s="205"/>
    </row>
    <row r="2426" ht="14.25" customHeight="1">
      <c r="A2426" s="55">
        <v>48081.0</v>
      </c>
      <c r="B2426" s="55" t="str">
        <f t="shared" si="10"/>
        <v>Primer dia</v>
      </c>
      <c r="C2426" s="202">
        <f t="shared" si="1"/>
        <v>21</v>
      </c>
      <c r="D2426" s="202" t="str">
        <f t="shared" si="2"/>
        <v> </v>
      </c>
      <c r="E2426" s="202" t="str">
        <f t="shared" si="9"/>
        <v> </v>
      </c>
      <c r="F2426" s="55" t="str">
        <f t="shared" si="4"/>
        <v/>
      </c>
      <c r="G2426" s="202" t="str">
        <f t="shared" si="5"/>
        <v/>
      </c>
      <c r="H2426" s="202" t="str">
        <f t="shared" si="11"/>
        <v> </v>
      </c>
      <c r="I2426" s="205" t="str">
        <f t="shared" si="7"/>
        <v/>
      </c>
      <c r="J2426" s="205"/>
      <c r="K2426" s="205"/>
    </row>
    <row r="2427" ht="14.25" customHeight="1">
      <c r="A2427" s="55">
        <v>48082.0</v>
      </c>
      <c r="B2427" s="55" t="str">
        <f t="shared" si="10"/>
        <v>Primer dia</v>
      </c>
      <c r="C2427" s="202">
        <f t="shared" si="1"/>
        <v>22</v>
      </c>
      <c r="D2427" s="202" t="str">
        <f t="shared" si="2"/>
        <v> </v>
      </c>
      <c r="E2427" s="202" t="str">
        <f t="shared" si="9"/>
        <v> </v>
      </c>
      <c r="F2427" s="55" t="str">
        <f t="shared" si="4"/>
        <v/>
      </c>
      <c r="G2427" s="202" t="str">
        <f t="shared" si="5"/>
        <v/>
      </c>
      <c r="H2427" s="202" t="str">
        <f t="shared" si="11"/>
        <v> </v>
      </c>
      <c r="I2427" s="205" t="str">
        <f t="shared" si="7"/>
        <v/>
      </c>
      <c r="J2427" s="205"/>
      <c r="K2427" s="205"/>
    </row>
    <row r="2428" ht="14.25" customHeight="1">
      <c r="A2428" s="55">
        <v>48083.0</v>
      </c>
      <c r="B2428" s="55" t="str">
        <f t="shared" si="10"/>
        <v>Primer dia</v>
      </c>
      <c r="C2428" s="202">
        <f t="shared" si="1"/>
        <v>23</v>
      </c>
      <c r="D2428" s="202" t="str">
        <f t="shared" si="2"/>
        <v> </v>
      </c>
      <c r="E2428" s="202" t="str">
        <f t="shared" si="9"/>
        <v> </v>
      </c>
      <c r="F2428" s="55" t="str">
        <f t="shared" si="4"/>
        <v/>
      </c>
      <c r="G2428" s="202" t="str">
        <f t="shared" si="5"/>
        <v/>
      </c>
      <c r="H2428" s="202" t="str">
        <f t="shared" si="11"/>
        <v> </v>
      </c>
      <c r="I2428" s="205" t="str">
        <f t="shared" si="7"/>
        <v/>
      </c>
      <c r="J2428" s="205"/>
      <c r="K2428" s="205"/>
    </row>
    <row r="2429" ht="14.25" customHeight="1">
      <c r="A2429" s="55">
        <v>48084.0</v>
      </c>
      <c r="B2429" s="55" t="str">
        <f t="shared" si="10"/>
        <v>Primer dia</v>
      </c>
      <c r="C2429" s="202">
        <f t="shared" si="1"/>
        <v>24</v>
      </c>
      <c r="D2429" s="202" t="str">
        <f t="shared" si="2"/>
        <v> </v>
      </c>
      <c r="E2429" s="202" t="str">
        <f t="shared" si="9"/>
        <v> </v>
      </c>
      <c r="F2429" s="55" t="str">
        <f t="shared" si="4"/>
        <v/>
      </c>
      <c r="G2429" s="202" t="str">
        <f t="shared" si="5"/>
        <v/>
      </c>
      <c r="H2429" s="202" t="str">
        <f t="shared" si="11"/>
        <v> </v>
      </c>
      <c r="I2429" s="205" t="str">
        <f t="shared" si="7"/>
        <v/>
      </c>
      <c r="J2429" s="205"/>
      <c r="K2429" s="205"/>
    </row>
    <row r="2430" ht="14.25" customHeight="1">
      <c r="A2430" s="55">
        <v>48085.0</v>
      </c>
      <c r="B2430" s="55" t="str">
        <f t="shared" si="10"/>
        <v>Primer dia</v>
      </c>
      <c r="C2430" s="202">
        <f t="shared" si="1"/>
        <v>25</v>
      </c>
      <c r="D2430" s="202" t="str">
        <f t="shared" si="2"/>
        <v> </v>
      </c>
      <c r="E2430" s="202" t="str">
        <f t="shared" si="9"/>
        <v> </v>
      </c>
      <c r="F2430" s="55" t="str">
        <f t="shared" si="4"/>
        <v/>
      </c>
      <c r="G2430" s="202" t="str">
        <f t="shared" si="5"/>
        <v/>
      </c>
      <c r="H2430" s="202" t="str">
        <f t="shared" si="11"/>
        <v> </v>
      </c>
      <c r="I2430" s="205" t="str">
        <f t="shared" si="7"/>
        <v/>
      </c>
      <c r="J2430" s="205"/>
      <c r="K2430" s="205"/>
    </row>
    <row r="2431" ht="14.25" customHeight="1">
      <c r="A2431" s="55">
        <v>48086.0</v>
      </c>
      <c r="B2431" s="55" t="str">
        <f t="shared" si="10"/>
        <v>Primer dia</v>
      </c>
      <c r="C2431" s="202">
        <f t="shared" si="1"/>
        <v>26</v>
      </c>
      <c r="D2431" s="202" t="str">
        <f t="shared" si="2"/>
        <v> </v>
      </c>
      <c r="E2431" s="202" t="str">
        <f t="shared" si="9"/>
        <v> </v>
      </c>
      <c r="F2431" s="55" t="str">
        <f t="shared" si="4"/>
        <v/>
      </c>
      <c r="G2431" s="202" t="str">
        <f t="shared" si="5"/>
        <v/>
      </c>
      <c r="H2431" s="202" t="str">
        <f t="shared" si="11"/>
        <v> </v>
      </c>
      <c r="I2431" s="205" t="str">
        <f t="shared" si="7"/>
        <v/>
      </c>
      <c r="J2431" s="205"/>
      <c r="K2431" s="205"/>
    </row>
    <row r="2432" ht="14.25" customHeight="1">
      <c r="A2432" s="55">
        <v>48087.0</v>
      </c>
      <c r="B2432" s="55" t="str">
        <f t="shared" si="10"/>
        <v>Primer dia</v>
      </c>
      <c r="C2432" s="202">
        <f t="shared" si="1"/>
        <v>27</v>
      </c>
      <c r="D2432" s="202" t="str">
        <f t="shared" si="2"/>
        <v> </v>
      </c>
      <c r="E2432" s="202" t="str">
        <f t="shared" si="9"/>
        <v> </v>
      </c>
      <c r="F2432" s="55" t="str">
        <f t="shared" si="4"/>
        <v/>
      </c>
      <c r="G2432" s="202" t="str">
        <f t="shared" si="5"/>
        <v/>
      </c>
      <c r="H2432" s="202" t="str">
        <f t="shared" si="11"/>
        <v> </v>
      </c>
      <c r="I2432" s="205" t="str">
        <f t="shared" si="7"/>
        <v/>
      </c>
      <c r="J2432" s="205"/>
      <c r="K2432" s="205"/>
    </row>
    <row r="2433" ht="14.25" customHeight="1">
      <c r="A2433" s="55">
        <v>48088.0</v>
      </c>
      <c r="B2433" s="55" t="str">
        <f t="shared" si="10"/>
        <v>Primer dia</v>
      </c>
      <c r="C2433" s="202">
        <f t="shared" si="1"/>
        <v>28</v>
      </c>
      <c r="D2433" s="202" t="str">
        <f t="shared" si="2"/>
        <v> </v>
      </c>
      <c r="E2433" s="202" t="str">
        <f t="shared" si="9"/>
        <v> </v>
      </c>
      <c r="F2433" s="55" t="str">
        <f t="shared" si="4"/>
        <v/>
      </c>
      <c r="G2433" s="202" t="str">
        <f t="shared" si="5"/>
        <v/>
      </c>
      <c r="H2433" s="202" t="str">
        <f t="shared" si="11"/>
        <v> </v>
      </c>
      <c r="I2433" s="205" t="str">
        <f t="shared" si="7"/>
        <v/>
      </c>
      <c r="J2433" s="205"/>
      <c r="K2433" s="205"/>
    </row>
    <row r="2434" ht="14.25" customHeight="1">
      <c r="A2434" s="55">
        <v>48089.0</v>
      </c>
      <c r="B2434" s="55" t="str">
        <f t="shared" si="10"/>
        <v>Primer dia</v>
      </c>
      <c r="C2434" s="202">
        <f t="shared" si="1"/>
        <v>29</v>
      </c>
      <c r="D2434" s="202" t="str">
        <f t="shared" si="2"/>
        <v> </v>
      </c>
      <c r="E2434" s="202" t="str">
        <f t="shared" si="9"/>
        <v> </v>
      </c>
      <c r="F2434" s="55" t="str">
        <f t="shared" si="4"/>
        <v/>
      </c>
      <c r="G2434" s="202" t="str">
        <f t="shared" si="5"/>
        <v/>
      </c>
      <c r="H2434" s="202" t="str">
        <f t="shared" si="11"/>
        <v> </v>
      </c>
      <c r="I2434" s="205" t="str">
        <f t="shared" si="7"/>
        <v/>
      </c>
      <c r="J2434" s="205"/>
      <c r="K2434" s="205"/>
    </row>
    <row r="2435" ht="14.25" customHeight="1">
      <c r="A2435" s="55">
        <v>48090.0</v>
      </c>
      <c r="B2435" s="55" t="str">
        <f t="shared" si="10"/>
        <v>Primer dia</v>
      </c>
      <c r="C2435" s="202">
        <f t="shared" si="1"/>
        <v>30</v>
      </c>
      <c r="D2435" s="202" t="str">
        <f t="shared" si="2"/>
        <v> </v>
      </c>
      <c r="E2435" s="202" t="str">
        <f t="shared" si="9"/>
        <v> </v>
      </c>
      <c r="F2435" s="55" t="str">
        <f t="shared" si="4"/>
        <v/>
      </c>
      <c r="G2435" s="202" t="str">
        <f t="shared" si="5"/>
        <v/>
      </c>
      <c r="H2435" s="202" t="str">
        <f t="shared" si="11"/>
        <v> </v>
      </c>
      <c r="I2435" s="205" t="str">
        <f t="shared" si="7"/>
        <v/>
      </c>
      <c r="J2435" s="205"/>
      <c r="K2435" s="205"/>
    </row>
    <row r="2436" ht="14.25" customHeight="1">
      <c r="A2436" s="55">
        <v>48091.0</v>
      </c>
      <c r="B2436" s="55" t="str">
        <f t="shared" si="10"/>
        <v>Primer dia</v>
      </c>
      <c r="C2436" s="202">
        <f t="shared" si="1"/>
        <v>31</v>
      </c>
      <c r="D2436" s="202" t="str">
        <f t="shared" si="2"/>
        <v> </v>
      </c>
      <c r="E2436" s="202" t="str">
        <f t="shared" si="9"/>
        <v> </v>
      </c>
      <c r="F2436" s="55" t="str">
        <f t="shared" si="4"/>
        <v/>
      </c>
      <c r="G2436" s="202" t="str">
        <f t="shared" si="5"/>
        <v/>
      </c>
      <c r="H2436" s="202" t="str">
        <f t="shared" si="11"/>
        <v> </v>
      </c>
      <c r="I2436" s="205" t="str">
        <f t="shared" si="7"/>
        <v/>
      </c>
      <c r="J2436" s="205"/>
      <c r="K2436" s="205"/>
    </row>
    <row r="2437" ht="14.25" customHeight="1">
      <c r="A2437" s="55">
        <v>48092.0</v>
      </c>
      <c r="B2437" s="55" t="str">
        <f t="shared" si="10"/>
        <v>Primer dia</v>
      </c>
      <c r="C2437" s="202">
        <f t="shared" si="1"/>
        <v>1</v>
      </c>
      <c r="D2437" s="202" t="str">
        <f t="shared" si="2"/>
        <v> </v>
      </c>
      <c r="E2437" s="202" t="str">
        <f t="shared" si="9"/>
        <v> </v>
      </c>
      <c r="F2437" s="55" t="str">
        <f t="shared" si="4"/>
        <v/>
      </c>
      <c r="G2437" s="202" t="str">
        <f t="shared" si="5"/>
        <v/>
      </c>
      <c r="H2437" s="202" t="str">
        <f t="shared" si="11"/>
        <v> </v>
      </c>
      <c r="I2437" s="205" t="str">
        <f t="shared" si="7"/>
        <v/>
      </c>
      <c r="J2437" s="205"/>
      <c r="K2437" s="205"/>
    </row>
    <row r="2438" ht="14.25" customHeight="1">
      <c r="A2438" s="55">
        <v>48093.0</v>
      </c>
      <c r="B2438" s="55" t="str">
        <f t="shared" si="10"/>
        <v>Primer dia</v>
      </c>
      <c r="C2438" s="202">
        <f t="shared" si="1"/>
        <v>2</v>
      </c>
      <c r="D2438" s="202" t="str">
        <f t="shared" si="2"/>
        <v> </v>
      </c>
      <c r="E2438" s="202">
        <f t="shared" si="9"/>
        <v>2</v>
      </c>
      <c r="F2438" s="55">
        <f t="shared" si="4"/>
        <v>48093</v>
      </c>
      <c r="G2438" s="202">
        <f t="shared" si="5"/>
        <v>135</v>
      </c>
      <c r="H2438" s="202" t="str">
        <f t="shared" si="11"/>
        <v> </v>
      </c>
      <c r="I2438" s="205" t="str">
        <f t="shared" si="7"/>
        <v/>
      </c>
      <c r="J2438" s="205"/>
      <c r="K2438" s="205"/>
    </row>
    <row r="2439" ht="14.25" customHeight="1">
      <c r="A2439" s="55">
        <v>48094.0</v>
      </c>
      <c r="B2439" s="55" t="str">
        <f t="shared" si="10"/>
        <v>Primer dia</v>
      </c>
      <c r="C2439" s="202">
        <f t="shared" si="1"/>
        <v>3</v>
      </c>
      <c r="D2439" s="202" t="str">
        <f t="shared" si="2"/>
        <v> </v>
      </c>
      <c r="E2439" s="202" t="str">
        <f t="shared" si="9"/>
        <v> </v>
      </c>
      <c r="F2439" s="55" t="str">
        <f t="shared" si="4"/>
        <v/>
      </c>
      <c r="G2439" s="202" t="str">
        <f t="shared" si="5"/>
        <v/>
      </c>
      <c r="H2439" s="202" t="str">
        <f t="shared" si="11"/>
        <v> </v>
      </c>
      <c r="I2439" s="205" t="str">
        <f t="shared" si="7"/>
        <v/>
      </c>
      <c r="J2439" s="205"/>
      <c r="K2439" s="205"/>
    </row>
    <row r="2440" ht="14.25" customHeight="1">
      <c r="A2440" s="55">
        <v>48095.0</v>
      </c>
      <c r="B2440" s="55" t="str">
        <f t="shared" si="10"/>
        <v>Primer dia</v>
      </c>
      <c r="C2440" s="202">
        <f t="shared" si="1"/>
        <v>4</v>
      </c>
      <c r="D2440" s="202" t="str">
        <f t="shared" si="2"/>
        <v> </v>
      </c>
      <c r="E2440" s="202" t="str">
        <f t="shared" si="9"/>
        <v> </v>
      </c>
      <c r="F2440" s="55" t="str">
        <f t="shared" si="4"/>
        <v/>
      </c>
      <c r="G2440" s="202" t="str">
        <f t="shared" si="5"/>
        <v/>
      </c>
      <c r="H2440" s="202" t="str">
        <f t="shared" si="11"/>
        <v> </v>
      </c>
      <c r="I2440" s="205" t="str">
        <f t="shared" si="7"/>
        <v/>
      </c>
      <c r="J2440" s="205"/>
      <c r="K2440" s="205"/>
    </row>
    <row r="2441" ht="14.25" customHeight="1">
      <c r="A2441" s="55">
        <v>48096.0</v>
      </c>
      <c r="B2441" s="55" t="str">
        <f t="shared" si="10"/>
        <v>Primer dia</v>
      </c>
      <c r="C2441" s="202">
        <f t="shared" si="1"/>
        <v>5</v>
      </c>
      <c r="D2441" s="202" t="str">
        <f t="shared" si="2"/>
        <v> </v>
      </c>
      <c r="E2441" s="202" t="str">
        <f t="shared" si="9"/>
        <v> </v>
      </c>
      <c r="F2441" s="55" t="str">
        <f t="shared" si="4"/>
        <v/>
      </c>
      <c r="G2441" s="202" t="str">
        <f t="shared" si="5"/>
        <v/>
      </c>
      <c r="H2441" s="202" t="str">
        <f t="shared" si="11"/>
        <v> </v>
      </c>
      <c r="I2441" s="205" t="str">
        <f t="shared" si="7"/>
        <v/>
      </c>
      <c r="J2441" s="205"/>
      <c r="K2441" s="205"/>
    </row>
    <row r="2442" ht="14.25" customHeight="1">
      <c r="A2442" s="55">
        <v>48097.0</v>
      </c>
      <c r="B2442" s="55" t="str">
        <f t="shared" si="10"/>
        <v>Primer dia</v>
      </c>
      <c r="C2442" s="202">
        <f t="shared" si="1"/>
        <v>6</v>
      </c>
      <c r="D2442" s="202" t="str">
        <f t="shared" si="2"/>
        <v> </v>
      </c>
      <c r="E2442" s="202" t="str">
        <f t="shared" si="9"/>
        <v> </v>
      </c>
      <c r="F2442" s="55" t="str">
        <f t="shared" si="4"/>
        <v/>
      </c>
      <c r="G2442" s="202" t="str">
        <f t="shared" si="5"/>
        <v/>
      </c>
      <c r="H2442" s="202" t="str">
        <f t="shared" si="11"/>
        <v> </v>
      </c>
      <c r="I2442" s="205" t="str">
        <f t="shared" si="7"/>
        <v/>
      </c>
      <c r="J2442" s="205"/>
      <c r="K2442" s="205"/>
    </row>
    <row r="2443" ht="14.25" customHeight="1">
      <c r="A2443" s="55">
        <v>48098.0</v>
      </c>
      <c r="B2443" s="55" t="str">
        <f t="shared" si="10"/>
        <v>Primer dia</v>
      </c>
      <c r="C2443" s="202">
        <f t="shared" si="1"/>
        <v>7</v>
      </c>
      <c r="D2443" s="202" t="str">
        <f t="shared" si="2"/>
        <v> </v>
      </c>
      <c r="E2443" s="202" t="str">
        <f t="shared" si="9"/>
        <v> </v>
      </c>
      <c r="F2443" s="55" t="str">
        <f t="shared" si="4"/>
        <v/>
      </c>
      <c r="G2443" s="202" t="str">
        <f t="shared" si="5"/>
        <v/>
      </c>
      <c r="H2443" s="202" t="str">
        <f t="shared" si="11"/>
        <v> </v>
      </c>
      <c r="I2443" s="205" t="str">
        <f t="shared" si="7"/>
        <v/>
      </c>
      <c r="J2443" s="205"/>
      <c r="K2443" s="205"/>
    </row>
    <row r="2444" ht="14.25" customHeight="1">
      <c r="A2444" s="55">
        <v>48099.0</v>
      </c>
      <c r="B2444" s="55" t="str">
        <f t="shared" si="10"/>
        <v>Primer dia</v>
      </c>
      <c r="C2444" s="202">
        <f t="shared" si="1"/>
        <v>8</v>
      </c>
      <c r="D2444" s="202" t="str">
        <f t="shared" si="2"/>
        <v> </v>
      </c>
      <c r="E2444" s="202" t="str">
        <f t="shared" si="9"/>
        <v> </v>
      </c>
      <c r="F2444" s="55" t="str">
        <f t="shared" si="4"/>
        <v/>
      </c>
      <c r="G2444" s="202" t="str">
        <f t="shared" si="5"/>
        <v/>
      </c>
      <c r="H2444" s="202" t="str">
        <f t="shared" si="11"/>
        <v> </v>
      </c>
      <c r="I2444" s="205" t="str">
        <f t="shared" si="7"/>
        <v/>
      </c>
      <c r="J2444" s="205"/>
      <c r="K2444" s="205"/>
    </row>
    <row r="2445" ht="14.25" customHeight="1">
      <c r="A2445" s="55">
        <v>48100.0</v>
      </c>
      <c r="B2445" s="55" t="str">
        <f t="shared" si="10"/>
        <v>Primer dia</v>
      </c>
      <c r="C2445" s="202">
        <f t="shared" si="1"/>
        <v>9</v>
      </c>
      <c r="D2445" s="202" t="str">
        <f t="shared" si="2"/>
        <v> </v>
      </c>
      <c r="E2445" s="202" t="str">
        <f t="shared" si="9"/>
        <v> </v>
      </c>
      <c r="F2445" s="55" t="str">
        <f t="shared" si="4"/>
        <v/>
      </c>
      <c r="G2445" s="202" t="str">
        <f t="shared" si="5"/>
        <v/>
      </c>
      <c r="H2445" s="202" t="str">
        <f t="shared" si="11"/>
        <v> </v>
      </c>
      <c r="I2445" s="205" t="str">
        <f t="shared" si="7"/>
        <v/>
      </c>
      <c r="J2445" s="205"/>
      <c r="K2445" s="205"/>
    </row>
    <row r="2446" ht="14.25" customHeight="1">
      <c r="A2446" s="55">
        <v>48101.0</v>
      </c>
      <c r="B2446" s="55" t="str">
        <f t="shared" si="10"/>
        <v>Primer dia</v>
      </c>
      <c r="C2446" s="202">
        <f t="shared" si="1"/>
        <v>10</v>
      </c>
      <c r="D2446" s="202" t="str">
        <f t="shared" si="2"/>
        <v> </v>
      </c>
      <c r="E2446" s="202" t="str">
        <f t="shared" si="9"/>
        <v> </v>
      </c>
      <c r="F2446" s="55" t="str">
        <f t="shared" si="4"/>
        <v/>
      </c>
      <c r="G2446" s="202" t="str">
        <f t="shared" si="5"/>
        <v/>
      </c>
      <c r="H2446" s="202" t="str">
        <f t="shared" si="11"/>
        <v> </v>
      </c>
      <c r="I2446" s="205" t="str">
        <f t="shared" si="7"/>
        <v/>
      </c>
      <c r="J2446" s="205"/>
      <c r="K2446" s="205"/>
    </row>
    <row r="2447" ht="14.25" customHeight="1">
      <c r="A2447" s="55">
        <v>48102.0</v>
      </c>
      <c r="B2447" s="55" t="str">
        <f t="shared" si="10"/>
        <v>Primer dia</v>
      </c>
      <c r="C2447" s="202">
        <f t="shared" si="1"/>
        <v>11</v>
      </c>
      <c r="D2447" s="202" t="str">
        <f t="shared" si="2"/>
        <v> </v>
      </c>
      <c r="E2447" s="202" t="str">
        <f t="shared" si="9"/>
        <v> </v>
      </c>
      <c r="F2447" s="55" t="str">
        <f t="shared" si="4"/>
        <v/>
      </c>
      <c r="G2447" s="202" t="str">
        <f t="shared" si="5"/>
        <v/>
      </c>
      <c r="H2447" s="202" t="str">
        <f t="shared" si="11"/>
        <v> </v>
      </c>
      <c r="I2447" s="205" t="str">
        <f t="shared" si="7"/>
        <v/>
      </c>
      <c r="J2447" s="205"/>
      <c r="K2447" s="205"/>
    </row>
    <row r="2448" ht="14.25" customHeight="1">
      <c r="A2448" s="55">
        <v>48103.0</v>
      </c>
      <c r="B2448" s="55" t="str">
        <f t="shared" si="10"/>
        <v>Primer dia</v>
      </c>
      <c r="C2448" s="202">
        <f t="shared" si="1"/>
        <v>12</v>
      </c>
      <c r="D2448" s="202" t="str">
        <f t="shared" si="2"/>
        <v> </v>
      </c>
      <c r="E2448" s="202" t="str">
        <f t="shared" si="9"/>
        <v> </v>
      </c>
      <c r="F2448" s="55" t="str">
        <f t="shared" si="4"/>
        <v/>
      </c>
      <c r="G2448" s="202" t="str">
        <f t="shared" si="5"/>
        <v/>
      </c>
      <c r="H2448" s="202" t="str">
        <f t="shared" si="11"/>
        <v> </v>
      </c>
      <c r="I2448" s="205" t="str">
        <f t="shared" si="7"/>
        <v/>
      </c>
      <c r="J2448" s="205"/>
      <c r="K2448" s="205"/>
    </row>
    <row r="2449" ht="14.25" customHeight="1">
      <c r="A2449" s="55">
        <v>48104.0</v>
      </c>
      <c r="B2449" s="55" t="str">
        <f t="shared" si="10"/>
        <v>Primer dia</v>
      </c>
      <c r="C2449" s="202">
        <f t="shared" si="1"/>
        <v>13</v>
      </c>
      <c r="D2449" s="202" t="str">
        <f t="shared" si="2"/>
        <v> </v>
      </c>
      <c r="E2449" s="202" t="str">
        <f t="shared" si="9"/>
        <v> </v>
      </c>
      <c r="F2449" s="55" t="str">
        <f t="shared" si="4"/>
        <v/>
      </c>
      <c r="G2449" s="202" t="str">
        <f t="shared" si="5"/>
        <v/>
      </c>
      <c r="H2449" s="202" t="str">
        <f t="shared" si="11"/>
        <v> </v>
      </c>
      <c r="I2449" s="205" t="str">
        <f t="shared" si="7"/>
        <v/>
      </c>
      <c r="J2449" s="205"/>
      <c r="K2449" s="205"/>
    </row>
    <row r="2450" ht="14.25" customHeight="1">
      <c r="A2450" s="55">
        <v>48105.0</v>
      </c>
      <c r="B2450" s="55" t="str">
        <f t="shared" si="10"/>
        <v>Primer dia</v>
      </c>
      <c r="C2450" s="202">
        <f t="shared" si="1"/>
        <v>14</v>
      </c>
      <c r="D2450" s="202" t="str">
        <f t="shared" si="2"/>
        <v> </v>
      </c>
      <c r="E2450" s="202" t="str">
        <f t="shared" si="9"/>
        <v> </v>
      </c>
      <c r="F2450" s="55" t="str">
        <f t="shared" si="4"/>
        <v/>
      </c>
      <c r="G2450" s="202" t="str">
        <f t="shared" si="5"/>
        <v/>
      </c>
      <c r="H2450" s="202" t="str">
        <f t="shared" si="11"/>
        <v> </v>
      </c>
      <c r="I2450" s="205" t="str">
        <f t="shared" si="7"/>
        <v/>
      </c>
      <c r="J2450" s="205"/>
      <c r="K2450" s="205"/>
    </row>
    <row r="2451" ht="14.25" customHeight="1">
      <c r="A2451" s="55">
        <v>48106.0</v>
      </c>
      <c r="B2451" s="55" t="str">
        <f t="shared" si="10"/>
        <v>Primer dia</v>
      </c>
      <c r="C2451" s="202">
        <f t="shared" si="1"/>
        <v>15</v>
      </c>
      <c r="D2451" s="202" t="str">
        <f t="shared" si="2"/>
        <v> </v>
      </c>
      <c r="E2451" s="202" t="str">
        <f t="shared" si="9"/>
        <v> </v>
      </c>
      <c r="F2451" s="55" t="str">
        <f t="shared" si="4"/>
        <v/>
      </c>
      <c r="G2451" s="202" t="str">
        <f t="shared" si="5"/>
        <v/>
      </c>
      <c r="H2451" s="202" t="str">
        <f t="shared" si="11"/>
        <v> </v>
      </c>
      <c r="I2451" s="205" t="str">
        <f t="shared" si="7"/>
        <v/>
      </c>
      <c r="J2451" s="205"/>
      <c r="K2451" s="205"/>
    </row>
    <row r="2452" ht="14.25" customHeight="1">
      <c r="A2452" s="55">
        <v>48107.0</v>
      </c>
      <c r="B2452" s="55" t="str">
        <f t="shared" si="10"/>
        <v>Primer dia</v>
      </c>
      <c r="C2452" s="202">
        <f t="shared" si="1"/>
        <v>16</v>
      </c>
      <c r="D2452" s="202" t="str">
        <f t="shared" si="2"/>
        <v> </v>
      </c>
      <c r="E2452" s="202" t="str">
        <f t="shared" si="9"/>
        <v> </v>
      </c>
      <c r="F2452" s="55" t="str">
        <f t="shared" si="4"/>
        <v/>
      </c>
      <c r="G2452" s="202" t="str">
        <f t="shared" si="5"/>
        <v/>
      </c>
      <c r="H2452" s="202" t="str">
        <f t="shared" si="11"/>
        <v> </v>
      </c>
      <c r="I2452" s="205" t="str">
        <f t="shared" si="7"/>
        <v/>
      </c>
      <c r="J2452" s="205"/>
      <c r="K2452" s="205"/>
    </row>
    <row r="2453" ht="14.25" customHeight="1">
      <c r="A2453" s="55">
        <v>48108.0</v>
      </c>
      <c r="B2453" s="55" t="str">
        <f t="shared" si="10"/>
        <v>Primer dia</v>
      </c>
      <c r="C2453" s="202">
        <f t="shared" si="1"/>
        <v>17</v>
      </c>
      <c r="D2453" s="202" t="str">
        <f t="shared" si="2"/>
        <v> </v>
      </c>
      <c r="E2453" s="202">
        <f t="shared" si="9"/>
        <v>17</v>
      </c>
      <c r="F2453" s="55">
        <f t="shared" si="4"/>
        <v>48108</v>
      </c>
      <c r="G2453" s="202">
        <f t="shared" si="5"/>
        <v>136</v>
      </c>
      <c r="H2453" s="202" t="str">
        <f t="shared" si="11"/>
        <v> </v>
      </c>
      <c r="I2453" s="205" t="str">
        <f t="shared" si="7"/>
        <v/>
      </c>
      <c r="J2453" s="205"/>
      <c r="K2453" s="205"/>
    </row>
    <row r="2454" ht="14.25" customHeight="1">
      <c r="A2454" s="55">
        <v>48109.0</v>
      </c>
      <c r="B2454" s="55" t="str">
        <f t="shared" si="10"/>
        <v>Primer dia</v>
      </c>
      <c r="C2454" s="202">
        <f t="shared" si="1"/>
        <v>18</v>
      </c>
      <c r="D2454" s="202" t="str">
        <f t="shared" si="2"/>
        <v> </v>
      </c>
      <c r="E2454" s="202" t="str">
        <f t="shared" si="9"/>
        <v> </v>
      </c>
      <c r="F2454" s="55" t="str">
        <f t="shared" si="4"/>
        <v/>
      </c>
      <c r="G2454" s="202" t="str">
        <f t="shared" si="5"/>
        <v/>
      </c>
      <c r="H2454" s="202" t="str">
        <f t="shared" si="11"/>
        <v> </v>
      </c>
      <c r="I2454" s="205" t="str">
        <f t="shared" si="7"/>
        <v/>
      </c>
      <c r="J2454" s="205"/>
      <c r="K2454" s="205"/>
    </row>
    <row r="2455" ht="14.25" customHeight="1">
      <c r="A2455" s="55">
        <v>48110.0</v>
      </c>
      <c r="B2455" s="55" t="str">
        <f t="shared" si="10"/>
        <v>Primer dia</v>
      </c>
      <c r="C2455" s="202">
        <f t="shared" si="1"/>
        <v>19</v>
      </c>
      <c r="D2455" s="202" t="str">
        <f t="shared" si="2"/>
        <v> </v>
      </c>
      <c r="E2455" s="202" t="str">
        <f t="shared" si="9"/>
        <v> </v>
      </c>
      <c r="F2455" s="55" t="str">
        <f t="shared" si="4"/>
        <v/>
      </c>
      <c r="G2455" s="202" t="str">
        <f t="shared" si="5"/>
        <v/>
      </c>
      <c r="H2455" s="202" t="str">
        <f t="shared" si="11"/>
        <v> </v>
      </c>
      <c r="I2455" s="205" t="str">
        <f t="shared" si="7"/>
        <v/>
      </c>
      <c r="J2455" s="205"/>
      <c r="K2455" s="205"/>
    </row>
    <row r="2456" ht="14.25" customHeight="1">
      <c r="A2456" s="55">
        <v>48111.0</v>
      </c>
      <c r="B2456" s="55" t="str">
        <f t="shared" si="10"/>
        <v>Primer dia</v>
      </c>
      <c r="C2456" s="202">
        <f t="shared" si="1"/>
        <v>20</v>
      </c>
      <c r="D2456" s="202" t="str">
        <f t="shared" si="2"/>
        <v> </v>
      </c>
      <c r="E2456" s="202" t="str">
        <f t="shared" si="9"/>
        <v> </v>
      </c>
      <c r="F2456" s="55" t="str">
        <f t="shared" si="4"/>
        <v/>
      </c>
      <c r="G2456" s="202" t="str">
        <f t="shared" si="5"/>
        <v/>
      </c>
      <c r="H2456" s="202" t="str">
        <f t="shared" si="11"/>
        <v> </v>
      </c>
      <c r="I2456" s="205" t="str">
        <f t="shared" si="7"/>
        <v/>
      </c>
      <c r="J2456" s="205"/>
      <c r="K2456" s="205"/>
    </row>
    <row r="2457" ht="14.25" customHeight="1">
      <c r="A2457" s="55">
        <v>48112.0</v>
      </c>
      <c r="B2457" s="55" t="str">
        <f t="shared" si="10"/>
        <v>Primer dia</v>
      </c>
      <c r="C2457" s="202">
        <f t="shared" si="1"/>
        <v>21</v>
      </c>
      <c r="D2457" s="202" t="str">
        <f t="shared" si="2"/>
        <v> </v>
      </c>
      <c r="E2457" s="202" t="str">
        <f t="shared" si="9"/>
        <v> </v>
      </c>
      <c r="F2457" s="55" t="str">
        <f t="shared" si="4"/>
        <v/>
      </c>
      <c r="G2457" s="202" t="str">
        <f t="shared" si="5"/>
        <v/>
      </c>
      <c r="H2457" s="202" t="str">
        <f t="shared" si="11"/>
        <v> </v>
      </c>
      <c r="I2457" s="205" t="str">
        <f t="shared" si="7"/>
        <v/>
      </c>
      <c r="J2457" s="205"/>
      <c r="K2457" s="205"/>
    </row>
    <row r="2458" ht="14.25" customHeight="1">
      <c r="A2458" s="55">
        <v>48113.0</v>
      </c>
      <c r="B2458" s="55" t="str">
        <f t="shared" si="10"/>
        <v>Primer dia</v>
      </c>
      <c r="C2458" s="202">
        <f t="shared" si="1"/>
        <v>22</v>
      </c>
      <c r="D2458" s="202" t="str">
        <f t="shared" si="2"/>
        <v> </v>
      </c>
      <c r="E2458" s="202" t="str">
        <f t="shared" si="9"/>
        <v> </v>
      </c>
      <c r="F2458" s="55" t="str">
        <f t="shared" si="4"/>
        <v/>
      </c>
      <c r="G2458" s="202" t="str">
        <f t="shared" si="5"/>
        <v/>
      </c>
      <c r="H2458" s="202" t="str">
        <f t="shared" si="11"/>
        <v> </v>
      </c>
      <c r="I2458" s="205" t="str">
        <f t="shared" si="7"/>
        <v/>
      </c>
      <c r="J2458" s="205"/>
      <c r="K2458" s="205"/>
    </row>
    <row r="2459" ht="14.25" customHeight="1">
      <c r="A2459" s="55">
        <v>48114.0</v>
      </c>
      <c r="B2459" s="55" t="str">
        <f t="shared" si="10"/>
        <v>Primer dia</v>
      </c>
      <c r="C2459" s="202">
        <f t="shared" si="1"/>
        <v>23</v>
      </c>
      <c r="D2459" s="202" t="str">
        <f t="shared" si="2"/>
        <v> </v>
      </c>
      <c r="E2459" s="202" t="str">
        <f t="shared" si="9"/>
        <v> </v>
      </c>
      <c r="F2459" s="55" t="str">
        <f t="shared" si="4"/>
        <v/>
      </c>
      <c r="G2459" s="202" t="str">
        <f t="shared" si="5"/>
        <v/>
      </c>
      <c r="H2459" s="202" t="str">
        <f t="shared" si="11"/>
        <v> </v>
      </c>
      <c r="I2459" s="205" t="str">
        <f t="shared" si="7"/>
        <v/>
      </c>
      <c r="J2459" s="205"/>
      <c r="K2459" s="205"/>
    </row>
    <row r="2460" ht="14.25" customHeight="1">
      <c r="A2460" s="55">
        <v>48115.0</v>
      </c>
      <c r="B2460" s="55" t="str">
        <f t="shared" si="10"/>
        <v>Primer dia</v>
      </c>
      <c r="C2460" s="202">
        <f t="shared" si="1"/>
        <v>24</v>
      </c>
      <c r="D2460" s="202" t="str">
        <f t="shared" si="2"/>
        <v> </v>
      </c>
      <c r="E2460" s="202" t="str">
        <f t="shared" si="9"/>
        <v> </v>
      </c>
      <c r="F2460" s="55" t="str">
        <f t="shared" si="4"/>
        <v/>
      </c>
      <c r="G2460" s="202" t="str">
        <f t="shared" si="5"/>
        <v/>
      </c>
      <c r="H2460" s="202" t="str">
        <f t="shared" si="11"/>
        <v> </v>
      </c>
      <c r="I2460" s="205" t="str">
        <f t="shared" si="7"/>
        <v/>
      </c>
      <c r="J2460" s="205"/>
      <c r="K2460" s="205"/>
    </row>
    <row r="2461" ht="14.25" customHeight="1">
      <c r="A2461" s="55">
        <v>48116.0</v>
      </c>
      <c r="B2461" s="55" t="str">
        <f t="shared" si="10"/>
        <v>Primer dia</v>
      </c>
      <c r="C2461" s="202">
        <f t="shared" si="1"/>
        <v>25</v>
      </c>
      <c r="D2461" s="202" t="str">
        <f t="shared" si="2"/>
        <v> </v>
      </c>
      <c r="E2461" s="202" t="str">
        <f t="shared" si="9"/>
        <v> </v>
      </c>
      <c r="F2461" s="55" t="str">
        <f t="shared" si="4"/>
        <v/>
      </c>
      <c r="G2461" s="202" t="str">
        <f t="shared" si="5"/>
        <v/>
      </c>
      <c r="H2461" s="202" t="str">
        <f t="shared" si="11"/>
        <v> </v>
      </c>
      <c r="I2461" s="205" t="str">
        <f t="shared" si="7"/>
        <v/>
      </c>
      <c r="J2461" s="205"/>
      <c r="K2461" s="205"/>
    </row>
    <row r="2462" ht="14.25" customHeight="1">
      <c r="A2462" s="55">
        <v>48117.0</v>
      </c>
      <c r="B2462" s="55" t="str">
        <f t="shared" si="10"/>
        <v>Primer dia</v>
      </c>
      <c r="C2462" s="202">
        <f t="shared" si="1"/>
        <v>26</v>
      </c>
      <c r="D2462" s="202" t="str">
        <f t="shared" si="2"/>
        <v> </v>
      </c>
      <c r="E2462" s="202" t="str">
        <f t="shared" si="9"/>
        <v> </v>
      </c>
      <c r="F2462" s="55" t="str">
        <f t="shared" si="4"/>
        <v/>
      </c>
      <c r="G2462" s="202" t="str">
        <f t="shared" si="5"/>
        <v/>
      </c>
      <c r="H2462" s="202" t="str">
        <f t="shared" si="11"/>
        <v> </v>
      </c>
      <c r="I2462" s="205" t="str">
        <f t="shared" si="7"/>
        <v/>
      </c>
      <c r="J2462" s="205"/>
      <c r="K2462" s="205"/>
    </row>
    <row r="2463" ht="14.25" customHeight="1">
      <c r="A2463" s="55">
        <v>48118.0</v>
      </c>
      <c r="B2463" s="55" t="str">
        <f t="shared" si="10"/>
        <v>Primer dia</v>
      </c>
      <c r="C2463" s="202">
        <f t="shared" si="1"/>
        <v>27</v>
      </c>
      <c r="D2463" s="202" t="str">
        <f t="shared" si="2"/>
        <v> </v>
      </c>
      <c r="E2463" s="202" t="str">
        <f t="shared" si="9"/>
        <v> </v>
      </c>
      <c r="F2463" s="55" t="str">
        <f t="shared" si="4"/>
        <v/>
      </c>
      <c r="G2463" s="202" t="str">
        <f t="shared" si="5"/>
        <v/>
      </c>
      <c r="H2463" s="202" t="str">
        <f t="shared" si="11"/>
        <v> </v>
      </c>
      <c r="I2463" s="205" t="str">
        <f t="shared" si="7"/>
        <v/>
      </c>
      <c r="J2463" s="205"/>
      <c r="K2463" s="205"/>
    </row>
    <row r="2464" ht="14.25" customHeight="1">
      <c r="A2464" s="55">
        <v>48119.0</v>
      </c>
      <c r="B2464" s="55" t="str">
        <f t="shared" si="10"/>
        <v>Primer dia</v>
      </c>
      <c r="C2464" s="202">
        <f t="shared" si="1"/>
        <v>28</v>
      </c>
      <c r="D2464" s="202" t="str">
        <f t="shared" si="2"/>
        <v> </v>
      </c>
      <c r="E2464" s="202" t="str">
        <f t="shared" si="9"/>
        <v> </v>
      </c>
      <c r="F2464" s="55" t="str">
        <f t="shared" si="4"/>
        <v/>
      </c>
      <c r="G2464" s="202" t="str">
        <f t="shared" si="5"/>
        <v/>
      </c>
      <c r="H2464" s="202" t="str">
        <f t="shared" si="11"/>
        <v> </v>
      </c>
      <c r="I2464" s="205" t="str">
        <f t="shared" si="7"/>
        <v/>
      </c>
      <c r="J2464" s="205"/>
      <c r="K2464" s="205"/>
    </row>
    <row r="2465" ht="14.25" customHeight="1">
      <c r="A2465" s="55">
        <v>48120.0</v>
      </c>
      <c r="B2465" s="55" t="str">
        <f t="shared" si="10"/>
        <v>Primer dia</v>
      </c>
      <c r="C2465" s="202">
        <f t="shared" si="1"/>
        <v>29</v>
      </c>
      <c r="D2465" s="202" t="str">
        <f t="shared" si="2"/>
        <v> </v>
      </c>
      <c r="E2465" s="202" t="str">
        <f t="shared" si="9"/>
        <v> </v>
      </c>
      <c r="F2465" s="55" t="str">
        <f t="shared" si="4"/>
        <v/>
      </c>
      <c r="G2465" s="202" t="str">
        <f t="shared" si="5"/>
        <v/>
      </c>
      <c r="H2465" s="202" t="str">
        <f t="shared" si="11"/>
        <v> </v>
      </c>
      <c r="I2465" s="205" t="str">
        <f t="shared" si="7"/>
        <v/>
      </c>
      <c r="J2465" s="205"/>
      <c r="K2465" s="205"/>
    </row>
    <row r="2466" ht="14.25" customHeight="1">
      <c r="A2466" s="55">
        <v>48121.0</v>
      </c>
      <c r="B2466" s="55" t="str">
        <f t="shared" si="10"/>
        <v>Primer dia</v>
      </c>
      <c r="C2466" s="202">
        <f t="shared" si="1"/>
        <v>30</v>
      </c>
      <c r="D2466" s="202" t="str">
        <f t="shared" si="2"/>
        <v> </v>
      </c>
      <c r="E2466" s="202" t="str">
        <f t="shared" si="9"/>
        <v> </v>
      </c>
      <c r="F2466" s="55" t="str">
        <f t="shared" si="4"/>
        <v/>
      </c>
      <c r="G2466" s="202" t="str">
        <f t="shared" si="5"/>
        <v/>
      </c>
      <c r="H2466" s="202" t="str">
        <f t="shared" si="11"/>
        <v> </v>
      </c>
      <c r="I2466" s="205" t="str">
        <f t="shared" si="7"/>
        <v/>
      </c>
      <c r="J2466" s="205"/>
      <c r="K2466" s="205"/>
    </row>
    <row r="2467" ht="14.25" customHeight="1">
      <c r="A2467" s="55">
        <v>48122.0</v>
      </c>
      <c r="B2467" s="55" t="str">
        <f t="shared" si="10"/>
        <v>Primer dia</v>
      </c>
      <c r="C2467" s="202">
        <f t="shared" si="1"/>
        <v>1</v>
      </c>
      <c r="D2467" s="202" t="str">
        <f t="shared" si="2"/>
        <v> </v>
      </c>
      <c r="E2467" s="202" t="str">
        <f t="shared" si="9"/>
        <v> </v>
      </c>
      <c r="F2467" s="55" t="str">
        <f t="shared" si="4"/>
        <v/>
      </c>
      <c r="G2467" s="202" t="str">
        <f t="shared" si="5"/>
        <v/>
      </c>
      <c r="H2467" s="202" t="str">
        <f t="shared" si="11"/>
        <v> </v>
      </c>
      <c r="I2467" s="205" t="str">
        <f t="shared" si="7"/>
        <v/>
      </c>
      <c r="J2467" s="205"/>
      <c r="K2467" s="205"/>
    </row>
    <row r="2468" ht="14.25" customHeight="1">
      <c r="A2468" s="55">
        <v>48123.0</v>
      </c>
      <c r="B2468" s="55" t="str">
        <f t="shared" si="10"/>
        <v>Primer dia</v>
      </c>
      <c r="C2468" s="202">
        <f t="shared" si="1"/>
        <v>2</v>
      </c>
      <c r="D2468" s="202" t="str">
        <f t="shared" si="2"/>
        <v> </v>
      </c>
      <c r="E2468" s="202">
        <f t="shared" si="9"/>
        <v>2</v>
      </c>
      <c r="F2468" s="55">
        <f t="shared" si="4"/>
        <v>48123</v>
      </c>
      <c r="G2468" s="202">
        <f t="shared" si="5"/>
        <v>137</v>
      </c>
      <c r="H2468" s="202" t="str">
        <f t="shared" si="11"/>
        <v> </v>
      </c>
      <c r="I2468" s="205" t="str">
        <f t="shared" si="7"/>
        <v/>
      </c>
      <c r="J2468" s="205"/>
      <c r="K2468" s="205"/>
    </row>
    <row r="2469" ht="14.25" customHeight="1">
      <c r="A2469" s="55">
        <v>48124.0</v>
      </c>
      <c r="B2469" s="55" t="str">
        <f t="shared" si="10"/>
        <v>Primer dia</v>
      </c>
      <c r="C2469" s="202">
        <f t="shared" si="1"/>
        <v>3</v>
      </c>
      <c r="D2469" s="202" t="str">
        <f t="shared" si="2"/>
        <v> </v>
      </c>
      <c r="E2469" s="202" t="str">
        <f t="shared" si="9"/>
        <v> </v>
      </c>
      <c r="F2469" s="55" t="str">
        <f t="shared" si="4"/>
        <v/>
      </c>
      <c r="G2469" s="202" t="str">
        <f t="shared" si="5"/>
        <v/>
      </c>
      <c r="H2469" s="202" t="str">
        <f t="shared" si="11"/>
        <v> </v>
      </c>
      <c r="I2469" s="205" t="str">
        <f t="shared" si="7"/>
        <v/>
      </c>
      <c r="J2469" s="205"/>
      <c r="K2469" s="205"/>
    </row>
    <row r="2470" ht="14.25" customHeight="1">
      <c r="A2470" s="55">
        <v>48125.0</v>
      </c>
      <c r="B2470" s="55" t="str">
        <f t="shared" si="10"/>
        <v>Primer dia</v>
      </c>
      <c r="C2470" s="202">
        <f t="shared" si="1"/>
        <v>4</v>
      </c>
      <c r="D2470" s="202" t="str">
        <f t="shared" si="2"/>
        <v> </v>
      </c>
      <c r="E2470" s="202" t="str">
        <f t="shared" si="9"/>
        <v> </v>
      </c>
      <c r="F2470" s="55" t="str">
        <f t="shared" si="4"/>
        <v/>
      </c>
      <c r="G2470" s="202" t="str">
        <f t="shared" si="5"/>
        <v/>
      </c>
      <c r="H2470" s="202" t="str">
        <f t="shared" si="11"/>
        <v> </v>
      </c>
      <c r="I2470" s="205" t="str">
        <f t="shared" si="7"/>
        <v/>
      </c>
      <c r="J2470" s="205"/>
      <c r="K2470" s="205"/>
    </row>
    <row r="2471" ht="14.25" customHeight="1">
      <c r="A2471" s="55">
        <v>48126.0</v>
      </c>
      <c r="B2471" s="55" t="str">
        <f t="shared" si="10"/>
        <v>Primer dia</v>
      </c>
      <c r="C2471" s="202">
        <f t="shared" si="1"/>
        <v>5</v>
      </c>
      <c r="D2471" s="202" t="str">
        <f t="shared" si="2"/>
        <v> </v>
      </c>
      <c r="E2471" s="202" t="str">
        <f t="shared" si="9"/>
        <v> </v>
      </c>
      <c r="F2471" s="55" t="str">
        <f t="shared" si="4"/>
        <v/>
      </c>
      <c r="G2471" s="202" t="str">
        <f t="shared" si="5"/>
        <v/>
      </c>
      <c r="H2471" s="202" t="str">
        <f t="shared" si="11"/>
        <v> </v>
      </c>
      <c r="I2471" s="205" t="str">
        <f t="shared" si="7"/>
        <v/>
      </c>
      <c r="J2471" s="205"/>
      <c r="K2471" s="205"/>
    </row>
    <row r="2472" ht="14.25" customHeight="1">
      <c r="A2472" s="55">
        <v>48127.0</v>
      </c>
      <c r="B2472" s="55" t="str">
        <f t="shared" si="10"/>
        <v>Primer dia</v>
      </c>
      <c r="C2472" s="202">
        <f t="shared" si="1"/>
        <v>6</v>
      </c>
      <c r="D2472" s="202" t="str">
        <f t="shared" si="2"/>
        <v> </v>
      </c>
      <c r="E2472" s="202" t="str">
        <f t="shared" si="9"/>
        <v> </v>
      </c>
      <c r="F2472" s="55" t="str">
        <f t="shared" si="4"/>
        <v/>
      </c>
      <c r="G2472" s="202" t="str">
        <f t="shared" si="5"/>
        <v/>
      </c>
      <c r="H2472" s="202" t="str">
        <f t="shared" si="11"/>
        <v> </v>
      </c>
      <c r="I2472" s="205" t="str">
        <f t="shared" si="7"/>
        <v/>
      </c>
      <c r="J2472" s="205"/>
      <c r="K2472" s="205"/>
    </row>
    <row r="2473" ht="14.25" customHeight="1">
      <c r="A2473" s="55">
        <v>48128.0</v>
      </c>
      <c r="B2473" s="55" t="str">
        <f t="shared" si="10"/>
        <v>Primer dia</v>
      </c>
      <c r="C2473" s="202">
        <f t="shared" si="1"/>
        <v>7</v>
      </c>
      <c r="D2473" s="202" t="str">
        <f t="shared" si="2"/>
        <v> </v>
      </c>
      <c r="E2473" s="202" t="str">
        <f t="shared" si="9"/>
        <v> </v>
      </c>
      <c r="F2473" s="55" t="str">
        <f t="shared" si="4"/>
        <v/>
      </c>
      <c r="G2473" s="202" t="str">
        <f t="shared" si="5"/>
        <v/>
      </c>
      <c r="H2473" s="202" t="str">
        <f t="shared" si="11"/>
        <v> </v>
      </c>
      <c r="I2473" s="205" t="str">
        <f t="shared" si="7"/>
        <v/>
      </c>
      <c r="J2473" s="205"/>
      <c r="K2473" s="205"/>
    </row>
    <row r="2474" ht="14.25" customHeight="1">
      <c r="A2474" s="55">
        <v>48129.0</v>
      </c>
      <c r="B2474" s="55" t="str">
        <f t="shared" si="10"/>
        <v>Primer dia</v>
      </c>
      <c r="C2474" s="202">
        <f t="shared" si="1"/>
        <v>8</v>
      </c>
      <c r="D2474" s="202" t="str">
        <f t="shared" si="2"/>
        <v> </v>
      </c>
      <c r="E2474" s="202" t="str">
        <f t="shared" si="9"/>
        <v> </v>
      </c>
      <c r="F2474" s="55" t="str">
        <f t="shared" si="4"/>
        <v/>
      </c>
      <c r="G2474" s="202" t="str">
        <f t="shared" si="5"/>
        <v/>
      </c>
      <c r="H2474" s="202" t="str">
        <f t="shared" si="11"/>
        <v> </v>
      </c>
      <c r="I2474" s="205" t="str">
        <f t="shared" si="7"/>
        <v/>
      </c>
      <c r="J2474" s="205"/>
      <c r="K2474" s="205"/>
    </row>
    <row r="2475" ht="14.25" customHeight="1">
      <c r="A2475" s="55">
        <v>48130.0</v>
      </c>
      <c r="B2475" s="55" t="str">
        <f t="shared" si="10"/>
        <v>Primer dia</v>
      </c>
      <c r="C2475" s="202">
        <f t="shared" si="1"/>
        <v>9</v>
      </c>
      <c r="D2475" s="202" t="str">
        <f t="shared" si="2"/>
        <v> </v>
      </c>
      <c r="E2475" s="202" t="str">
        <f t="shared" si="9"/>
        <v> </v>
      </c>
      <c r="F2475" s="55" t="str">
        <f t="shared" si="4"/>
        <v/>
      </c>
      <c r="G2475" s="202" t="str">
        <f t="shared" si="5"/>
        <v/>
      </c>
      <c r="H2475" s="202" t="str">
        <f t="shared" si="11"/>
        <v> </v>
      </c>
      <c r="I2475" s="205" t="str">
        <f t="shared" si="7"/>
        <v/>
      </c>
      <c r="J2475" s="205"/>
      <c r="K2475" s="205"/>
    </row>
    <row r="2476" ht="14.25" customHeight="1">
      <c r="A2476" s="55">
        <v>48131.0</v>
      </c>
      <c r="B2476" s="55" t="str">
        <f t="shared" si="10"/>
        <v>Primer dia</v>
      </c>
      <c r="C2476" s="202">
        <f t="shared" si="1"/>
        <v>10</v>
      </c>
      <c r="D2476" s="202" t="str">
        <f t="shared" si="2"/>
        <v> </v>
      </c>
      <c r="E2476" s="202" t="str">
        <f t="shared" si="9"/>
        <v> </v>
      </c>
      <c r="F2476" s="55" t="str">
        <f t="shared" si="4"/>
        <v/>
      </c>
      <c r="G2476" s="202" t="str">
        <f t="shared" si="5"/>
        <v/>
      </c>
      <c r="H2476" s="202" t="str">
        <f t="shared" si="11"/>
        <v> </v>
      </c>
      <c r="I2476" s="205" t="str">
        <f t="shared" si="7"/>
        <v/>
      </c>
      <c r="J2476" s="205"/>
      <c r="K2476" s="205"/>
    </row>
    <row r="2477" ht="14.25" customHeight="1">
      <c r="A2477" s="55">
        <v>48132.0</v>
      </c>
      <c r="B2477" s="55" t="str">
        <f t="shared" si="10"/>
        <v>Primer dia</v>
      </c>
      <c r="C2477" s="202">
        <f t="shared" si="1"/>
        <v>11</v>
      </c>
      <c r="D2477" s="202" t="str">
        <f t="shared" si="2"/>
        <v> </v>
      </c>
      <c r="E2477" s="202" t="str">
        <f t="shared" si="9"/>
        <v> </v>
      </c>
      <c r="F2477" s="55" t="str">
        <f t="shared" si="4"/>
        <v/>
      </c>
      <c r="G2477" s="202" t="str">
        <f t="shared" si="5"/>
        <v/>
      </c>
      <c r="H2477" s="202" t="str">
        <f t="shared" si="11"/>
        <v> </v>
      </c>
      <c r="I2477" s="205" t="str">
        <f t="shared" si="7"/>
        <v/>
      </c>
      <c r="J2477" s="205"/>
      <c r="K2477" s="205"/>
    </row>
    <row r="2478" ht="14.25" customHeight="1">
      <c r="A2478" s="55">
        <v>48133.0</v>
      </c>
      <c r="B2478" s="55" t="str">
        <f t="shared" si="10"/>
        <v>Primer dia</v>
      </c>
      <c r="C2478" s="202">
        <f t="shared" si="1"/>
        <v>12</v>
      </c>
      <c r="D2478" s="202" t="str">
        <f t="shared" si="2"/>
        <v> </v>
      </c>
      <c r="E2478" s="202" t="str">
        <f t="shared" si="9"/>
        <v> </v>
      </c>
      <c r="F2478" s="55" t="str">
        <f t="shared" si="4"/>
        <v/>
      </c>
      <c r="G2478" s="202" t="str">
        <f t="shared" si="5"/>
        <v/>
      </c>
      <c r="H2478" s="202" t="str">
        <f t="shared" si="11"/>
        <v> </v>
      </c>
      <c r="I2478" s="205" t="str">
        <f t="shared" si="7"/>
        <v/>
      </c>
      <c r="J2478" s="205"/>
      <c r="K2478" s="205"/>
    </row>
    <row r="2479" ht="14.25" customHeight="1">
      <c r="A2479" s="55">
        <v>48134.0</v>
      </c>
      <c r="B2479" s="55" t="str">
        <f t="shared" si="10"/>
        <v>Primer dia</v>
      </c>
      <c r="C2479" s="202">
        <f t="shared" si="1"/>
        <v>13</v>
      </c>
      <c r="D2479" s="202" t="str">
        <f t="shared" si="2"/>
        <v> </v>
      </c>
      <c r="E2479" s="202" t="str">
        <f t="shared" si="9"/>
        <v> </v>
      </c>
      <c r="F2479" s="55" t="str">
        <f t="shared" si="4"/>
        <v/>
      </c>
      <c r="G2479" s="202" t="str">
        <f t="shared" si="5"/>
        <v/>
      </c>
      <c r="H2479" s="202" t="str">
        <f t="shared" si="11"/>
        <v> </v>
      </c>
      <c r="I2479" s="205" t="str">
        <f t="shared" si="7"/>
        <v/>
      </c>
      <c r="J2479" s="205"/>
      <c r="K2479" s="205"/>
    </row>
    <row r="2480" ht="14.25" customHeight="1">
      <c r="A2480" s="55">
        <v>48135.0</v>
      </c>
      <c r="B2480" s="55" t="str">
        <f t="shared" si="10"/>
        <v>Primer dia</v>
      </c>
      <c r="C2480" s="202">
        <f t="shared" si="1"/>
        <v>14</v>
      </c>
      <c r="D2480" s="202" t="str">
        <f t="shared" si="2"/>
        <v> </v>
      </c>
      <c r="E2480" s="202" t="str">
        <f t="shared" si="9"/>
        <v> </v>
      </c>
      <c r="F2480" s="55" t="str">
        <f t="shared" si="4"/>
        <v/>
      </c>
      <c r="G2480" s="202" t="str">
        <f t="shared" si="5"/>
        <v/>
      </c>
      <c r="H2480" s="202" t="str">
        <f t="shared" si="11"/>
        <v> </v>
      </c>
      <c r="I2480" s="205" t="str">
        <f t="shared" si="7"/>
        <v/>
      </c>
      <c r="J2480" s="205"/>
      <c r="K2480" s="205"/>
    </row>
    <row r="2481" ht="14.25" customHeight="1">
      <c r="A2481" s="55">
        <v>48136.0</v>
      </c>
      <c r="B2481" s="55" t="str">
        <f t="shared" si="10"/>
        <v>Primer dia</v>
      </c>
      <c r="C2481" s="202">
        <f t="shared" si="1"/>
        <v>15</v>
      </c>
      <c r="D2481" s="202" t="str">
        <f t="shared" si="2"/>
        <v> </v>
      </c>
      <c r="E2481" s="202" t="str">
        <f t="shared" si="9"/>
        <v> </v>
      </c>
      <c r="F2481" s="55" t="str">
        <f t="shared" si="4"/>
        <v/>
      </c>
      <c r="G2481" s="202" t="str">
        <f t="shared" si="5"/>
        <v/>
      </c>
      <c r="H2481" s="202" t="str">
        <f t="shared" si="11"/>
        <v> </v>
      </c>
      <c r="I2481" s="205" t="str">
        <f t="shared" si="7"/>
        <v/>
      </c>
      <c r="J2481" s="205"/>
      <c r="K2481" s="205"/>
    </row>
    <row r="2482" ht="14.25" customHeight="1">
      <c r="A2482" s="55">
        <v>48137.0</v>
      </c>
      <c r="B2482" s="55" t="str">
        <f t="shared" si="10"/>
        <v>Primer dia</v>
      </c>
      <c r="C2482" s="202">
        <f t="shared" si="1"/>
        <v>16</v>
      </c>
      <c r="D2482" s="202" t="str">
        <f t="shared" si="2"/>
        <v> </v>
      </c>
      <c r="E2482" s="202" t="str">
        <f t="shared" si="9"/>
        <v> </v>
      </c>
      <c r="F2482" s="55" t="str">
        <f t="shared" si="4"/>
        <v/>
      </c>
      <c r="G2482" s="202" t="str">
        <f t="shared" si="5"/>
        <v/>
      </c>
      <c r="H2482" s="202" t="str">
        <f t="shared" si="11"/>
        <v> </v>
      </c>
      <c r="I2482" s="205" t="str">
        <f t="shared" si="7"/>
        <v/>
      </c>
      <c r="J2482" s="205"/>
      <c r="K2482" s="205"/>
    </row>
    <row r="2483" ht="14.25" customHeight="1">
      <c r="A2483" s="55">
        <v>48138.0</v>
      </c>
      <c r="B2483" s="55" t="str">
        <f t="shared" si="10"/>
        <v>Primer dia</v>
      </c>
      <c r="C2483" s="202">
        <f t="shared" si="1"/>
        <v>17</v>
      </c>
      <c r="D2483" s="202" t="str">
        <f t="shared" si="2"/>
        <v> </v>
      </c>
      <c r="E2483" s="202">
        <f t="shared" si="9"/>
        <v>17</v>
      </c>
      <c r="F2483" s="55">
        <f t="shared" si="4"/>
        <v>48138</v>
      </c>
      <c r="G2483" s="202">
        <f t="shared" si="5"/>
        <v>138</v>
      </c>
      <c r="H2483" s="202" t="str">
        <f t="shared" si="11"/>
        <v> </v>
      </c>
      <c r="I2483" s="205" t="str">
        <f t="shared" si="7"/>
        <v/>
      </c>
      <c r="J2483" s="205"/>
      <c r="K2483" s="205"/>
    </row>
    <row r="2484" ht="14.25" customHeight="1">
      <c r="A2484" s="55">
        <v>48139.0</v>
      </c>
      <c r="B2484" s="55" t="str">
        <f t="shared" si="10"/>
        <v>Primer dia</v>
      </c>
      <c r="C2484" s="202">
        <f t="shared" si="1"/>
        <v>18</v>
      </c>
      <c r="D2484" s="202" t="str">
        <f t="shared" si="2"/>
        <v> </v>
      </c>
      <c r="E2484" s="202" t="str">
        <f t="shared" si="9"/>
        <v> </v>
      </c>
      <c r="F2484" s="55" t="str">
        <f t="shared" si="4"/>
        <v/>
      </c>
      <c r="G2484" s="202" t="str">
        <f t="shared" si="5"/>
        <v/>
      </c>
      <c r="H2484" s="202" t="str">
        <f t="shared" si="11"/>
        <v> </v>
      </c>
      <c r="I2484" s="205" t="str">
        <f t="shared" si="7"/>
        <v/>
      </c>
      <c r="J2484" s="205"/>
      <c r="K2484" s="205"/>
    </row>
    <row r="2485" ht="14.25" customHeight="1">
      <c r="A2485" s="55">
        <v>48140.0</v>
      </c>
      <c r="B2485" s="55" t="str">
        <f t="shared" si="10"/>
        <v>Primer dia</v>
      </c>
      <c r="C2485" s="202">
        <f t="shared" si="1"/>
        <v>19</v>
      </c>
      <c r="D2485" s="202" t="str">
        <f t="shared" si="2"/>
        <v> </v>
      </c>
      <c r="E2485" s="202" t="str">
        <f t="shared" si="9"/>
        <v> </v>
      </c>
      <c r="F2485" s="55" t="str">
        <f t="shared" si="4"/>
        <v/>
      </c>
      <c r="G2485" s="202" t="str">
        <f t="shared" si="5"/>
        <v/>
      </c>
      <c r="H2485" s="202" t="str">
        <f t="shared" si="11"/>
        <v> </v>
      </c>
      <c r="I2485" s="205" t="str">
        <f t="shared" si="7"/>
        <v/>
      </c>
      <c r="J2485" s="205"/>
      <c r="K2485" s="205"/>
    </row>
    <row r="2486" ht="14.25" customHeight="1">
      <c r="A2486" s="55">
        <v>48141.0</v>
      </c>
      <c r="B2486" s="55" t="str">
        <f t="shared" si="10"/>
        <v>Primer dia</v>
      </c>
      <c r="C2486" s="202">
        <f t="shared" si="1"/>
        <v>20</v>
      </c>
      <c r="D2486" s="202" t="str">
        <f t="shared" si="2"/>
        <v> </v>
      </c>
      <c r="E2486" s="202" t="str">
        <f t="shared" si="9"/>
        <v> </v>
      </c>
      <c r="F2486" s="55" t="str">
        <f t="shared" si="4"/>
        <v/>
      </c>
      <c r="G2486" s="202" t="str">
        <f t="shared" si="5"/>
        <v/>
      </c>
      <c r="H2486" s="202" t="str">
        <f t="shared" si="11"/>
        <v> </v>
      </c>
      <c r="I2486" s="205" t="str">
        <f t="shared" si="7"/>
        <v/>
      </c>
      <c r="J2486" s="205"/>
      <c r="K2486" s="205"/>
    </row>
    <row r="2487" ht="14.25" customHeight="1">
      <c r="A2487" s="55">
        <v>48142.0</v>
      </c>
      <c r="B2487" s="55" t="str">
        <f t="shared" si="10"/>
        <v>Primer dia</v>
      </c>
      <c r="C2487" s="202">
        <f t="shared" si="1"/>
        <v>21</v>
      </c>
      <c r="D2487" s="202" t="str">
        <f t="shared" si="2"/>
        <v> </v>
      </c>
      <c r="E2487" s="202" t="str">
        <f t="shared" si="9"/>
        <v> </v>
      </c>
      <c r="F2487" s="55" t="str">
        <f t="shared" si="4"/>
        <v/>
      </c>
      <c r="G2487" s="202" t="str">
        <f t="shared" si="5"/>
        <v/>
      </c>
      <c r="H2487" s="202" t="str">
        <f t="shared" si="11"/>
        <v> </v>
      </c>
      <c r="I2487" s="205" t="str">
        <f t="shared" si="7"/>
        <v/>
      </c>
      <c r="J2487" s="205"/>
      <c r="K2487" s="205"/>
    </row>
    <row r="2488" ht="14.25" customHeight="1">
      <c r="A2488" s="55">
        <v>48143.0</v>
      </c>
      <c r="B2488" s="55" t="str">
        <f t="shared" si="10"/>
        <v>Primer dia</v>
      </c>
      <c r="C2488" s="202">
        <f t="shared" si="1"/>
        <v>22</v>
      </c>
      <c r="D2488" s="202" t="str">
        <f t="shared" si="2"/>
        <v> </v>
      </c>
      <c r="E2488" s="202" t="str">
        <f t="shared" si="9"/>
        <v> </v>
      </c>
      <c r="F2488" s="55" t="str">
        <f t="shared" si="4"/>
        <v/>
      </c>
      <c r="G2488" s="202" t="str">
        <f t="shared" si="5"/>
        <v/>
      </c>
      <c r="H2488" s="202" t="str">
        <f t="shared" si="11"/>
        <v> </v>
      </c>
      <c r="I2488" s="205" t="str">
        <f t="shared" si="7"/>
        <v/>
      </c>
      <c r="J2488" s="205"/>
      <c r="K2488" s="205"/>
    </row>
    <row r="2489" ht="14.25" customHeight="1">
      <c r="A2489" s="55">
        <v>48144.0</v>
      </c>
      <c r="B2489" s="55" t="str">
        <f t="shared" si="10"/>
        <v>Primer dia</v>
      </c>
      <c r="C2489" s="202">
        <f t="shared" si="1"/>
        <v>23</v>
      </c>
      <c r="D2489" s="202" t="str">
        <f t="shared" si="2"/>
        <v> </v>
      </c>
      <c r="E2489" s="202" t="str">
        <f t="shared" si="9"/>
        <v> </v>
      </c>
      <c r="F2489" s="55" t="str">
        <f t="shared" si="4"/>
        <v/>
      </c>
      <c r="G2489" s="202" t="str">
        <f t="shared" si="5"/>
        <v/>
      </c>
      <c r="H2489" s="202" t="str">
        <f t="shared" si="11"/>
        <v> </v>
      </c>
      <c r="I2489" s="205" t="str">
        <f t="shared" si="7"/>
        <v/>
      </c>
      <c r="J2489" s="205"/>
      <c r="K2489" s="205"/>
    </row>
    <row r="2490" ht="14.25" customHeight="1">
      <c r="A2490" s="55">
        <v>48145.0</v>
      </c>
      <c r="B2490" s="55" t="str">
        <f t="shared" si="10"/>
        <v>Primer dia</v>
      </c>
      <c r="C2490" s="202">
        <f t="shared" si="1"/>
        <v>24</v>
      </c>
      <c r="D2490" s="202" t="str">
        <f t="shared" si="2"/>
        <v> </v>
      </c>
      <c r="E2490" s="202" t="str">
        <f t="shared" si="9"/>
        <v> </v>
      </c>
      <c r="F2490" s="55" t="str">
        <f t="shared" si="4"/>
        <v/>
      </c>
      <c r="G2490" s="202" t="str">
        <f t="shared" si="5"/>
        <v/>
      </c>
      <c r="H2490" s="202" t="str">
        <f t="shared" si="11"/>
        <v> </v>
      </c>
      <c r="I2490" s="205" t="str">
        <f t="shared" si="7"/>
        <v/>
      </c>
      <c r="J2490" s="205"/>
      <c r="K2490" s="205"/>
    </row>
    <row r="2491" ht="14.25" customHeight="1">
      <c r="A2491" s="55">
        <v>48146.0</v>
      </c>
      <c r="B2491" s="55" t="str">
        <f t="shared" si="10"/>
        <v>Primer dia</v>
      </c>
      <c r="C2491" s="202">
        <f t="shared" si="1"/>
        <v>25</v>
      </c>
      <c r="D2491" s="202" t="str">
        <f t="shared" si="2"/>
        <v> </v>
      </c>
      <c r="E2491" s="202" t="str">
        <f t="shared" si="9"/>
        <v> </v>
      </c>
      <c r="F2491" s="55" t="str">
        <f t="shared" si="4"/>
        <v/>
      </c>
      <c r="G2491" s="202" t="str">
        <f t="shared" si="5"/>
        <v/>
      </c>
      <c r="H2491" s="202" t="str">
        <f t="shared" si="11"/>
        <v> </v>
      </c>
      <c r="I2491" s="205" t="str">
        <f t="shared" si="7"/>
        <v/>
      </c>
      <c r="J2491" s="205"/>
      <c r="K2491" s="205"/>
    </row>
    <row r="2492" ht="14.25" customHeight="1">
      <c r="A2492" s="55">
        <v>48147.0</v>
      </c>
      <c r="B2492" s="55" t="str">
        <f t="shared" si="10"/>
        <v>Primer dia</v>
      </c>
      <c r="C2492" s="202">
        <f t="shared" si="1"/>
        <v>26</v>
      </c>
      <c r="D2492" s="202" t="str">
        <f t="shared" si="2"/>
        <v> </v>
      </c>
      <c r="E2492" s="202" t="str">
        <f t="shared" si="9"/>
        <v> </v>
      </c>
      <c r="F2492" s="55" t="str">
        <f t="shared" si="4"/>
        <v/>
      </c>
      <c r="G2492" s="202" t="str">
        <f t="shared" si="5"/>
        <v/>
      </c>
      <c r="H2492" s="202" t="str">
        <f t="shared" si="11"/>
        <v> </v>
      </c>
      <c r="I2492" s="205" t="str">
        <f t="shared" si="7"/>
        <v/>
      </c>
      <c r="J2492" s="205"/>
      <c r="K2492" s="205"/>
    </row>
    <row r="2493" ht="14.25" customHeight="1">
      <c r="A2493" s="55">
        <v>48148.0</v>
      </c>
      <c r="B2493" s="55" t="str">
        <f t="shared" si="10"/>
        <v>Primer dia</v>
      </c>
      <c r="C2493" s="202">
        <f t="shared" si="1"/>
        <v>27</v>
      </c>
      <c r="D2493" s="202" t="str">
        <f t="shared" si="2"/>
        <v> </v>
      </c>
      <c r="E2493" s="202" t="str">
        <f t="shared" si="9"/>
        <v> </v>
      </c>
      <c r="F2493" s="55" t="str">
        <f t="shared" si="4"/>
        <v/>
      </c>
      <c r="G2493" s="202" t="str">
        <f t="shared" si="5"/>
        <v/>
      </c>
      <c r="H2493" s="202" t="str">
        <f t="shared" si="11"/>
        <v> </v>
      </c>
      <c r="I2493" s="205" t="str">
        <f t="shared" si="7"/>
        <v/>
      </c>
      <c r="J2493" s="205"/>
      <c r="K2493" s="205"/>
    </row>
    <row r="2494" ht="14.25" customHeight="1">
      <c r="A2494" s="55">
        <v>48149.0</v>
      </c>
      <c r="B2494" s="55" t="str">
        <f t="shared" si="10"/>
        <v>Primer dia</v>
      </c>
      <c r="C2494" s="202">
        <f t="shared" si="1"/>
        <v>28</v>
      </c>
      <c r="D2494" s="202" t="str">
        <f t="shared" si="2"/>
        <v> </v>
      </c>
      <c r="E2494" s="202" t="str">
        <f t="shared" si="9"/>
        <v> </v>
      </c>
      <c r="F2494" s="55" t="str">
        <f t="shared" si="4"/>
        <v/>
      </c>
      <c r="G2494" s="202" t="str">
        <f t="shared" si="5"/>
        <v/>
      </c>
      <c r="H2494" s="202" t="str">
        <f t="shared" si="11"/>
        <v> </v>
      </c>
      <c r="I2494" s="205" t="str">
        <f t="shared" si="7"/>
        <v/>
      </c>
      <c r="J2494" s="205"/>
      <c r="K2494" s="205"/>
    </row>
    <row r="2495" ht="14.25" customHeight="1">
      <c r="A2495" s="55">
        <v>48150.0</v>
      </c>
      <c r="B2495" s="55" t="str">
        <f t="shared" si="10"/>
        <v>Primer dia</v>
      </c>
      <c r="C2495" s="202">
        <f t="shared" si="1"/>
        <v>29</v>
      </c>
      <c r="D2495" s="202" t="str">
        <f t="shared" si="2"/>
        <v> </v>
      </c>
      <c r="E2495" s="202" t="str">
        <f t="shared" si="9"/>
        <v> </v>
      </c>
      <c r="F2495" s="55" t="str">
        <f t="shared" si="4"/>
        <v/>
      </c>
      <c r="G2495" s="202" t="str">
        <f t="shared" si="5"/>
        <v/>
      </c>
      <c r="H2495" s="202" t="str">
        <f t="shared" si="11"/>
        <v> </v>
      </c>
      <c r="I2495" s="205" t="str">
        <f t="shared" si="7"/>
        <v/>
      </c>
      <c r="J2495" s="205"/>
      <c r="K2495" s="205"/>
    </row>
    <row r="2496" ht="14.25" customHeight="1">
      <c r="A2496" s="55">
        <v>48151.0</v>
      </c>
      <c r="B2496" s="55" t="str">
        <f t="shared" si="10"/>
        <v>Primer dia</v>
      </c>
      <c r="C2496" s="202">
        <f t="shared" si="1"/>
        <v>30</v>
      </c>
      <c r="D2496" s="202" t="str">
        <f t="shared" si="2"/>
        <v> </v>
      </c>
      <c r="E2496" s="202" t="str">
        <f t="shared" si="9"/>
        <v> </v>
      </c>
      <c r="F2496" s="55" t="str">
        <f t="shared" si="4"/>
        <v/>
      </c>
      <c r="G2496" s="202" t="str">
        <f t="shared" si="5"/>
        <v/>
      </c>
      <c r="H2496" s="202" t="str">
        <f t="shared" si="11"/>
        <v> </v>
      </c>
      <c r="I2496" s="205" t="str">
        <f t="shared" si="7"/>
        <v/>
      </c>
      <c r="J2496" s="205"/>
      <c r="K2496" s="205"/>
    </row>
    <row r="2497" ht="14.25" customHeight="1">
      <c r="A2497" s="55">
        <v>48152.0</v>
      </c>
      <c r="B2497" s="55" t="str">
        <f t="shared" si="10"/>
        <v>Primer dia</v>
      </c>
      <c r="C2497" s="202">
        <f t="shared" si="1"/>
        <v>31</v>
      </c>
      <c r="D2497" s="202" t="str">
        <f t="shared" si="2"/>
        <v> </v>
      </c>
      <c r="E2497" s="202" t="str">
        <f t="shared" si="9"/>
        <v> </v>
      </c>
      <c r="F2497" s="55" t="str">
        <f t="shared" si="4"/>
        <v/>
      </c>
      <c r="G2497" s="202" t="str">
        <f t="shared" si="5"/>
        <v/>
      </c>
      <c r="H2497" s="202" t="str">
        <f t="shared" si="11"/>
        <v> </v>
      </c>
      <c r="I2497" s="205" t="str">
        <f t="shared" si="7"/>
        <v/>
      </c>
      <c r="J2497" s="205"/>
      <c r="K2497" s="205"/>
    </row>
    <row r="2498" ht="14.25" customHeight="1">
      <c r="A2498" s="55">
        <v>48153.0</v>
      </c>
      <c r="B2498" s="55" t="str">
        <f t="shared" si="10"/>
        <v>Primer dia</v>
      </c>
      <c r="C2498" s="202">
        <f t="shared" si="1"/>
        <v>1</v>
      </c>
      <c r="D2498" s="202" t="str">
        <f t="shared" si="2"/>
        <v> </v>
      </c>
      <c r="E2498" s="202" t="str">
        <f t="shared" si="9"/>
        <v> </v>
      </c>
      <c r="F2498" s="55" t="str">
        <f t="shared" si="4"/>
        <v/>
      </c>
      <c r="G2498" s="202" t="str">
        <f t="shared" si="5"/>
        <v/>
      </c>
      <c r="H2498" s="202" t="str">
        <f t="shared" si="11"/>
        <v> </v>
      </c>
      <c r="I2498" s="205" t="str">
        <f t="shared" si="7"/>
        <v/>
      </c>
      <c r="J2498" s="205"/>
      <c r="K2498" s="205"/>
    </row>
    <row r="2499" ht="14.25" customHeight="1">
      <c r="A2499" s="55">
        <v>48154.0</v>
      </c>
      <c r="B2499" s="55" t="str">
        <f t="shared" si="10"/>
        <v>Primer dia</v>
      </c>
      <c r="C2499" s="202">
        <f t="shared" si="1"/>
        <v>2</v>
      </c>
      <c r="D2499" s="202" t="str">
        <f t="shared" si="2"/>
        <v> </v>
      </c>
      <c r="E2499" s="202">
        <f t="shared" si="9"/>
        <v>2</v>
      </c>
      <c r="F2499" s="55">
        <f t="shared" si="4"/>
        <v>48154</v>
      </c>
      <c r="G2499" s="202">
        <f t="shared" si="5"/>
        <v>139</v>
      </c>
      <c r="H2499" s="202" t="str">
        <f t="shared" si="11"/>
        <v> </v>
      </c>
      <c r="I2499" s="205" t="str">
        <f t="shared" si="7"/>
        <v/>
      </c>
      <c r="J2499" s="205"/>
      <c r="K2499" s="205"/>
    </row>
    <row r="2500" ht="14.25" customHeight="1">
      <c r="A2500" s="55">
        <v>48155.0</v>
      </c>
      <c r="B2500" s="55" t="str">
        <f t="shared" si="10"/>
        <v>Primer dia</v>
      </c>
      <c r="C2500" s="202">
        <f t="shared" si="1"/>
        <v>3</v>
      </c>
      <c r="D2500" s="202" t="str">
        <f t="shared" si="2"/>
        <v> </v>
      </c>
      <c r="E2500" s="202" t="str">
        <f t="shared" si="9"/>
        <v> </v>
      </c>
      <c r="F2500" s="55" t="str">
        <f t="shared" si="4"/>
        <v/>
      </c>
      <c r="G2500" s="202" t="str">
        <f t="shared" si="5"/>
        <v/>
      </c>
      <c r="H2500" s="202" t="str">
        <f t="shared" si="11"/>
        <v> </v>
      </c>
      <c r="I2500" s="205" t="str">
        <f t="shared" si="7"/>
        <v/>
      </c>
      <c r="J2500" s="205"/>
      <c r="K2500" s="205"/>
    </row>
    <row r="2501" ht="14.25" customHeight="1">
      <c r="A2501" s="55">
        <v>48156.0</v>
      </c>
      <c r="B2501" s="55" t="str">
        <f t="shared" si="10"/>
        <v>Primer dia</v>
      </c>
      <c r="C2501" s="202">
        <f t="shared" si="1"/>
        <v>4</v>
      </c>
      <c r="D2501" s="202" t="str">
        <f t="shared" si="2"/>
        <v> </v>
      </c>
      <c r="E2501" s="202" t="str">
        <f t="shared" si="9"/>
        <v> </v>
      </c>
      <c r="F2501" s="55" t="str">
        <f t="shared" si="4"/>
        <v/>
      </c>
      <c r="G2501" s="202" t="str">
        <f t="shared" si="5"/>
        <v/>
      </c>
      <c r="H2501" s="202" t="str">
        <f t="shared" si="11"/>
        <v> </v>
      </c>
      <c r="I2501" s="205" t="str">
        <f t="shared" si="7"/>
        <v/>
      </c>
      <c r="J2501" s="205"/>
      <c r="K2501" s="205"/>
    </row>
    <row r="2502" ht="14.25" customHeight="1">
      <c r="A2502" s="55">
        <v>48157.0</v>
      </c>
      <c r="B2502" s="55" t="str">
        <f t="shared" si="10"/>
        <v>Primer dia</v>
      </c>
      <c r="C2502" s="202">
        <f t="shared" si="1"/>
        <v>5</v>
      </c>
      <c r="D2502" s="202" t="str">
        <f t="shared" si="2"/>
        <v> </v>
      </c>
      <c r="E2502" s="202" t="str">
        <f t="shared" si="9"/>
        <v> </v>
      </c>
      <c r="F2502" s="55" t="str">
        <f t="shared" si="4"/>
        <v/>
      </c>
      <c r="G2502" s="202" t="str">
        <f t="shared" si="5"/>
        <v/>
      </c>
      <c r="H2502" s="202" t="str">
        <f t="shared" si="11"/>
        <v> </v>
      </c>
      <c r="I2502" s="205" t="str">
        <f t="shared" si="7"/>
        <v/>
      </c>
      <c r="J2502" s="205"/>
      <c r="K2502" s="205"/>
    </row>
    <row r="2503" ht="14.25" customHeight="1">
      <c r="A2503" s="55">
        <v>48158.0</v>
      </c>
      <c r="B2503" s="55" t="str">
        <f t="shared" si="10"/>
        <v>Primer dia</v>
      </c>
      <c r="C2503" s="202">
        <f t="shared" si="1"/>
        <v>6</v>
      </c>
      <c r="D2503" s="202" t="str">
        <f t="shared" si="2"/>
        <v> </v>
      </c>
      <c r="E2503" s="202" t="str">
        <f t="shared" si="9"/>
        <v> </v>
      </c>
      <c r="F2503" s="55" t="str">
        <f t="shared" si="4"/>
        <v/>
      </c>
      <c r="G2503" s="202" t="str">
        <f t="shared" si="5"/>
        <v/>
      </c>
      <c r="H2503" s="202" t="str">
        <f t="shared" si="11"/>
        <v> </v>
      </c>
      <c r="I2503" s="205" t="str">
        <f t="shared" si="7"/>
        <v/>
      </c>
      <c r="J2503" s="205"/>
      <c r="K2503" s="205"/>
    </row>
    <row r="2504" ht="14.25" customHeight="1">
      <c r="A2504" s="55">
        <v>48159.0</v>
      </c>
      <c r="B2504" s="55" t="str">
        <f t="shared" si="10"/>
        <v>Primer dia</v>
      </c>
      <c r="C2504" s="202">
        <f t="shared" si="1"/>
        <v>7</v>
      </c>
      <c r="D2504" s="202" t="str">
        <f t="shared" si="2"/>
        <v> </v>
      </c>
      <c r="E2504" s="202" t="str">
        <f t="shared" si="9"/>
        <v> </v>
      </c>
      <c r="F2504" s="55" t="str">
        <f t="shared" si="4"/>
        <v/>
      </c>
      <c r="G2504" s="202" t="str">
        <f t="shared" si="5"/>
        <v/>
      </c>
      <c r="H2504" s="202" t="str">
        <f t="shared" si="11"/>
        <v> </v>
      </c>
      <c r="I2504" s="205" t="str">
        <f t="shared" si="7"/>
        <v/>
      </c>
      <c r="J2504" s="205"/>
      <c r="K2504" s="205"/>
    </row>
    <row r="2505" ht="14.25" customHeight="1">
      <c r="A2505" s="55">
        <v>48160.0</v>
      </c>
      <c r="B2505" s="55" t="str">
        <f t="shared" si="10"/>
        <v>Primer dia</v>
      </c>
      <c r="C2505" s="202">
        <f t="shared" si="1"/>
        <v>8</v>
      </c>
      <c r="D2505" s="202" t="str">
        <f t="shared" si="2"/>
        <v> </v>
      </c>
      <c r="E2505" s="202" t="str">
        <f t="shared" si="9"/>
        <v> </v>
      </c>
      <c r="F2505" s="55" t="str">
        <f t="shared" si="4"/>
        <v/>
      </c>
      <c r="G2505" s="202" t="str">
        <f t="shared" si="5"/>
        <v/>
      </c>
      <c r="H2505" s="202" t="str">
        <f t="shared" si="11"/>
        <v> </v>
      </c>
      <c r="I2505" s="205" t="str">
        <f t="shared" si="7"/>
        <v/>
      </c>
      <c r="J2505" s="205"/>
      <c r="K2505" s="205"/>
    </row>
    <row r="2506" ht="14.25" customHeight="1">
      <c r="A2506" s="55">
        <v>48161.0</v>
      </c>
      <c r="B2506" s="55" t="str">
        <f t="shared" si="10"/>
        <v>Primer dia</v>
      </c>
      <c r="C2506" s="202">
        <f t="shared" si="1"/>
        <v>9</v>
      </c>
      <c r="D2506" s="202" t="str">
        <f t="shared" si="2"/>
        <v> </v>
      </c>
      <c r="E2506" s="202" t="str">
        <f t="shared" si="9"/>
        <v> </v>
      </c>
      <c r="F2506" s="55" t="str">
        <f t="shared" si="4"/>
        <v/>
      </c>
      <c r="G2506" s="202" t="str">
        <f t="shared" si="5"/>
        <v/>
      </c>
      <c r="H2506" s="202" t="str">
        <f t="shared" si="11"/>
        <v> </v>
      </c>
      <c r="I2506" s="205" t="str">
        <f t="shared" si="7"/>
        <v/>
      </c>
      <c r="J2506" s="205"/>
      <c r="K2506" s="205"/>
    </row>
    <row r="2507" ht="14.25" customHeight="1">
      <c r="A2507" s="55">
        <v>48162.0</v>
      </c>
      <c r="B2507" s="55" t="str">
        <f t="shared" si="10"/>
        <v>Primer dia</v>
      </c>
      <c r="C2507" s="202">
        <f t="shared" si="1"/>
        <v>10</v>
      </c>
      <c r="D2507" s="202" t="str">
        <f t="shared" si="2"/>
        <v> </v>
      </c>
      <c r="E2507" s="202" t="str">
        <f t="shared" si="9"/>
        <v> </v>
      </c>
      <c r="F2507" s="55" t="str">
        <f t="shared" si="4"/>
        <v/>
      </c>
      <c r="G2507" s="202" t="str">
        <f t="shared" si="5"/>
        <v/>
      </c>
      <c r="H2507" s="202" t="str">
        <f t="shared" si="11"/>
        <v> </v>
      </c>
      <c r="I2507" s="205" t="str">
        <f t="shared" si="7"/>
        <v/>
      </c>
      <c r="J2507" s="205"/>
      <c r="K2507" s="205"/>
    </row>
    <row r="2508" ht="14.25" customHeight="1">
      <c r="A2508" s="55">
        <v>48163.0</v>
      </c>
      <c r="B2508" s="55" t="str">
        <f t="shared" si="10"/>
        <v>Primer dia</v>
      </c>
      <c r="C2508" s="202">
        <f t="shared" si="1"/>
        <v>11</v>
      </c>
      <c r="D2508" s="202" t="str">
        <f t="shared" si="2"/>
        <v> </v>
      </c>
      <c r="E2508" s="202" t="str">
        <f t="shared" si="9"/>
        <v> </v>
      </c>
      <c r="F2508" s="55" t="str">
        <f t="shared" si="4"/>
        <v/>
      </c>
      <c r="G2508" s="202" t="str">
        <f t="shared" si="5"/>
        <v/>
      </c>
      <c r="H2508" s="202" t="str">
        <f t="shared" si="11"/>
        <v> </v>
      </c>
      <c r="I2508" s="205" t="str">
        <f t="shared" si="7"/>
        <v/>
      </c>
      <c r="J2508" s="205"/>
      <c r="K2508" s="205"/>
    </row>
    <row r="2509" ht="14.25" customHeight="1">
      <c r="A2509" s="55">
        <v>48164.0</v>
      </c>
      <c r="B2509" s="55" t="str">
        <f t="shared" si="10"/>
        <v>Primer dia</v>
      </c>
      <c r="C2509" s="202">
        <f t="shared" si="1"/>
        <v>12</v>
      </c>
      <c r="D2509" s="202" t="str">
        <f t="shared" si="2"/>
        <v> </v>
      </c>
      <c r="E2509" s="202" t="str">
        <f t="shared" si="9"/>
        <v> </v>
      </c>
      <c r="F2509" s="55" t="str">
        <f t="shared" si="4"/>
        <v/>
      </c>
      <c r="G2509" s="202" t="str">
        <f t="shared" si="5"/>
        <v/>
      </c>
      <c r="H2509" s="202" t="str">
        <f t="shared" si="11"/>
        <v> </v>
      </c>
      <c r="I2509" s="205" t="str">
        <f t="shared" si="7"/>
        <v/>
      </c>
      <c r="J2509" s="205"/>
      <c r="K2509" s="205"/>
    </row>
    <row r="2510" ht="14.25" customHeight="1">
      <c r="A2510" s="55">
        <v>48165.0</v>
      </c>
      <c r="B2510" s="55" t="str">
        <f t="shared" si="10"/>
        <v>Primer dia</v>
      </c>
      <c r="C2510" s="202">
        <f t="shared" si="1"/>
        <v>13</v>
      </c>
      <c r="D2510" s="202" t="str">
        <f t="shared" si="2"/>
        <v> </v>
      </c>
      <c r="E2510" s="202" t="str">
        <f t="shared" si="9"/>
        <v> </v>
      </c>
      <c r="F2510" s="55" t="str">
        <f t="shared" si="4"/>
        <v/>
      </c>
      <c r="G2510" s="202" t="str">
        <f t="shared" si="5"/>
        <v/>
      </c>
      <c r="H2510" s="202" t="str">
        <f t="shared" si="11"/>
        <v> </v>
      </c>
      <c r="I2510" s="205" t="str">
        <f t="shared" si="7"/>
        <v/>
      </c>
      <c r="J2510" s="205"/>
      <c r="K2510" s="205"/>
    </row>
    <row r="2511" ht="14.25" customHeight="1">
      <c r="A2511" s="55">
        <v>48166.0</v>
      </c>
      <c r="B2511" s="55" t="str">
        <f t="shared" si="10"/>
        <v>Primer dia</v>
      </c>
      <c r="C2511" s="202">
        <f t="shared" si="1"/>
        <v>14</v>
      </c>
      <c r="D2511" s="202" t="str">
        <f t="shared" si="2"/>
        <v> </v>
      </c>
      <c r="E2511" s="202" t="str">
        <f t="shared" si="9"/>
        <v> </v>
      </c>
      <c r="F2511" s="55" t="str">
        <f t="shared" si="4"/>
        <v/>
      </c>
      <c r="G2511" s="202" t="str">
        <f t="shared" si="5"/>
        <v/>
      </c>
      <c r="H2511" s="202" t="str">
        <f t="shared" si="11"/>
        <v> </v>
      </c>
      <c r="I2511" s="205" t="str">
        <f t="shared" si="7"/>
        <v/>
      </c>
      <c r="J2511" s="205"/>
      <c r="K2511" s="205"/>
    </row>
    <row r="2512" ht="14.25" customHeight="1">
      <c r="A2512" s="55">
        <v>48167.0</v>
      </c>
      <c r="B2512" s="55" t="str">
        <f t="shared" si="10"/>
        <v>Primer dia</v>
      </c>
      <c r="C2512" s="202">
        <f t="shared" si="1"/>
        <v>15</v>
      </c>
      <c r="D2512" s="202" t="str">
        <f t="shared" si="2"/>
        <v> </v>
      </c>
      <c r="E2512" s="202" t="str">
        <f t="shared" si="9"/>
        <v> </v>
      </c>
      <c r="F2512" s="55" t="str">
        <f t="shared" si="4"/>
        <v/>
      </c>
      <c r="G2512" s="202" t="str">
        <f t="shared" si="5"/>
        <v/>
      </c>
      <c r="H2512" s="202" t="str">
        <f t="shared" si="11"/>
        <v> </v>
      </c>
      <c r="I2512" s="205" t="str">
        <f t="shared" si="7"/>
        <v/>
      </c>
      <c r="J2512" s="205"/>
      <c r="K2512" s="205"/>
    </row>
    <row r="2513" ht="14.25" customHeight="1">
      <c r="A2513" s="55">
        <v>48168.0</v>
      </c>
      <c r="B2513" s="55" t="str">
        <f t="shared" si="10"/>
        <v>Primer dia</v>
      </c>
      <c r="C2513" s="202">
        <f t="shared" si="1"/>
        <v>16</v>
      </c>
      <c r="D2513" s="202" t="str">
        <f t="shared" si="2"/>
        <v> </v>
      </c>
      <c r="E2513" s="202" t="str">
        <f t="shared" si="9"/>
        <v> </v>
      </c>
      <c r="F2513" s="55" t="str">
        <f t="shared" si="4"/>
        <v/>
      </c>
      <c r="G2513" s="202" t="str">
        <f t="shared" si="5"/>
        <v/>
      </c>
      <c r="H2513" s="202" t="str">
        <f t="shared" si="11"/>
        <v> </v>
      </c>
      <c r="I2513" s="205" t="str">
        <f t="shared" si="7"/>
        <v/>
      </c>
      <c r="J2513" s="205"/>
      <c r="K2513" s="205"/>
    </row>
    <row r="2514" ht="14.25" customHeight="1">
      <c r="A2514" s="55">
        <v>48169.0</v>
      </c>
      <c r="B2514" s="55" t="str">
        <f t="shared" si="10"/>
        <v>Primer dia</v>
      </c>
      <c r="C2514" s="202">
        <f t="shared" si="1"/>
        <v>17</v>
      </c>
      <c r="D2514" s="202" t="str">
        <f t="shared" si="2"/>
        <v> </v>
      </c>
      <c r="E2514" s="202">
        <f t="shared" si="9"/>
        <v>17</v>
      </c>
      <c r="F2514" s="55">
        <f t="shared" si="4"/>
        <v>48169</v>
      </c>
      <c r="G2514" s="202">
        <f t="shared" si="5"/>
        <v>140</v>
      </c>
      <c r="H2514" s="202" t="str">
        <f t="shared" si="11"/>
        <v> </v>
      </c>
      <c r="I2514" s="205" t="str">
        <f t="shared" si="7"/>
        <v/>
      </c>
      <c r="J2514" s="205"/>
      <c r="K2514" s="205"/>
    </row>
    <row r="2515" ht="14.25" customHeight="1">
      <c r="A2515" s="55">
        <v>48170.0</v>
      </c>
      <c r="B2515" s="55" t="str">
        <f t="shared" si="10"/>
        <v>Primer dia</v>
      </c>
      <c r="C2515" s="202">
        <f t="shared" si="1"/>
        <v>18</v>
      </c>
      <c r="D2515" s="202" t="str">
        <f t="shared" si="2"/>
        <v> </v>
      </c>
      <c r="E2515" s="202" t="str">
        <f t="shared" si="9"/>
        <v> </v>
      </c>
      <c r="F2515" s="55" t="str">
        <f t="shared" si="4"/>
        <v/>
      </c>
      <c r="G2515" s="202" t="str">
        <f t="shared" si="5"/>
        <v/>
      </c>
      <c r="H2515" s="202" t="str">
        <f t="shared" si="11"/>
        <v> </v>
      </c>
      <c r="I2515" s="205" t="str">
        <f t="shared" si="7"/>
        <v/>
      </c>
      <c r="J2515" s="205"/>
      <c r="K2515" s="205"/>
    </row>
    <row r="2516" ht="14.25" customHeight="1">
      <c r="A2516" s="55">
        <v>48171.0</v>
      </c>
      <c r="B2516" s="55" t="str">
        <f t="shared" si="10"/>
        <v>Primer dia</v>
      </c>
      <c r="C2516" s="202">
        <f t="shared" si="1"/>
        <v>19</v>
      </c>
      <c r="D2516" s="202" t="str">
        <f t="shared" si="2"/>
        <v> </v>
      </c>
      <c r="E2516" s="202" t="str">
        <f t="shared" si="9"/>
        <v> </v>
      </c>
      <c r="F2516" s="55" t="str">
        <f t="shared" si="4"/>
        <v/>
      </c>
      <c r="G2516" s="202" t="str">
        <f t="shared" si="5"/>
        <v/>
      </c>
      <c r="H2516" s="202" t="str">
        <f t="shared" si="11"/>
        <v> </v>
      </c>
      <c r="I2516" s="205" t="str">
        <f t="shared" si="7"/>
        <v/>
      </c>
      <c r="J2516" s="205"/>
      <c r="K2516" s="205"/>
    </row>
    <row r="2517" ht="14.25" customHeight="1">
      <c r="A2517" s="55">
        <v>48172.0</v>
      </c>
      <c r="B2517" s="55" t="str">
        <f t="shared" si="10"/>
        <v>Primer dia</v>
      </c>
      <c r="C2517" s="202">
        <f t="shared" si="1"/>
        <v>20</v>
      </c>
      <c r="D2517" s="202" t="str">
        <f t="shared" si="2"/>
        <v> </v>
      </c>
      <c r="E2517" s="202" t="str">
        <f t="shared" si="9"/>
        <v> </v>
      </c>
      <c r="F2517" s="55" t="str">
        <f t="shared" si="4"/>
        <v/>
      </c>
      <c r="G2517" s="202" t="str">
        <f t="shared" si="5"/>
        <v/>
      </c>
      <c r="H2517" s="202" t="str">
        <f t="shared" si="11"/>
        <v> </v>
      </c>
      <c r="I2517" s="205" t="str">
        <f t="shared" si="7"/>
        <v/>
      </c>
      <c r="J2517" s="205"/>
      <c r="K2517" s="205"/>
    </row>
    <row r="2518" ht="14.25" customHeight="1">
      <c r="A2518" s="55">
        <v>48173.0</v>
      </c>
      <c r="B2518" s="55" t="str">
        <f t="shared" si="10"/>
        <v>Primer dia</v>
      </c>
      <c r="C2518" s="202">
        <f t="shared" si="1"/>
        <v>21</v>
      </c>
      <c r="D2518" s="202" t="str">
        <f t="shared" si="2"/>
        <v> </v>
      </c>
      <c r="E2518" s="202" t="str">
        <f t="shared" si="9"/>
        <v> </v>
      </c>
      <c r="F2518" s="55" t="str">
        <f t="shared" si="4"/>
        <v/>
      </c>
      <c r="G2518" s="202" t="str">
        <f t="shared" si="5"/>
        <v/>
      </c>
      <c r="H2518" s="202" t="str">
        <f t="shared" si="11"/>
        <v> </v>
      </c>
      <c r="I2518" s="205" t="str">
        <f t="shared" si="7"/>
        <v/>
      </c>
      <c r="J2518" s="205"/>
      <c r="K2518" s="205"/>
    </row>
    <row r="2519" ht="14.25" customHeight="1">
      <c r="A2519" s="55">
        <v>48174.0</v>
      </c>
      <c r="B2519" s="55" t="str">
        <f t="shared" si="10"/>
        <v>Primer dia</v>
      </c>
      <c r="C2519" s="202">
        <f t="shared" si="1"/>
        <v>22</v>
      </c>
      <c r="D2519" s="202" t="str">
        <f t="shared" si="2"/>
        <v> </v>
      </c>
      <c r="E2519" s="202" t="str">
        <f t="shared" si="9"/>
        <v> </v>
      </c>
      <c r="F2519" s="55" t="str">
        <f t="shared" si="4"/>
        <v/>
      </c>
      <c r="G2519" s="202" t="str">
        <f t="shared" si="5"/>
        <v/>
      </c>
      <c r="H2519" s="202" t="str">
        <f t="shared" si="11"/>
        <v> </v>
      </c>
      <c r="I2519" s="205" t="str">
        <f t="shared" si="7"/>
        <v/>
      </c>
      <c r="J2519" s="205"/>
      <c r="K2519" s="205"/>
    </row>
    <row r="2520" ht="14.25" customHeight="1">
      <c r="A2520" s="55">
        <v>48175.0</v>
      </c>
      <c r="B2520" s="55" t="str">
        <f t="shared" si="10"/>
        <v>Primer dia</v>
      </c>
      <c r="C2520" s="202">
        <f t="shared" si="1"/>
        <v>23</v>
      </c>
      <c r="D2520" s="202" t="str">
        <f t="shared" si="2"/>
        <v> </v>
      </c>
      <c r="E2520" s="202" t="str">
        <f t="shared" si="9"/>
        <v> </v>
      </c>
      <c r="F2520" s="55" t="str">
        <f t="shared" si="4"/>
        <v/>
      </c>
      <c r="G2520" s="202" t="str">
        <f t="shared" si="5"/>
        <v/>
      </c>
      <c r="H2520" s="202" t="str">
        <f t="shared" si="11"/>
        <v> </v>
      </c>
      <c r="I2520" s="205" t="str">
        <f t="shared" si="7"/>
        <v/>
      </c>
      <c r="J2520" s="205"/>
      <c r="K2520" s="205"/>
    </row>
    <row r="2521" ht="14.25" customHeight="1">
      <c r="A2521" s="55">
        <v>48176.0</v>
      </c>
      <c r="B2521" s="55" t="str">
        <f t="shared" si="10"/>
        <v>Primer dia</v>
      </c>
      <c r="C2521" s="202">
        <f t="shared" si="1"/>
        <v>24</v>
      </c>
      <c r="D2521" s="202" t="str">
        <f t="shared" si="2"/>
        <v> </v>
      </c>
      <c r="E2521" s="202" t="str">
        <f t="shared" si="9"/>
        <v> </v>
      </c>
      <c r="F2521" s="55" t="str">
        <f t="shared" si="4"/>
        <v/>
      </c>
      <c r="G2521" s="202" t="str">
        <f t="shared" si="5"/>
        <v/>
      </c>
      <c r="H2521" s="202" t="str">
        <f t="shared" si="11"/>
        <v> </v>
      </c>
      <c r="I2521" s="205" t="str">
        <f t="shared" si="7"/>
        <v/>
      </c>
      <c r="J2521" s="205"/>
      <c r="K2521" s="205"/>
    </row>
    <row r="2522" ht="14.25" customHeight="1">
      <c r="A2522" s="55">
        <v>48177.0</v>
      </c>
      <c r="B2522" s="55" t="str">
        <f t="shared" si="10"/>
        <v>Primer dia</v>
      </c>
      <c r="C2522" s="202">
        <f t="shared" si="1"/>
        <v>25</v>
      </c>
      <c r="D2522" s="202" t="str">
        <f t="shared" si="2"/>
        <v> </v>
      </c>
      <c r="E2522" s="202" t="str">
        <f t="shared" si="9"/>
        <v> </v>
      </c>
      <c r="F2522" s="55" t="str">
        <f t="shared" si="4"/>
        <v/>
      </c>
      <c r="G2522" s="202" t="str">
        <f t="shared" si="5"/>
        <v/>
      </c>
      <c r="H2522" s="202" t="str">
        <f t="shared" si="11"/>
        <v> </v>
      </c>
      <c r="I2522" s="205" t="str">
        <f t="shared" si="7"/>
        <v/>
      </c>
      <c r="J2522" s="205"/>
      <c r="K2522" s="205"/>
    </row>
    <row r="2523" ht="14.25" customHeight="1">
      <c r="A2523" s="55">
        <v>48178.0</v>
      </c>
      <c r="B2523" s="55" t="str">
        <f t="shared" si="10"/>
        <v>Primer dia</v>
      </c>
      <c r="C2523" s="202">
        <f t="shared" si="1"/>
        <v>26</v>
      </c>
      <c r="D2523" s="202" t="str">
        <f t="shared" si="2"/>
        <v> </v>
      </c>
      <c r="E2523" s="202" t="str">
        <f t="shared" si="9"/>
        <v> </v>
      </c>
      <c r="F2523" s="55" t="str">
        <f t="shared" si="4"/>
        <v/>
      </c>
      <c r="G2523" s="202" t="str">
        <f t="shared" si="5"/>
        <v/>
      </c>
      <c r="H2523" s="202" t="str">
        <f t="shared" si="11"/>
        <v> </v>
      </c>
      <c r="I2523" s="205" t="str">
        <f t="shared" si="7"/>
        <v/>
      </c>
      <c r="J2523" s="205"/>
      <c r="K2523" s="205"/>
    </row>
    <row r="2524" ht="14.25" customHeight="1">
      <c r="A2524" s="55">
        <v>48179.0</v>
      </c>
      <c r="B2524" s="55" t="str">
        <f t="shared" si="10"/>
        <v>Primer dia</v>
      </c>
      <c r="C2524" s="202">
        <f t="shared" si="1"/>
        <v>27</v>
      </c>
      <c r="D2524" s="202" t="str">
        <f t="shared" si="2"/>
        <v> </v>
      </c>
      <c r="E2524" s="202" t="str">
        <f t="shared" si="9"/>
        <v> </v>
      </c>
      <c r="F2524" s="55" t="str">
        <f t="shared" si="4"/>
        <v/>
      </c>
      <c r="G2524" s="202" t="str">
        <f t="shared" si="5"/>
        <v/>
      </c>
      <c r="H2524" s="202" t="str">
        <f t="shared" si="11"/>
        <v> </v>
      </c>
      <c r="I2524" s="205" t="str">
        <f t="shared" si="7"/>
        <v/>
      </c>
      <c r="J2524" s="205"/>
      <c r="K2524" s="205"/>
    </row>
    <row r="2525" ht="14.25" customHeight="1">
      <c r="A2525" s="55">
        <v>48180.0</v>
      </c>
      <c r="B2525" s="55" t="str">
        <f t="shared" si="10"/>
        <v>Primer dia</v>
      </c>
      <c r="C2525" s="202">
        <f t="shared" si="1"/>
        <v>28</v>
      </c>
      <c r="D2525" s="202" t="str">
        <f t="shared" si="2"/>
        <v> </v>
      </c>
      <c r="E2525" s="202" t="str">
        <f t="shared" si="9"/>
        <v> </v>
      </c>
      <c r="F2525" s="55" t="str">
        <f t="shared" si="4"/>
        <v/>
      </c>
      <c r="G2525" s="202" t="str">
        <f t="shared" si="5"/>
        <v/>
      </c>
      <c r="H2525" s="202" t="str">
        <f t="shared" si="11"/>
        <v> </v>
      </c>
      <c r="I2525" s="205" t="str">
        <f t="shared" si="7"/>
        <v/>
      </c>
      <c r="J2525" s="205"/>
      <c r="K2525" s="205"/>
    </row>
    <row r="2526" ht="14.25" customHeight="1">
      <c r="A2526" s="55">
        <v>48181.0</v>
      </c>
      <c r="B2526" s="55" t="str">
        <f t="shared" si="10"/>
        <v>Primer dia</v>
      </c>
      <c r="C2526" s="202">
        <f t="shared" si="1"/>
        <v>29</v>
      </c>
      <c r="D2526" s="202" t="str">
        <f t="shared" si="2"/>
        <v> </v>
      </c>
      <c r="E2526" s="202" t="str">
        <f t="shared" si="9"/>
        <v> </v>
      </c>
      <c r="F2526" s="55" t="str">
        <f t="shared" si="4"/>
        <v/>
      </c>
      <c r="G2526" s="202" t="str">
        <f t="shared" si="5"/>
        <v/>
      </c>
      <c r="H2526" s="202" t="str">
        <f t="shared" si="11"/>
        <v> </v>
      </c>
      <c r="I2526" s="205" t="str">
        <f t="shared" si="7"/>
        <v/>
      </c>
      <c r="J2526" s="205"/>
      <c r="K2526" s="205"/>
    </row>
    <row r="2527" ht="14.25" customHeight="1">
      <c r="A2527" s="55">
        <v>48182.0</v>
      </c>
      <c r="B2527" s="55" t="str">
        <f t="shared" si="10"/>
        <v>Primer dia</v>
      </c>
      <c r="C2527" s="202">
        <f t="shared" si="1"/>
        <v>30</v>
      </c>
      <c r="D2527" s="202" t="str">
        <f t="shared" si="2"/>
        <v> </v>
      </c>
      <c r="E2527" s="202" t="str">
        <f t="shared" si="9"/>
        <v> </v>
      </c>
      <c r="F2527" s="55" t="str">
        <f t="shared" si="4"/>
        <v/>
      </c>
      <c r="G2527" s="202" t="str">
        <f t="shared" si="5"/>
        <v/>
      </c>
      <c r="H2527" s="202" t="str">
        <f t="shared" si="11"/>
        <v> </v>
      </c>
      <c r="I2527" s="205" t="str">
        <f t="shared" si="7"/>
        <v/>
      </c>
      <c r="J2527" s="205"/>
      <c r="K2527" s="205"/>
    </row>
    <row r="2528" ht="14.25" customHeight="1">
      <c r="A2528" s="55">
        <v>48183.0</v>
      </c>
      <c r="B2528" s="55" t="str">
        <f t="shared" si="10"/>
        <v>Primer dia</v>
      </c>
      <c r="C2528" s="202">
        <f t="shared" si="1"/>
        <v>1</v>
      </c>
      <c r="D2528" s="202" t="str">
        <f t="shared" si="2"/>
        <v> </v>
      </c>
      <c r="E2528" s="202" t="str">
        <f t="shared" si="9"/>
        <v> </v>
      </c>
      <c r="F2528" s="55" t="str">
        <f t="shared" si="4"/>
        <v/>
      </c>
      <c r="G2528" s="202" t="str">
        <f t="shared" si="5"/>
        <v/>
      </c>
      <c r="H2528" s="202" t="str">
        <f t="shared" si="11"/>
        <v> </v>
      </c>
      <c r="I2528" s="205" t="str">
        <f t="shared" si="7"/>
        <v/>
      </c>
      <c r="J2528" s="205"/>
      <c r="K2528" s="205"/>
    </row>
    <row r="2529" ht="14.25" customHeight="1">
      <c r="A2529" s="55">
        <v>48184.0</v>
      </c>
      <c r="B2529" s="55" t="str">
        <f t="shared" si="10"/>
        <v>Primer dia</v>
      </c>
      <c r="C2529" s="202">
        <f t="shared" si="1"/>
        <v>2</v>
      </c>
      <c r="D2529" s="202" t="str">
        <f t="shared" si="2"/>
        <v> </v>
      </c>
      <c r="E2529" s="202">
        <f t="shared" si="9"/>
        <v>2</v>
      </c>
      <c r="F2529" s="55">
        <f t="shared" si="4"/>
        <v>48184</v>
      </c>
      <c r="G2529" s="202">
        <f t="shared" si="5"/>
        <v>141</v>
      </c>
      <c r="H2529" s="202" t="str">
        <f t="shared" si="11"/>
        <v> </v>
      </c>
      <c r="I2529" s="205" t="str">
        <f t="shared" si="7"/>
        <v/>
      </c>
      <c r="J2529" s="205"/>
      <c r="K2529" s="205"/>
    </row>
    <row r="2530" ht="14.25" customHeight="1">
      <c r="A2530" s="55">
        <v>48185.0</v>
      </c>
      <c r="B2530" s="55" t="str">
        <f t="shared" si="10"/>
        <v>Primer dia</v>
      </c>
      <c r="C2530" s="202">
        <f t="shared" si="1"/>
        <v>3</v>
      </c>
      <c r="D2530" s="202" t="str">
        <f t="shared" si="2"/>
        <v> </v>
      </c>
      <c r="E2530" s="202" t="str">
        <f t="shared" si="9"/>
        <v> </v>
      </c>
      <c r="F2530" s="55" t="str">
        <f t="shared" si="4"/>
        <v/>
      </c>
      <c r="G2530" s="202" t="str">
        <f t="shared" si="5"/>
        <v/>
      </c>
      <c r="H2530" s="202" t="str">
        <f t="shared" si="11"/>
        <v> </v>
      </c>
      <c r="I2530" s="205" t="str">
        <f t="shared" si="7"/>
        <v/>
      </c>
      <c r="J2530" s="205"/>
      <c r="K2530" s="205"/>
    </row>
    <row r="2531" ht="14.25" customHeight="1">
      <c r="A2531" s="55">
        <v>48186.0</v>
      </c>
      <c r="B2531" s="55" t="str">
        <f t="shared" si="10"/>
        <v>Primer dia</v>
      </c>
      <c r="C2531" s="202">
        <f t="shared" si="1"/>
        <v>4</v>
      </c>
      <c r="D2531" s="202" t="str">
        <f t="shared" si="2"/>
        <v> </v>
      </c>
      <c r="E2531" s="202" t="str">
        <f t="shared" si="9"/>
        <v> </v>
      </c>
      <c r="F2531" s="55" t="str">
        <f t="shared" si="4"/>
        <v/>
      </c>
      <c r="G2531" s="202" t="str">
        <f t="shared" si="5"/>
        <v/>
      </c>
      <c r="H2531" s="202" t="str">
        <f t="shared" si="11"/>
        <v> </v>
      </c>
      <c r="I2531" s="205" t="str">
        <f t="shared" si="7"/>
        <v/>
      </c>
      <c r="J2531" s="205"/>
      <c r="K2531" s="205"/>
    </row>
    <row r="2532" ht="14.25" customHeight="1">
      <c r="A2532" s="55">
        <v>48187.0</v>
      </c>
      <c r="B2532" s="55" t="str">
        <f t="shared" si="10"/>
        <v>Primer dia</v>
      </c>
      <c r="C2532" s="202">
        <f t="shared" si="1"/>
        <v>5</v>
      </c>
      <c r="D2532" s="202" t="str">
        <f t="shared" si="2"/>
        <v> </v>
      </c>
      <c r="E2532" s="202" t="str">
        <f t="shared" si="9"/>
        <v> </v>
      </c>
      <c r="F2532" s="55" t="str">
        <f t="shared" si="4"/>
        <v/>
      </c>
      <c r="G2532" s="202" t="str">
        <f t="shared" si="5"/>
        <v/>
      </c>
      <c r="H2532" s="202" t="str">
        <f t="shared" si="11"/>
        <v> </v>
      </c>
      <c r="I2532" s="205" t="str">
        <f t="shared" si="7"/>
        <v/>
      </c>
      <c r="J2532" s="205"/>
      <c r="K2532" s="205"/>
    </row>
    <row r="2533" ht="14.25" customHeight="1">
      <c r="A2533" s="55">
        <v>48188.0</v>
      </c>
      <c r="B2533" s="55" t="str">
        <f t="shared" si="10"/>
        <v>Primer dia</v>
      </c>
      <c r="C2533" s="202">
        <f t="shared" si="1"/>
        <v>6</v>
      </c>
      <c r="D2533" s="202" t="str">
        <f t="shared" si="2"/>
        <v> </v>
      </c>
      <c r="E2533" s="202" t="str">
        <f t="shared" si="9"/>
        <v> </v>
      </c>
      <c r="F2533" s="55" t="str">
        <f t="shared" si="4"/>
        <v/>
      </c>
      <c r="G2533" s="202" t="str">
        <f t="shared" si="5"/>
        <v/>
      </c>
      <c r="H2533" s="202" t="str">
        <f t="shared" si="11"/>
        <v> </v>
      </c>
      <c r="I2533" s="205" t="str">
        <f t="shared" si="7"/>
        <v/>
      </c>
      <c r="J2533" s="205"/>
      <c r="K2533" s="205"/>
    </row>
    <row r="2534" ht="14.25" customHeight="1">
      <c r="A2534" s="55">
        <v>48189.0</v>
      </c>
      <c r="B2534" s="55" t="str">
        <f t="shared" si="10"/>
        <v>Primer dia</v>
      </c>
      <c r="C2534" s="202">
        <f t="shared" si="1"/>
        <v>7</v>
      </c>
      <c r="D2534" s="202" t="str">
        <f t="shared" si="2"/>
        <v> </v>
      </c>
      <c r="E2534" s="202" t="str">
        <f t="shared" si="9"/>
        <v> </v>
      </c>
      <c r="F2534" s="55" t="str">
        <f t="shared" si="4"/>
        <v/>
      </c>
      <c r="G2534" s="202" t="str">
        <f t="shared" si="5"/>
        <v/>
      </c>
      <c r="H2534" s="202" t="str">
        <f t="shared" si="11"/>
        <v> </v>
      </c>
      <c r="I2534" s="205" t="str">
        <f t="shared" si="7"/>
        <v/>
      </c>
      <c r="J2534" s="205"/>
      <c r="K2534" s="205"/>
    </row>
    <row r="2535" ht="14.25" customHeight="1">
      <c r="A2535" s="55">
        <v>48190.0</v>
      </c>
      <c r="B2535" s="55" t="str">
        <f t="shared" si="10"/>
        <v>Primer dia</v>
      </c>
      <c r="C2535" s="202">
        <f t="shared" si="1"/>
        <v>8</v>
      </c>
      <c r="D2535" s="202" t="str">
        <f t="shared" si="2"/>
        <v> </v>
      </c>
      <c r="E2535" s="202" t="str">
        <f t="shared" si="9"/>
        <v> </v>
      </c>
      <c r="F2535" s="55" t="str">
        <f t="shared" si="4"/>
        <v/>
      </c>
      <c r="G2535" s="202" t="str">
        <f t="shared" si="5"/>
        <v/>
      </c>
      <c r="H2535" s="202" t="str">
        <f t="shared" si="11"/>
        <v> </v>
      </c>
      <c r="I2535" s="205" t="str">
        <f t="shared" si="7"/>
        <v/>
      </c>
      <c r="J2535" s="205"/>
      <c r="K2535" s="205"/>
    </row>
    <row r="2536" ht="14.25" customHeight="1">
      <c r="A2536" s="55">
        <v>48191.0</v>
      </c>
      <c r="B2536" s="55" t="str">
        <f t="shared" si="10"/>
        <v>Primer dia</v>
      </c>
      <c r="C2536" s="202">
        <f t="shared" si="1"/>
        <v>9</v>
      </c>
      <c r="D2536" s="202" t="str">
        <f t="shared" si="2"/>
        <v> </v>
      </c>
      <c r="E2536" s="202" t="str">
        <f t="shared" si="9"/>
        <v> </v>
      </c>
      <c r="F2536" s="55" t="str">
        <f t="shared" si="4"/>
        <v/>
      </c>
      <c r="G2536" s="202" t="str">
        <f t="shared" si="5"/>
        <v/>
      </c>
      <c r="H2536" s="202" t="str">
        <f t="shared" si="11"/>
        <v> </v>
      </c>
      <c r="I2536" s="205" t="str">
        <f t="shared" si="7"/>
        <v/>
      </c>
      <c r="J2536" s="205"/>
      <c r="K2536" s="205"/>
    </row>
    <row r="2537" ht="14.25" customHeight="1">
      <c r="A2537" s="55">
        <v>48192.0</v>
      </c>
      <c r="B2537" s="55" t="str">
        <f t="shared" si="10"/>
        <v>Primer dia</v>
      </c>
      <c r="C2537" s="202">
        <f t="shared" si="1"/>
        <v>10</v>
      </c>
      <c r="D2537" s="202" t="str">
        <f t="shared" si="2"/>
        <v> </v>
      </c>
      <c r="E2537" s="202" t="str">
        <f t="shared" si="9"/>
        <v> </v>
      </c>
      <c r="F2537" s="55" t="str">
        <f t="shared" si="4"/>
        <v/>
      </c>
      <c r="G2537" s="202" t="str">
        <f t="shared" si="5"/>
        <v/>
      </c>
      <c r="H2537" s="202" t="str">
        <f t="shared" si="11"/>
        <v> </v>
      </c>
      <c r="I2537" s="205" t="str">
        <f t="shared" si="7"/>
        <v/>
      </c>
      <c r="J2537" s="205"/>
      <c r="K2537" s="205"/>
    </row>
    <row r="2538" ht="14.25" customHeight="1">
      <c r="A2538" s="55">
        <v>48193.0</v>
      </c>
      <c r="B2538" s="55" t="str">
        <f t="shared" si="10"/>
        <v>Primer dia</v>
      </c>
      <c r="C2538" s="202">
        <f t="shared" si="1"/>
        <v>11</v>
      </c>
      <c r="D2538" s="202" t="str">
        <f t="shared" si="2"/>
        <v> </v>
      </c>
      <c r="E2538" s="202" t="str">
        <f t="shared" si="9"/>
        <v> </v>
      </c>
      <c r="F2538" s="55" t="str">
        <f t="shared" si="4"/>
        <v/>
      </c>
      <c r="G2538" s="202" t="str">
        <f t="shared" si="5"/>
        <v/>
      </c>
      <c r="H2538" s="202" t="str">
        <f t="shared" si="11"/>
        <v> </v>
      </c>
      <c r="I2538" s="205" t="str">
        <f t="shared" si="7"/>
        <v/>
      </c>
      <c r="J2538" s="205"/>
      <c r="K2538" s="205"/>
    </row>
    <row r="2539" ht="14.25" customHeight="1">
      <c r="A2539" s="55">
        <v>48194.0</v>
      </c>
      <c r="B2539" s="55" t="str">
        <f t="shared" si="10"/>
        <v>Primer dia</v>
      </c>
      <c r="C2539" s="202">
        <f t="shared" si="1"/>
        <v>12</v>
      </c>
      <c r="D2539" s="202" t="str">
        <f t="shared" si="2"/>
        <v> </v>
      </c>
      <c r="E2539" s="202" t="str">
        <f t="shared" si="9"/>
        <v> </v>
      </c>
      <c r="F2539" s="55" t="str">
        <f t="shared" si="4"/>
        <v/>
      </c>
      <c r="G2539" s="202" t="str">
        <f t="shared" si="5"/>
        <v/>
      </c>
      <c r="H2539" s="202" t="str">
        <f t="shared" si="11"/>
        <v> </v>
      </c>
      <c r="I2539" s="205" t="str">
        <f t="shared" si="7"/>
        <v/>
      </c>
      <c r="J2539" s="205"/>
      <c r="K2539" s="205"/>
    </row>
    <row r="2540" ht="14.25" customHeight="1">
      <c r="A2540" s="55">
        <v>48195.0</v>
      </c>
      <c r="B2540" s="55" t="str">
        <f t="shared" si="10"/>
        <v>Primer dia</v>
      </c>
      <c r="C2540" s="202">
        <f t="shared" si="1"/>
        <v>13</v>
      </c>
      <c r="D2540" s="202" t="str">
        <f t="shared" si="2"/>
        <v> </v>
      </c>
      <c r="E2540" s="202" t="str">
        <f t="shared" si="9"/>
        <v> </v>
      </c>
      <c r="F2540" s="55" t="str">
        <f t="shared" si="4"/>
        <v/>
      </c>
      <c r="G2540" s="202" t="str">
        <f t="shared" si="5"/>
        <v/>
      </c>
      <c r="H2540" s="202" t="str">
        <f t="shared" si="11"/>
        <v> </v>
      </c>
      <c r="I2540" s="205" t="str">
        <f t="shared" si="7"/>
        <v/>
      </c>
      <c r="J2540" s="205"/>
      <c r="K2540" s="205"/>
    </row>
    <row r="2541" ht="14.25" customHeight="1">
      <c r="A2541" s="55">
        <v>48196.0</v>
      </c>
      <c r="B2541" s="55" t="str">
        <f t="shared" si="10"/>
        <v>Primer dia</v>
      </c>
      <c r="C2541" s="202">
        <f t="shared" si="1"/>
        <v>14</v>
      </c>
      <c r="D2541" s="202" t="str">
        <f t="shared" si="2"/>
        <v> </v>
      </c>
      <c r="E2541" s="202" t="str">
        <f t="shared" si="9"/>
        <v> </v>
      </c>
      <c r="F2541" s="55" t="str">
        <f t="shared" si="4"/>
        <v/>
      </c>
      <c r="G2541" s="202" t="str">
        <f t="shared" si="5"/>
        <v/>
      </c>
      <c r="H2541" s="202" t="str">
        <f t="shared" si="11"/>
        <v> </v>
      </c>
      <c r="I2541" s="205" t="str">
        <f t="shared" si="7"/>
        <v/>
      </c>
      <c r="J2541" s="205"/>
      <c r="K2541" s="205"/>
    </row>
    <row r="2542" ht="14.25" customHeight="1">
      <c r="A2542" s="55">
        <v>48197.0</v>
      </c>
      <c r="B2542" s="55" t="str">
        <f t="shared" si="10"/>
        <v>Primer dia</v>
      </c>
      <c r="C2542" s="202">
        <f t="shared" si="1"/>
        <v>15</v>
      </c>
      <c r="D2542" s="202" t="str">
        <f t="shared" si="2"/>
        <v> </v>
      </c>
      <c r="E2542" s="202" t="str">
        <f t="shared" si="9"/>
        <v> </v>
      </c>
      <c r="F2542" s="55" t="str">
        <f t="shared" si="4"/>
        <v/>
      </c>
      <c r="G2542" s="202" t="str">
        <f t="shared" si="5"/>
        <v/>
      </c>
      <c r="H2542" s="202" t="str">
        <f t="shared" si="11"/>
        <v> </v>
      </c>
      <c r="I2542" s="205" t="str">
        <f t="shared" si="7"/>
        <v/>
      </c>
      <c r="J2542" s="205"/>
      <c r="K2542" s="205"/>
    </row>
    <row r="2543" ht="14.25" customHeight="1">
      <c r="A2543" s="55">
        <v>48198.0</v>
      </c>
      <c r="B2543" s="55" t="str">
        <f t="shared" si="10"/>
        <v>Primer dia</v>
      </c>
      <c r="C2543" s="202">
        <f t="shared" si="1"/>
        <v>16</v>
      </c>
      <c r="D2543" s="202" t="str">
        <f t="shared" si="2"/>
        <v> </v>
      </c>
      <c r="E2543" s="202" t="str">
        <f t="shared" si="9"/>
        <v> </v>
      </c>
      <c r="F2543" s="55" t="str">
        <f t="shared" si="4"/>
        <v/>
      </c>
      <c r="G2543" s="202" t="str">
        <f t="shared" si="5"/>
        <v/>
      </c>
      <c r="H2543" s="202" t="str">
        <f t="shared" si="11"/>
        <v> </v>
      </c>
      <c r="I2543" s="205" t="str">
        <f t="shared" si="7"/>
        <v/>
      </c>
      <c r="J2543" s="205"/>
      <c r="K2543" s="205"/>
    </row>
    <row r="2544" ht="14.25" customHeight="1">
      <c r="A2544" s="55">
        <v>48199.0</v>
      </c>
      <c r="B2544" s="55" t="str">
        <f t="shared" si="10"/>
        <v>Primer dia</v>
      </c>
      <c r="C2544" s="202">
        <f t="shared" si="1"/>
        <v>17</v>
      </c>
      <c r="D2544" s="202" t="str">
        <f t="shared" si="2"/>
        <v> </v>
      </c>
      <c r="E2544" s="202">
        <f t="shared" si="9"/>
        <v>17</v>
      </c>
      <c r="F2544" s="55">
        <f t="shared" si="4"/>
        <v>48199</v>
      </c>
      <c r="G2544" s="202">
        <f t="shared" si="5"/>
        <v>142</v>
      </c>
      <c r="H2544" s="202" t="str">
        <f t="shared" si="11"/>
        <v> </v>
      </c>
      <c r="I2544" s="205" t="str">
        <f t="shared" si="7"/>
        <v/>
      </c>
      <c r="J2544" s="205"/>
      <c r="K2544" s="205"/>
    </row>
    <row r="2545" ht="14.25" customHeight="1">
      <c r="A2545" s="55">
        <v>48200.0</v>
      </c>
      <c r="B2545" s="55" t="str">
        <f t="shared" si="10"/>
        <v>Primer dia</v>
      </c>
      <c r="C2545" s="202">
        <f t="shared" si="1"/>
        <v>18</v>
      </c>
      <c r="D2545" s="202" t="str">
        <f t="shared" si="2"/>
        <v> </v>
      </c>
      <c r="E2545" s="202" t="str">
        <f t="shared" si="9"/>
        <v> </v>
      </c>
      <c r="F2545" s="55" t="str">
        <f t="shared" si="4"/>
        <v/>
      </c>
      <c r="G2545" s="202" t="str">
        <f t="shared" si="5"/>
        <v/>
      </c>
      <c r="H2545" s="202" t="str">
        <f t="shared" si="11"/>
        <v> </v>
      </c>
      <c r="I2545" s="205" t="str">
        <f t="shared" si="7"/>
        <v/>
      </c>
      <c r="J2545" s="205"/>
      <c r="K2545" s="205"/>
    </row>
    <row r="2546" ht="14.25" customHeight="1">
      <c r="A2546" s="55">
        <v>48201.0</v>
      </c>
      <c r="B2546" s="55" t="str">
        <f t="shared" si="10"/>
        <v>Primer dia</v>
      </c>
      <c r="C2546" s="202">
        <f t="shared" si="1"/>
        <v>19</v>
      </c>
      <c r="D2546" s="202" t="str">
        <f t="shared" si="2"/>
        <v> </v>
      </c>
      <c r="E2546" s="202" t="str">
        <f t="shared" si="9"/>
        <v> </v>
      </c>
      <c r="F2546" s="55" t="str">
        <f t="shared" si="4"/>
        <v/>
      </c>
      <c r="G2546" s="202" t="str">
        <f t="shared" si="5"/>
        <v/>
      </c>
      <c r="H2546" s="202" t="str">
        <f t="shared" si="11"/>
        <v> </v>
      </c>
      <c r="I2546" s="205" t="str">
        <f t="shared" si="7"/>
        <v/>
      </c>
      <c r="J2546" s="205"/>
      <c r="K2546" s="205"/>
    </row>
    <row r="2547" ht="14.25" customHeight="1">
      <c r="A2547" s="55">
        <v>48202.0</v>
      </c>
      <c r="B2547" s="55" t="str">
        <f t="shared" si="10"/>
        <v>Primer dia</v>
      </c>
      <c r="C2547" s="202">
        <f t="shared" si="1"/>
        <v>20</v>
      </c>
      <c r="D2547" s="202" t="str">
        <f t="shared" si="2"/>
        <v> </v>
      </c>
      <c r="E2547" s="202" t="str">
        <f t="shared" si="9"/>
        <v> </v>
      </c>
      <c r="F2547" s="55" t="str">
        <f t="shared" si="4"/>
        <v/>
      </c>
      <c r="G2547" s="202" t="str">
        <f t="shared" si="5"/>
        <v/>
      </c>
      <c r="H2547" s="202" t="str">
        <f t="shared" si="11"/>
        <v> </v>
      </c>
      <c r="I2547" s="205" t="str">
        <f t="shared" si="7"/>
        <v/>
      </c>
      <c r="J2547" s="205"/>
      <c r="K2547" s="205"/>
    </row>
    <row r="2548" ht="14.25" customHeight="1">
      <c r="A2548" s="55">
        <v>48203.0</v>
      </c>
      <c r="B2548" s="55" t="str">
        <f t="shared" si="10"/>
        <v>Primer dia</v>
      </c>
      <c r="C2548" s="202">
        <f t="shared" si="1"/>
        <v>21</v>
      </c>
      <c r="D2548" s="202" t="str">
        <f t="shared" si="2"/>
        <v> </v>
      </c>
      <c r="E2548" s="202" t="str">
        <f t="shared" si="9"/>
        <v> </v>
      </c>
      <c r="F2548" s="55" t="str">
        <f t="shared" si="4"/>
        <v/>
      </c>
      <c r="G2548" s="202" t="str">
        <f t="shared" si="5"/>
        <v/>
      </c>
      <c r="H2548" s="202" t="str">
        <f t="shared" si="11"/>
        <v> </v>
      </c>
      <c r="I2548" s="205" t="str">
        <f t="shared" si="7"/>
        <v/>
      </c>
      <c r="J2548" s="205"/>
      <c r="K2548" s="205"/>
    </row>
    <row r="2549" ht="14.25" customHeight="1">
      <c r="A2549" s="55">
        <v>48204.0</v>
      </c>
      <c r="B2549" s="55" t="str">
        <f t="shared" si="10"/>
        <v>Primer dia</v>
      </c>
      <c r="C2549" s="202">
        <f t="shared" si="1"/>
        <v>22</v>
      </c>
      <c r="D2549" s="202" t="str">
        <f t="shared" si="2"/>
        <v> </v>
      </c>
      <c r="E2549" s="202" t="str">
        <f t="shared" si="9"/>
        <v> </v>
      </c>
      <c r="F2549" s="55" t="str">
        <f t="shared" si="4"/>
        <v/>
      </c>
      <c r="G2549" s="202" t="str">
        <f t="shared" si="5"/>
        <v/>
      </c>
      <c r="H2549" s="202" t="str">
        <f t="shared" si="11"/>
        <v> </v>
      </c>
      <c r="I2549" s="205" t="str">
        <f t="shared" si="7"/>
        <v/>
      </c>
      <c r="J2549" s="205"/>
      <c r="K2549" s="205"/>
    </row>
    <row r="2550" ht="14.25" customHeight="1">
      <c r="A2550" s="55">
        <v>48205.0</v>
      </c>
      <c r="B2550" s="55" t="str">
        <f t="shared" si="10"/>
        <v>Primer dia</v>
      </c>
      <c r="C2550" s="202">
        <f t="shared" si="1"/>
        <v>23</v>
      </c>
      <c r="D2550" s="202" t="str">
        <f t="shared" si="2"/>
        <v> </v>
      </c>
      <c r="E2550" s="202" t="str">
        <f t="shared" si="9"/>
        <v> </v>
      </c>
      <c r="F2550" s="55" t="str">
        <f t="shared" si="4"/>
        <v/>
      </c>
      <c r="G2550" s="202" t="str">
        <f t="shared" si="5"/>
        <v/>
      </c>
      <c r="H2550" s="202" t="str">
        <f t="shared" si="11"/>
        <v> </v>
      </c>
      <c r="I2550" s="205" t="str">
        <f t="shared" si="7"/>
        <v/>
      </c>
      <c r="J2550" s="205"/>
      <c r="K2550" s="205"/>
    </row>
    <row r="2551" ht="14.25" customHeight="1">
      <c r="A2551" s="55">
        <v>48206.0</v>
      </c>
      <c r="B2551" s="55" t="str">
        <f t="shared" si="10"/>
        <v>Primer dia</v>
      </c>
      <c r="C2551" s="202">
        <f t="shared" si="1"/>
        <v>24</v>
      </c>
      <c r="D2551" s="202" t="str">
        <f t="shared" si="2"/>
        <v> </v>
      </c>
      <c r="E2551" s="202" t="str">
        <f t="shared" si="9"/>
        <v> </v>
      </c>
      <c r="F2551" s="55" t="str">
        <f t="shared" si="4"/>
        <v/>
      </c>
      <c r="G2551" s="202" t="str">
        <f t="shared" si="5"/>
        <v/>
      </c>
      <c r="H2551" s="202" t="str">
        <f t="shared" si="11"/>
        <v> </v>
      </c>
      <c r="I2551" s="205" t="str">
        <f t="shared" si="7"/>
        <v/>
      </c>
      <c r="J2551" s="205"/>
      <c r="K2551" s="205"/>
    </row>
    <row r="2552" ht="14.25" customHeight="1">
      <c r="A2552" s="55">
        <v>48207.0</v>
      </c>
      <c r="B2552" s="55" t="str">
        <f t="shared" si="10"/>
        <v>Primer dia</v>
      </c>
      <c r="C2552" s="202">
        <f t="shared" si="1"/>
        <v>25</v>
      </c>
      <c r="D2552" s="202" t="str">
        <f t="shared" si="2"/>
        <v> </v>
      </c>
      <c r="E2552" s="202" t="str">
        <f t="shared" si="9"/>
        <v> </v>
      </c>
      <c r="F2552" s="55" t="str">
        <f t="shared" si="4"/>
        <v/>
      </c>
      <c r="G2552" s="202" t="str">
        <f t="shared" si="5"/>
        <v/>
      </c>
      <c r="H2552" s="202" t="str">
        <f t="shared" si="11"/>
        <v> </v>
      </c>
      <c r="I2552" s="205" t="str">
        <f t="shared" si="7"/>
        <v/>
      </c>
      <c r="J2552" s="205"/>
      <c r="K2552" s="205"/>
    </row>
    <row r="2553" ht="14.25" customHeight="1">
      <c r="A2553" s="55">
        <v>48208.0</v>
      </c>
      <c r="B2553" s="55" t="str">
        <f t="shared" si="10"/>
        <v>Primer dia</v>
      </c>
      <c r="C2553" s="202">
        <f t="shared" si="1"/>
        <v>26</v>
      </c>
      <c r="D2553" s="202" t="str">
        <f t="shared" si="2"/>
        <v> </v>
      </c>
      <c r="E2553" s="202" t="str">
        <f t="shared" si="9"/>
        <v> </v>
      </c>
      <c r="F2553" s="55" t="str">
        <f t="shared" si="4"/>
        <v/>
      </c>
      <c r="G2553" s="202" t="str">
        <f t="shared" si="5"/>
        <v/>
      </c>
      <c r="H2553" s="202" t="str">
        <f t="shared" si="11"/>
        <v> </v>
      </c>
      <c r="I2553" s="205" t="str">
        <f t="shared" si="7"/>
        <v/>
      </c>
      <c r="J2553" s="205"/>
      <c r="K2553" s="205"/>
    </row>
    <row r="2554" ht="14.25" customHeight="1">
      <c r="A2554" s="55">
        <v>48209.0</v>
      </c>
      <c r="B2554" s="55" t="str">
        <f t="shared" si="10"/>
        <v>Primer dia</v>
      </c>
      <c r="C2554" s="202">
        <f t="shared" si="1"/>
        <v>27</v>
      </c>
      <c r="D2554" s="202" t="str">
        <f t="shared" si="2"/>
        <v> </v>
      </c>
      <c r="E2554" s="202" t="str">
        <f t="shared" si="9"/>
        <v> </v>
      </c>
      <c r="F2554" s="55" t="str">
        <f t="shared" si="4"/>
        <v/>
      </c>
      <c r="G2554" s="202" t="str">
        <f t="shared" si="5"/>
        <v/>
      </c>
      <c r="H2554" s="202" t="str">
        <f t="shared" si="11"/>
        <v> </v>
      </c>
      <c r="I2554" s="205" t="str">
        <f t="shared" si="7"/>
        <v/>
      </c>
      <c r="J2554" s="205"/>
      <c r="K2554" s="205"/>
    </row>
    <row r="2555" ht="14.25" customHeight="1">
      <c r="A2555" s="55">
        <v>48210.0</v>
      </c>
      <c r="B2555" s="55" t="str">
        <f t="shared" si="10"/>
        <v>Primer dia</v>
      </c>
      <c r="C2555" s="202">
        <f t="shared" si="1"/>
        <v>28</v>
      </c>
      <c r="D2555" s="202" t="str">
        <f t="shared" si="2"/>
        <v> </v>
      </c>
      <c r="E2555" s="202" t="str">
        <f t="shared" si="9"/>
        <v> </v>
      </c>
      <c r="F2555" s="55" t="str">
        <f t="shared" si="4"/>
        <v/>
      </c>
      <c r="G2555" s="202" t="str">
        <f t="shared" si="5"/>
        <v/>
      </c>
      <c r="H2555" s="202" t="str">
        <f t="shared" si="11"/>
        <v> </v>
      </c>
      <c r="I2555" s="205" t="str">
        <f t="shared" si="7"/>
        <v/>
      </c>
      <c r="J2555" s="205"/>
      <c r="K2555" s="205"/>
    </row>
    <row r="2556" ht="14.25" customHeight="1">
      <c r="A2556" s="55">
        <v>48211.0</v>
      </c>
      <c r="B2556" s="55" t="str">
        <f t="shared" si="10"/>
        <v>Primer dia</v>
      </c>
      <c r="C2556" s="202">
        <f t="shared" si="1"/>
        <v>29</v>
      </c>
      <c r="D2556" s="202" t="str">
        <f t="shared" si="2"/>
        <v> </v>
      </c>
      <c r="E2556" s="202" t="str">
        <f t="shared" si="9"/>
        <v> </v>
      </c>
      <c r="F2556" s="55" t="str">
        <f t="shared" si="4"/>
        <v/>
      </c>
      <c r="G2556" s="202" t="str">
        <f t="shared" si="5"/>
        <v/>
      </c>
      <c r="H2556" s="202" t="str">
        <f t="shared" si="11"/>
        <v> </v>
      </c>
      <c r="I2556" s="205" t="str">
        <f t="shared" si="7"/>
        <v/>
      </c>
      <c r="J2556" s="205"/>
      <c r="K2556" s="205"/>
    </row>
    <row r="2557" ht="14.25" customHeight="1">
      <c r="A2557" s="55">
        <v>48212.0</v>
      </c>
      <c r="B2557" s="55" t="str">
        <f t="shared" si="10"/>
        <v>Primer dia</v>
      </c>
      <c r="C2557" s="202">
        <f t="shared" si="1"/>
        <v>30</v>
      </c>
      <c r="D2557" s="202" t="str">
        <f t="shared" si="2"/>
        <v> </v>
      </c>
      <c r="E2557" s="202" t="str">
        <f t="shared" si="9"/>
        <v> </v>
      </c>
      <c r="F2557" s="55" t="str">
        <f t="shared" si="4"/>
        <v/>
      </c>
      <c r="G2557" s="202" t="str">
        <f t="shared" si="5"/>
        <v/>
      </c>
      <c r="H2557" s="202" t="str">
        <f t="shared" si="11"/>
        <v> </v>
      </c>
      <c r="I2557" s="205" t="str">
        <f t="shared" si="7"/>
        <v/>
      </c>
      <c r="J2557" s="205"/>
      <c r="K2557" s="205"/>
    </row>
    <row r="2558" ht="14.25" customHeight="1">
      <c r="A2558" s="55">
        <v>48213.0</v>
      </c>
      <c r="B2558" s="55" t="str">
        <f t="shared" si="10"/>
        <v>Primer dia</v>
      </c>
      <c r="C2558" s="202">
        <f t="shared" si="1"/>
        <v>31</v>
      </c>
      <c r="D2558" s="202" t="str">
        <f t="shared" si="2"/>
        <v> </v>
      </c>
      <c r="E2558" s="202" t="str">
        <f t="shared" si="9"/>
        <v> </v>
      </c>
      <c r="F2558" s="55" t="str">
        <f t="shared" si="4"/>
        <v/>
      </c>
      <c r="G2558" s="202" t="str">
        <f t="shared" si="5"/>
        <v/>
      </c>
      <c r="H2558" s="202" t="str">
        <f t="shared" si="11"/>
        <v> </v>
      </c>
      <c r="I2558" s="205" t="str">
        <f t="shared" si="7"/>
        <v/>
      </c>
      <c r="J2558" s="205"/>
      <c r="K2558" s="205"/>
    </row>
    <row r="2559" ht="14.25" customHeight="1">
      <c r="A2559" s="55">
        <v>48214.0</v>
      </c>
      <c r="B2559" s="55" t="str">
        <f t="shared" si="10"/>
        <v>Primer dia</v>
      </c>
      <c r="C2559" s="202">
        <f t="shared" si="1"/>
        <v>1</v>
      </c>
      <c r="D2559" s="202" t="str">
        <f t="shared" si="2"/>
        <v> </v>
      </c>
      <c r="E2559" s="202" t="str">
        <f t="shared" si="9"/>
        <v> </v>
      </c>
      <c r="F2559" s="55" t="str">
        <f t="shared" si="4"/>
        <v/>
      </c>
      <c r="G2559" s="202" t="str">
        <f t="shared" si="5"/>
        <v/>
      </c>
      <c r="H2559" s="202" t="str">
        <f t="shared" si="11"/>
        <v> </v>
      </c>
      <c r="I2559" s="205" t="str">
        <f t="shared" si="7"/>
        <v/>
      </c>
      <c r="J2559" s="205"/>
      <c r="K2559" s="205"/>
    </row>
    <row r="2560" ht="14.25" customHeight="1">
      <c r="A2560" s="55">
        <v>48215.0</v>
      </c>
      <c r="B2560" s="55" t="str">
        <f t="shared" si="10"/>
        <v>Primer dia</v>
      </c>
      <c r="C2560" s="202">
        <f t="shared" si="1"/>
        <v>2</v>
      </c>
      <c r="D2560" s="202" t="str">
        <f t="shared" si="2"/>
        <v> </v>
      </c>
      <c r="E2560" s="202">
        <f t="shared" si="9"/>
        <v>2</v>
      </c>
      <c r="F2560" s="55">
        <f t="shared" si="4"/>
        <v>48215</v>
      </c>
      <c r="G2560" s="202">
        <f t="shared" si="5"/>
        <v>143</v>
      </c>
      <c r="H2560" s="202" t="str">
        <f t="shared" si="11"/>
        <v> </v>
      </c>
      <c r="I2560" s="205" t="str">
        <f t="shared" si="7"/>
        <v/>
      </c>
      <c r="J2560" s="205"/>
      <c r="K2560" s="205"/>
    </row>
    <row r="2561" ht="14.25" customHeight="1">
      <c r="A2561" s="55">
        <v>48216.0</v>
      </c>
      <c r="B2561" s="55" t="str">
        <f t="shared" si="10"/>
        <v>Primer dia</v>
      </c>
      <c r="C2561" s="202">
        <f t="shared" si="1"/>
        <v>3</v>
      </c>
      <c r="D2561" s="202" t="str">
        <f t="shared" si="2"/>
        <v> </v>
      </c>
      <c r="E2561" s="202" t="str">
        <f t="shared" si="9"/>
        <v> </v>
      </c>
      <c r="F2561" s="55" t="str">
        <f t="shared" si="4"/>
        <v/>
      </c>
      <c r="G2561" s="202" t="str">
        <f t="shared" si="5"/>
        <v/>
      </c>
      <c r="H2561" s="202" t="str">
        <f t="shared" si="11"/>
        <v> </v>
      </c>
      <c r="I2561" s="205" t="str">
        <f t="shared" si="7"/>
        <v/>
      </c>
      <c r="J2561" s="205"/>
      <c r="K2561" s="205"/>
    </row>
    <row r="2562" ht="14.25" customHeight="1">
      <c r="A2562" s="55">
        <v>48217.0</v>
      </c>
      <c r="B2562" s="55" t="str">
        <f t="shared" si="10"/>
        <v>Primer dia</v>
      </c>
      <c r="C2562" s="202">
        <f t="shared" si="1"/>
        <v>4</v>
      </c>
      <c r="D2562" s="202" t="str">
        <f t="shared" si="2"/>
        <v> </v>
      </c>
      <c r="E2562" s="202" t="str">
        <f t="shared" si="9"/>
        <v> </v>
      </c>
      <c r="F2562" s="55" t="str">
        <f t="shared" si="4"/>
        <v/>
      </c>
      <c r="G2562" s="202" t="str">
        <f t="shared" si="5"/>
        <v/>
      </c>
      <c r="H2562" s="202" t="str">
        <f t="shared" si="11"/>
        <v> </v>
      </c>
      <c r="I2562" s="205" t="str">
        <f t="shared" si="7"/>
        <v/>
      </c>
      <c r="J2562" s="205"/>
      <c r="K2562" s="205"/>
    </row>
    <row r="2563" ht="14.25" customHeight="1">
      <c r="A2563" s="55">
        <v>48218.0</v>
      </c>
      <c r="B2563" s="55" t="str">
        <f t="shared" si="10"/>
        <v>Primer dia</v>
      </c>
      <c r="C2563" s="202">
        <f t="shared" si="1"/>
        <v>5</v>
      </c>
      <c r="D2563" s="202" t="str">
        <f t="shared" si="2"/>
        <v> </v>
      </c>
      <c r="E2563" s="202" t="str">
        <f t="shared" si="9"/>
        <v> </v>
      </c>
      <c r="F2563" s="55" t="str">
        <f t="shared" si="4"/>
        <v/>
      </c>
      <c r="G2563" s="202" t="str">
        <f t="shared" si="5"/>
        <v/>
      </c>
      <c r="H2563" s="202" t="str">
        <f t="shared" si="11"/>
        <v> </v>
      </c>
      <c r="I2563" s="205" t="str">
        <f t="shared" si="7"/>
        <v/>
      </c>
      <c r="J2563" s="205"/>
      <c r="K2563" s="205"/>
    </row>
    <row r="2564" ht="14.25" customHeight="1">
      <c r="A2564" s="55">
        <v>48219.0</v>
      </c>
      <c r="B2564" s="55" t="str">
        <f t="shared" si="10"/>
        <v>Primer dia</v>
      </c>
      <c r="C2564" s="202">
        <f t="shared" si="1"/>
        <v>6</v>
      </c>
      <c r="D2564" s="202" t="str">
        <f t="shared" si="2"/>
        <v> </v>
      </c>
      <c r="E2564" s="202" t="str">
        <f t="shared" si="9"/>
        <v> </v>
      </c>
      <c r="F2564" s="55" t="str">
        <f t="shared" si="4"/>
        <v/>
      </c>
      <c r="G2564" s="202" t="str">
        <f t="shared" si="5"/>
        <v/>
      </c>
      <c r="H2564" s="202" t="str">
        <f t="shared" si="11"/>
        <v> </v>
      </c>
      <c r="I2564" s="205" t="str">
        <f t="shared" si="7"/>
        <v/>
      </c>
      <c r="J2564" s="205"/>
      <c r="K2564" s="205"/>
    </row>
    <row r="2565" ht="14.25" customHeight="1">
      <c r="A2565" s="55">
        <v>48220.0</v>
      </c>
      <c r="B2565" s="55" t="str">
        <f t="shared" si="10"/>
        <v>Primer dia</v>
      </c>
      <c r="C2565" s="202">
        <f t="shared" si="1"/>
        <v>7</v>
      </c>
      <c r="D2565" s="202" t="str">
        <f t="shared" si="2"/>
        <v> </v>
      </c>
      <c r="E2565" s="202" t="str">
        <f t="shared" si="9"/>
        <v> </v>
      </c>
      <c r="F2565" s="55" t="str">
        <f t="shared" si="4"/>
        <v/>
      </c>
      <c r="G2565" s="202" t="str">
        <f t="shared" si="5"/>
        <v/>
      </c>
      <c r="H2565" s="202" t="str">
        <f t="shared" si="11"/>
        <v> </v>
      </c>
      <c r="I2565" s="205" t="str">
        <f t="shared" si="7"/>
        <v/>
      </c>
      <c r="J2565" s="205"/>
      <c r="K2565" s="205"/>
    </row>
    <row r="2566" ht="14.25" customHeight="1">
      <c r="A2566" s="55">
        <v>48221.0</v>
      </c>
      <c r="B2566" s="55" t="str">
        <f t="shared" si="10"/>
        <v>Primer dia</v>
      </c>
      <c r="C2566" s="202">
        <f t="shared" si="1"/>
        <v>8</v>
      </c>
      <c r="D2566" s="202" t="str">
        <f t="shared" si="2"/>
        <v> </v>
      </c>
      <c r="E2566" s="202" t="str">
        <f t="shared" si="9"/>
        <v> </v>
      </c>
      <c r="F2566" s="55" t="str">
        <f t="shared" si="4"/>
        <v/>
      </c>
      <c r="G2566" s="202" t="str">
        <f t="shared" si="5"/>
        <v/>
      </c>
      <c r="H2566" s="202" t="str">
        <f t="shared" si="11"/>
        <v> </v>
      </c>
      <c r="I2566" s="205" t="str">
        <f t="shared" si="7"/>
        <v/>
      </c>
      <c r="J2566" s="205"/>
      <c r="K2566" s="205"/>
    </row>
    <row r="2567" ht="14.25" customHeight="1">
      <c r="A2567" s="55">
        <v>48222.0</v>
      </c>
      <c r="B2567" s="55" t="str">
        <f t="shared" si="10"/>
        <v>Primer dia</v>
      </c>
      <c r="C2567" s="202">
        <f t="shared" si="1"/>
        <v>9</v>
      </c>
      <c r="D2567" s="202" t="str">
        <f t="shared" si="2"/>
        <v> </v>
      </c>
      <c r="E2567" s="202" t="str">
        <f t="shared" si="9"/>
        <v> </v>
      </c>
      <c r="F2567" s="55" t="str">
        <f t="shared" si="4"/>
        <v/>
      </c>
      <c r="G2567" s="202" t="str">
        <f t="shared" si="5"/>
        <v/>
      </c>
      <c r="H2567" s="202" t="str">
        <f t="shared" si="11"/>
        <v> </v>
      </c>
      <c r="I2567" s="205" t="str">
        <f t="shared" si="7"/>
        <v/>
      </c>
      <c r="J2567" s="205"/>
      <c r="K2567" s="205"/>
    </row>
    <row r="2568" ht="14.25" customHeight="1">
      <c r="A2568" s="55">
        <v>48223.0</v>
      </c>
      <c r="B2568" s="55" t="str">
        <f t="shared" si="10"/>
        <v>Primer dia</v>
      </c>
      <c r="C2568" s="202">
        <f t="shared" si="1"/>
        <v>10</v>
      </c>
      <c r="D2568" s="202" t="str">
        <f t="shared" si="2"/>
        <v> </v>
      </c>
      <c r="E2568" s="202" t="str">
        <f t="shared" si="9"/>
        <v> </v>
      </c>
      <c r="F2568" s="55" t="str">
        <f t="shared" si="4"/>
        <v/>
      </c>
      <c r="G2568" s="202" t="str">
        <f t="shared" si="5"/>
        <v/>
      </c>
      <c r="H2568" s="202" t="str">
        <f t="shared" si="11"/>
        <v> </v>
      </c>
      <c r="I2568" s="205" t="str">
        <f t="shared" si="7"/>
        <v/>
      </c>
      <c r="J2568" s="205"/>
      <c r="K2568" s="205"/>
    </row>
    <row r="2569" ht="14.25" customHeight="1">
      <c r="A2569" s="55">
        <v>48224.0</v>
      </c>
      <c r="B2569" s="55" t="str">
        <f t="shared" si="10"/>
        <v>Primer dia</v>
      </c>
      <c r="C2569" s="202">
        <f t="shared" si="1"/>
        <v>11</v>
      </c>
      <c r="D2569" s="202" t="str">
        <f t="shared" si="2"/>
        <v> </v>
      </c>
      <c r="E2569" s="202" t="str">
        <f t="shared" si="9"/>
        <v> </v>
      </c>
      <c r="F2569" s="55" t="str">
        <f t="shared" si="4"/>
        <v/>
      </c>
      <c r="G2569" s="202" t="str">
        <f t="shared" si="5"/>
        <v/>
      </c>
      <c r="H2569" s="202" t="str">
        <f t="shared" si="11"/>
        <v> </v>
      </c>
      <c r="I2569" s="205" t="str">
        <f t="shared" si="7"/>
        <v/>
      </c>
      <c r="J2569" s="205"/>
      <c r="K2569" s="205"/>
    </row>
    <row r="2570" ht="14.25" customHeight="1">
      <c r="A2570" s="55">
        <v>48225.0</v>
      </c>
      <c r="B2570" s="55" t="str">
        <f t="shared" si="10"/>
        <v>Primer dia</v>
      </c>
      <c r="C2570" s="202">
        <f t="shared" si="1"/>
        <v>12</v>
      </c>
      <c r="D2570" s="202" t="str">
        <f t="shared" si="2"/>
        <v> </v>
      </c>
      <c r="E2570" s="202" t="str">
        <f t="shared" si="9"/>
        <v> </v>
      </c>
      <c r="F2570" s="55" t="str">
        <f t="shared" si="4"/>
        <v/>
      </c>
      <c r="G2570" s="202" t="str">
        <f t="shared" si="5"/>
        <v/>
      </c>
      <c r="H2570" s="202" t="str">
        <f t="shared" si="11"/>
        <v> </v>
      </c>
      <c r="I2570" s="205" t="str">
        <f t="shared" si="7"/>
        <v/>
      </c>
      <c r="J2570" s="205"/>
      <c r="K2570" s="205"/>
    </row>
    <row r="2571" ht="14.25" customHeight="1">
      <c r="A2571" s="55">
        <v>48226.0</v>
      </c>
      <c r="B2571" s="55" t="str">
        <f t="shared" si="10"/>
        <v>Primer dia</v>
      </c>
      <c r="C2571" s="202">
        <f t="shared" si="1"/>
        <v>13</v>
      </c>
      <c r="D2571" s="202" t="str">
        <f t="shared" si="2"/>
        <v> </v>
      </c>
      <c r="E2571" s="202" t="str">
        <f t="shared" si="9"/>
        <v> </v>
      </c>
      <c r="F2571" s="55" t="str">
        <f t="shared" si="4"/>
        <v/>
      </c>
      <c r="G2571" s="202" t="str">
        <f t="shared" si="5"/>
        <v/>
      </c>
      <c r="H2571" s="202" t="str">
        <f t="shared" si="11"/>
        <v> </v>
      </c>
      <c r="I2571" s="205" t="str">
        <f t="shared" si="7"/>
        <v/>
      </c>
      <c r="J2571" s="205"/>
      <c r="K2571" s="205"/>
    </row>
    <row r="2572" ht="14.25" customHeight="1">
      <c r="A2572" s="55">
        <v>48227.0</v>
      </c>
      <c r="B2572" s="55" t="str">
        <f t="shared" si="10"/>
        <v>Primer dia</v>
      </c>
      <c r="C2572" s="202">
        <f t="shared" si="1"/>
        <v>14</v>
      </c>
      <c r="D2572" s="202" t="str">
        <f t="shared" si="2"/>
        <v> </v>
      </c>
      <c r="E2572" s="202" t="str">
        <f t="shared" si="9"/>
        <v> </v>
      </c>
      <c r="F2572" s="55" t="str">
        <f t="shared" si="4"/>
        <v/>
      </c>
      <c r="G2572" s="202" t="str">
        <f t="shared" si="5"/>
        <v/>
      </c>
      <c r="H2572" s="202" t="str">
        <f t="shared" si="11"/>
        <v> </v>
      </c>
      <c r="I2572" s="205" t="str">
        <f t="shared" si="7"/>
        <v/>
      </c>
      <c r="J2572" s="205"/>
      <c r="K2572" s="205"/>
    </row>
    <row r="2573" ht="14.25" customHeight="1">
      <c r="A2573" s="55">
        <v>48228.0</v>
      </c>
      <c r="B2573" s="55" t="str">
        <f t="shared" si="10"/>
        <v>Primer dia</v>
      </c>
      <c r="C2573" s="202">
        <f t="shared" si="1"/>
        <v>15</v>
      </c>
      <c r="D2573" s="202" t="str">
        <f t="shared" si="2"/>
        <v> </v>
      </c>
      <c r="E2573" s="202" t="str">
        <f t="shared" si="9"/>
        <v> </v>
      </c>
      <c r="F2573" s="55" t="str">
        <f t="shared" si="4"/>
        <v/>
      </c>
      <c r="G2573" s="202" t="str">
        <f t="shared" si="5"/>
        <v/>
      </c>
      <c r="H2573" s="202" t="str">
        <f t="shared" si="11"/>
        <v> </v>
      </c>
      <c r="I2573" s="205" t="str">
        <f t="shared" si="7"/>
        <v/>
      </c>
      <c r="J2573" s="205"/>
      <c r="K2573" s="205"/>
    </row>
    <row r="2574" ht="14.25" customHeight="1">
      <c r="A2574" s="55">
        <v>48229.0</v>
      </c>
      <c r="B2574" s="55" t="str">
        <f t="shared" si="10"/>
        <v>Primer dia</v>
      </c>
      <c r="C2574" s="202">
        <f t="shared" si="1"/>
        <v>16</v>
      </c>
      <c r="D2574" s="202" t="str">
        <f t="shared" si="2"/>
        <v> </v>
      </c>
      <c r="E2574" s="202" t="str">
        <f t="shared" si="9"/>
        <v> </v>
      </c>
      <c r="F2574" s="55" t="str">
        <f t="shared" si="4"/>
        <v/>
      </c>
      <c r="G2574" s="202" t="str">
        <f t="shared" si="5"/>
        <v/>
      </c>
      <c r="H2574" s="202" t="str">
        <f t="shared" si="11"/>
        <v> </v>
      </c>
      <c r="I2574" s="205" t="str">
        <f t="shared" si="7"/>
        <v/>
      </c>
      <c r="J2574" s="205"/>
      <c r="K2574" s="205"/>
    </row>
    <row r="2575" ht="14.25" customHeight="1">
      <c r="A2575" s="55">
        <v>48230.0</v>
      </c>
      <c r="B2575" s="55" t="str">
        <f t="shared" si="10"/>
        <v>Primer dia</v>
      </c>
      <c r="C2575" s="202">
        <f t="shared" si="1"/>
        <v>17</v>
      </c>
      <c r="D2575" s="202" t="str">
        <f t="shared" si="2"/>
        <v> </v>
      </c>
      <c r="E2575" s="202">
        <f t="shared" si="9"/>
        <v>17</v>
      </c>
      <c r="F2575" s="55">
        <f t="shared" si="4"/>
        <v>48230</v>
      </c>
      <c r="G2575" s="202">
        <f t="shared" si="5"/>
        <v>144</v>
      </c>
      <c r="H2575" s="202" t="str">
        <f t="shared" si="11"/>
        <v> </v>
      </c>
      <c r="I2575" s="205" t="str">
        <f t="shared" si="7"/>
        <v/>
      </c>
      <c r="J2575" s="205"/>
      <c r="K2575" s="205"/>
    </row>
    <row r="2576" ht="14.25" customHeight="1">
      <c r="A2576" s="55">
        <v>48231.0</v>
      </c>
      <c r="B2576" s="55" t="str">
        <f t="shared" si="10"/>
        <v>Primer dia</v>
      </c>
      <c r="C2576" s="202">
        <f t="shared" si="1"/>
        <v>18</v>
      </c>
      <c r="D2576" s="202" t="str">
        <f t="shared" si="2"/>
        <v> </v>
      </c>
      <c r="E2576" s="202" t="str">
        <f t="shared" si="9"/>
        <v> </v>
      </c>
      <c r="F2576" s="55" t="str">
        <f t="shared" si="4"/>
        <v/>
      </c>
      <c r="G2576" s="202" t="str">
        <f t="shared" si="5"/>
        <v/>
      </c>
      <c r="H2576" s="202" t="str">
        <f t="shared" si="11"/>
        <v> </v>
      </c>
      <c r="I2576" s="205" t="str">
        <f t="shared" si="7"/>
        <v/>
      </c>
      <c r="J2576" s="205"/>
      <c r="K2576" s="205"/>
    </row>
    <row r="2577" ht="14.25" customHeight="1">
      <c r="A2577" s="55">
        <v>48232.0</v>
      </c>
      <c r="B2577" s="55" t="str">
        <f t="shared" si="10"/>
        <v>Primer dia</v>
      </c>
      <c r="C2577" s="202">
        <f t="shared" si="1"/>
        <v>19</v>
      </c>
      <c r="D2577" s="202" t="str">
        <f t="shared" si="2"/>
        <v> </v>
      </c>
      <c r="E2577" s="202" t="str">
        <f t="shared" si="9"/>
        <v> </v>
      </c>
      <c r="F2577" s="55" t="str">
        <f t="shared" si="4"/>
        <v/>
      </c>
      <c r="G2577" s="202" t="str">
        <f t="shared" si="5"/>
        <v/>
      </c>
      <c r="H2577" s="202" t="str">
        <f t="shared" si="11"/>
        <v> </v>
      </c>
      <c r="I2577" s="205" t="str">
        <f t="shared" si="7"/>
        <v/>
      </c>
      <c r="J2577" s="205"/>
      <c r="K2577" s="205"/>
    </row>
    <row r="2578" ht="14.25" customHeight="1">
      <c r="A2578" s="55">
        <v>48233.0</v>
      </c>
      <c r="B2578" s="55" t="str">
        <f t="shared" si="10"/>
        <v>Primer dia</v>
      </c>
      <c r="C2578" s="202">
        <f t="shared" si="1"/>
        <v>20</v>
      </c>
      <c r="D2578" s="202" t="str">
        <f t="shared" si="2"/>
        <v> </v>
      </c>
      <c r="E2578" s="202" t="str">
        <f t="shared" si="9"/>
        <v> </v>
      </c>
      <c r="F2578" s="55" t="str">
        <f t="shared" si="4"/>
        <v/>
      </c>
      <c r="G2578" s="202" t="str">
        <f t="shared" si="5"/>
        <v/>
      </c>
      <c r="H2578" s="202" t="str">
        <f t="shared" si="11"/>
        <v> </v>
      </c>
      <c r="I2578" s="205" t="str">
        <f t="shared" si="7"/>
        <v/>
      </c>
      <c r="J2578" s="205"/>
      <c r="K2578" s="205"/>
    </row>
    <row r="2579" ht="14.25" customHeight="1">
      <c r="A2579" s="55">
        <v>48234.0</v>
      </c>
      <c r="B2579" s="55" t="str">
        <f t="shared" si="10"/>
        <v>Primer dia</v>
      </c>
      <c r="C2579" s="202">
        <f t="shared" si="1"/>
        <v>21</v>
      </c>
      <c r="D2579" s="202" t="str">
        <f t="shared" si="2"/>
        <v> </v>
      </c>
      <c r="E2579" s="202" t="str">
        <f t="shared" si="9"/>
        <v> </v>
      </c>
      <c r="F2579" s="55" t="str">
        <f t="shared" si="4"/>
        <v/>
      </c>
      <c r="G2579" s="202" t="str">
        <f t="shared" si="5"/>
        <v/>
      </c>
      <c r="H2579" s="202" t="str">
        <f t="shared" si="11"/>
        <v> </v>
      </c>
      <c r="I2579" s="205" t="str">
        <f t="shared" si="7"/>
        <v/>
      </c>
      <c r="J2579" s="205"/>
      <c r="K2579" s="205"/>
    </row>
    <row r="2580" ht="14.25" customHeight="1">
      <c r="A2580" s="55">
        <v>48235.0</v>
      </c>
      <c r="B2580" s="55" t="str">
        <f t="shared" si="10"/>
        <v>Primer dia</v>
      </c>
      <c r="C2580" s="202">
        <f t="shared" si="1"/>
        <v>22</v>
      </c>
      <c r="D2580" s="202" t="str">
        <f t="shared" si="2"/>
        <v> </v>
      </c>
      <c r="E2580" s="202" t="str">
        <f t="shared" si="9"/>
        <v> </v>
      </c>
      <c r="F2580" s="55" t="str">
        <f t="shared" si="4"/>
        <v/>
      </c>
      <c r="G2580" s="202" t="str">
        <f t="shared" si="5"/>
        <v/>
      </c>
      <c r="H2580" s="202" t="str">
        <f t="shared" si="11"/>
        <v> </v>
      </c>
      <c r="I2580" s="205" t="str">
        <f t="shared" si="7"/>
        <v/>
      </c>
      <c r="J2580" s="205"/>
      <c r="K2580" s="205"/>
    </row>
    <row r="2581" ht="14.25" customHeight="1">
      <c r="A2581" s="55">
        <v>48236.0</v>
      </c>
      <c r="B2581" s="55" t="str">
        <f t="shared" si="10"/>
        <v>Primer dia</v>
      </c>
      <c r="C2581" s="202">
        <f t="shared" si="1"/>
        <v>23</v>
      </c>
      <c r="D2581" s="202" t="str">
        <f t="shared" si="2"/>
        <v> </v>
      </c>
      <c r="E2581" s="202" t="str">
        <f t="shared" si="9"/>
        <v> </v>
      </c>
      <c r="F2581" s="55" t="str">
        <f t="shared" si="4"/>
        <v/>
      </c>
      <c r="G2581" s="202" t="str">
        <f t="shared" si="5"/>
        <v/>
      </c>
      <c r="H2581" s="202" t="str">
        <f t="shared" si="11"/>
        <v> </v>
      </c>
      <c r="I2581" s="205" t="str">
        <f t="shared" si="7"/>
        <v/>
      </c>
      <c r="J2581" s="205"/>
      <c r="K2581" s="205"/>
    </row>
    <row r="2582" ht="14.25" customHeight="1">
      <c r="A2582" s="55">
        <v>48237.0</v>
      </c>
      <c r="B2582" s="55" t="str">
        <f t="shared" si="10"/>
        <v>Primer dia</v>
      </c>
      <c r="C2582" s="202">
        <f t="shared" si="1"/>
        <v>24</v>
      </c>
      <c r="D2582" s="202" t="str">
        <f t="shared" si="2"/>
        <v> </v>
      </c>
      <c r="E2582" s="202" t="str">
        <f t="shared" si="9"/>
        <v> </v>
      </c>
      <c r="F2582" s="55" t="str">
        <f t="shared" si="4"/>
        <v/>
      </c>
      <c r="G2582" s="202" t="str">
        <f t="shared" si="5"/>
        <v/>
      </c>
      <c r="H2582" s="202" t="str">
        <f t="shared" si="11"/>
        <v> </v>
      </c>
      <c r="I2582" s="205" t="str">
        <f t="shared" si="7"/>
        <v/>
      </c>
      <c r="J2582" s="205"/>
      <c r="K2582" s="205"/>
    </row>
    <row r="2583" ht="14.25" customHeight="1">
      <c r="A2583" s="55">
        <v>48238.0</v>
      </c>
      <c r="B2583" s="55" t="str">
        <f t="shared" si="10"/>
        <v>Primer dia</v>
      </c>
      <c r="C2583" s="202">
        <f t="shared" si="1"/>
        <v>25</v>
      </c>
      <c r="D2583" s="202" t="str">
        <f t="shared" si="2"/>
        <v> </v>
      </c>
      <c r="E2583" s="202" t="str">
        <f t="shared" si="9"/>
        <v> </v>
      </c>
      <c r="F2583" s="55" t="str">
        <f t="shared" si="4"/>
        <v/>
      </c>
      <c r="G2583" s="202" t="str">
        <f t="shared" si="5"/>
        <v/>
      </c>
      <c r="H2583" s="202" t="str">
        <f t="shared" si="11"/>
        <v> </v>
      </c>
      <c r="I2583" s="205" t="str">
        <f t="shared" si="7"/>
        <v/>
      </c>
      <c r="J2583" s="205"/>
      <c r="K2583" s="205"/>
    </row>
    <row r="2584" ht="14.25" customHeight="1">
      <c r="A2584" s="55">
        <v>48239.0</v>
      </c>
      <c r="B2584" s="55" t="str">
        <f t="shared" si="10"/>
        <v>Primer dia</v>
      </c>
      <c r="C2584" s="202">
        <f t="shared" si="1"/>
        <v>26</v>
      </c>
      <c r="D2584" s="202" t="str">
        <f t="shared" si="2"/>
        <v> </v>
      </c>
      <c r="E2584" s="202" t="str">
        <f t="shared" si="9"/>
        <v> </v>
      </c>
      <c r="F2584" s="55" t="str">
        <f t="shared" si="4"/>
        <v/>
      </c>
      <c r="G2584" s="202" t="str">
        <f t="shared" si="5"/>
        <v/>
      </c>
      <c r="H2584" s="202" t="str">
        <f t="shared" si="11"/>
        <v> </v>
      </c>
      <c r="I2584" s="205" t="str">
        <f t="shared" si="7"/>
        <v/>
      </c>
      <c r="J2584" s="205"/>
      <c r="K2584" s="205"/>
    </row>
    <row r="2585" ht="14.25" customHeight="1">
      <c r="A2585" s="55">
        <v>48240.0</v>
      </c>
      <c r="B2585" s="55" t="str">
        <f t="shared" si="10"/>
        <v>Primer dia</v>
      </c>
      <c r="C2585" s="202">
        <f t="shared" si="1"/>
        <v>27</v>
      </c>
      <c r="D2585" s="202" t="str">
        <f t="shared" si="2"/>
        <v> </v>
      </c>
      <c r="E2585" s="202" t="str">
        <f t="shared" si="9"/>
        <v> </v>
      </c>
      <c r="F2585" s="55" t="str">
        <f t="shared" si="4"/>
        <v/>
      </c>
      <c r="G2585" s="202" t="str">
        <f t="shared" si="5"/>
        <v/>
      </c>
      <c r="H2585" s="202" t="str">
        <f t="shared" si="11"/>
        <v> </v>
      </c>
      <c r="I2585" s="205" t="str">
        <f t="shared" si="7"/>
        <v/>
      </c>
      <c r="J2585" s="205"/>
      <c r="K2585" s="205"/>
    </row>
    <row r="2586" ht="14.25" customHeight="1">
      <c r="A2586" s="55">
        <v>48241.0</v>
      </c>
      <c r="B2586" s="55" t="str">
        <f t="shared" si="10"/>
        <v>Primer dia</v>
      </c>
      <c r="C2586" s="202">
        <f t="shared" si="1"/>
        <v>28</v>
      </c>
      <c r="D2586" s="202" t="str">
        <f t="shared" si="2"/>
        <v> </v>
      </c>
      <c r="E2586" s="202" t="str">
        <f t="shared" si="9"/>
        <v> </v>
      </c>
      <c r="F2586" s="55" t="str">
        <f t="shared" si="4"/>
        <v/>
      </c>
      <c r="G2586" s="202" t="str">
        <f t="shared" si="5"/>
        <v/>
      </c>
      <c r="H2586" s="202" t="str">
        <f t="shared" si="11"/>
        <v> </v>
      </c>
      <c r="I2586" s="205" t="str">
        <f t="shared" si="7"/>
        <v/>
      </c>
      <c r="J2586" s="205"/>
      <c r="K2586" s="205"/>
    </row>
    <row r="2587" ht="14.25" customHeight="1">
      <c r="A2587" s="55">
        <v>48242.0</v>
      </c>
      <c r="B2587" s="55" t="str">
        <f t="shared" si="10"/>
        <v>Primer dia</v>
      </c>
      <c r="C2587" s="202">
        <f t="shared" si="1"/>
        <v>29</v>
      </c>
      <c r="D2587" s="202" t="str">
        <f t="shared" si="2"/>
        <v> </v>
      </c>
      <c r="E2587" s="202" t="str">
        <f t="shared" si="9"/>
        <v> </v>
      </c>
      <c r="F2587" s="55" t="str">
        <f t="shared" si="4"/>
        <v/>
      </c>
      <c r="G2587" s="202" t="str">
        <f t="shared" si="5"/>
        <v/>
      </c>
      <c r="H2587" s="202" t="str">
        <f t="shared" si="11"/>
        <v> </v>
      </c>
      <c r="I2587" s="205" t="str">
        <f t="shared" si="7"/>
        <v/>
      </c>
      <c r="J2587" s="205"/>
      <c r="K2587" s="205"/>
    </row>
    <row r="2588" ht="14.25" customHeight="1">
      <c r="A2588" s="55">
        <v>48243.0</v>
      </c>
      <c r="B2588" s="55" t="str">
        <f t="shared" si="10"/>
        <v>Primer dia</v>
      </c>
      <c r="C2588" s="202">
        <f t="shared" si="1"/>
        <v>30</v>
      </c>
      <c r="D2588" s="202" t="str">
        <f t="shared" si="2"/>
        <v> </v>
      </c>
      <c r="E2588" s="202" t="str">
        <f t="shared" si="9"/>
        <v> </v>
      </c>
      <c r="F2588" s="55" t="str">
        <f t="shared" si="4"/>
        <v/>
      </c>
      <c r="G2588" s="202" t="str">
        <f t="shared" si="5"/>
        <v/>
      </c>
      <c r="H2588" s="202" t="str">
        <f t="shared" si="11"/>
        <v> </v>
      </c>
      <c r="I2588" s="205" t="str">
        <f t="shared" si="7"/>
        <v/>
      </c>
      <c r="J2588" s="205"/>
      <c r="K2588" s="205"/>
    </row>
    <row r="2589" ht="14.25" customHeight="1">
      <c r="A2589" s="55">
        <v>48244.0</v>
      </c>
      <c r="B2589" s="55" t="str">
        <f t="shared" si="10"/>
        <v>Primer dia</v>
      </c>
      <c r="C2589" s="202">
        <f t="shared" si="1"/>
        <v>31</v>
      </c>
      <c r="D2589" s="202" t="str">
        <f t="shared" si="2"/>
        <v> </v>
      </c>
      <c r="E2589" s="202" t="str">
        <f t="shared" si="9"/>
        <v> </v>
      </c>
      <c r="F2589" s="55" t="str">
        <f t="shared" si="4"/>
        <v/>
      </c>
      <c r="G2589" s="202" t="str">
        <f t="shared" si="5"/>
        <v/>
      </c>
      <c r="H2589" s="202" t="str">
        <f t="shared" si="11"/>
        <v> </v>
      </c>
      <c r="I2589" s="205" t="str">
        <f t="shared" si="7"/>
        <v/>
      </c>
      <c r="J2589" s="205"/>
      <c r="K2589" s="205"/>
    </row>
    <row r="2590" ht="14.25" customHeight="1">
      <c r="A2590" s="55">
        <v>48245.0</v>
      </c>
      <c r="B2590" s="55" t="str">
        <f t="shared" si="10"/>
        <v>Primer dia</v>
      </c>
      <c r="C2590" s="202">
        <f t="shared" si="1"/>
        <v>1</v>
      </c>
      <c r="D2590" s="202" t="str">
        <f t="shared" si="2"/>
        <v> </v>
      </c>
      <c r="E2590" s="202" t="str">
        <f t="shared" si="9"/>
        <v> </v>
      </c>
      <c r="F2590" s="55" t="str">
        <f t="shared" si="4"/>
        <v/>
      </c>
      <c r="G2590" s="202" t="str">
        <f t="shared" si="5"/>
        <v/>
      </c>
      <c r="H2590" s="202" t="str">
        <f t="shared" si="11"/>
        <v> </v>
      </c>
      <c r="I2590" s="205" t="str">
        <f t="shared" si="7"/>
        <v/>
      </c>
      <c r="J2590" s="205"/>
      <c r="K2590" s="205"/>
    </row>
    <row r="2591" ht="14.25" customHeight="1">
      <c r="A2591" s="55">
        <v>48246.0</v>
      </c>
      <c r="B2591" s="55" t="str">
        <f t="shared" si="10"/>
        <v>Primer dia</v>
      </c>
      <c r="C2591" s="202">
        <f t="shared" si="1"/>
        <v>2</v>
      </c>
      <c r="D2591" s="202" t="str">
        <f t="shared" si="2"/>
        <v> </v>
      </c>
      <c r="E2591" s="202">
        <f t="shared" si="9"/>
        <v>2</v>
      </c>
      <c r="F2591" s="55">
        <f t="shared" si="4"/>
        <v>48246</v>
      </c>
      <c r="G2591" s="202">
        <f t="shared" si="5"/>
        <v>145</v>
      </c>
      <c r="H2591" s="202" t="str">
        <f t="shared" si="11"/>
        <v> </v>
      </c>
      <c r="I2591" s="205" t="str">
        <f t="shared" si="7"/>
        <v/>
      </c>
      <c r="J2591" s="205"/>
      <c r="K2591" s="205"/>
    </row>
    <row r="2592" ht="14.25" customHeight="1">
      <c r="A2592" s="55">
        <v>48247.0</v>
      </c>
      <c r="B2592" s="55" t="str">
        <f t="shared" si="10"/>
        <v>Primer dia</v>
      </c>
      <c r="C2592" s="202">
        <f t="shared" si="1"/>
        <v>3</v>
      </c>
      <c r="D2592" s="202" t="str">
        <f t="shared" si="2"/>
        <v> </v>
      </c>
      <c r="E2592" s="202" t="str">
        <f t="shared" si="9"/>
        <v> </v>
      </c>
      <c r="F2592" s="55" t="str">
        <f t="shared" si="4"/>
        <v/>
      </c>
      <c r="G2592" s="202" t="str">
        <f t="shared" si="5"/>
        <v/>
      </c>
      <c r="H2592" s="202" t="str">
        <f t="shared" si="11"/>
        <v> </v>
      </c>
      <c r="I2592" s="205" t="str">
        <f t="shared" si="7"/>
        <v/>
      </c>
      <c r="J2592" s="205"/>
      <c r="K2592" s="205"/>
    </row>
    <row r="2593" ht="14.25" customHeight="1">
      <c r="A2593" s="55">
        <v>48248.0</v>
      </c>
      <c r="B2593" s="55" t="str">
        <f t="shared" si="10"/>
        <v>Primer dia</v>
      </c>
      <c r="C2593" s="202">
        <f t="shared" si="1"/>
        <v>4</v>
      </c>
      <c r="D2593" s="202" t="str">
        <f t="shared" si="2"/>
        <v> </v>
      </c>
      <c r="E2593" s="202" t="str">
        <f t="shared" si="9"/>
        <v> </v>
      </c>
      <c r="F2593" s="55" t="str">
        <f t="shared" si="4"/>
        <v/>
      </c>
      <c r="G2593" s="202" t="str">
        <f t="shared" si="5"/>
        <v/>
      </c>
      <c r="H2593" s="202" t="str">
        <f t="shared" si="11"/>
        <v> </v>
      </c>
      <c r="I2593" s="205" t="str">
        <f t="shared" si="7"/>
        <v/>
      </c>
      <c r="J2593" s="205"/>
      <c r="K2593" s="205"/>
    </row>
    <row r="2594" ht="14.25" customHeight="1">
      <c r="A2594" s="55">
        <v>48249.0</v>
      </c>
      <c r="B2594" s="55" t="str">
        <f t="shared" si="10"/>
        <v>Primer dia</v>
      </c>
      <c r="C2594" s="202">
        <f t="shared" si="1"/>
        <v>5</v>
      </c>
      <c r="D2594" s="202" t="str">
        <f t="shared" si="2"/>
        <v> </v>
      </c>
      <c r="E2594" s="202" t="str">
        <f t="shared" si="9"/>
        <v> </v>
      </c>
      <c r="F2594" s="55" t="str">
        <f t="shared" si="4"/>
        <v/>
      </c>
      <c r="G2594" s="202" t="str">
        <f t="shared" si="5"/>
        <v/>
      </c>
      <c r="H2594" s="202" t="str">
        <f t="shared" si="11"/>
        <v> </v>
      </c>
      <c r="I2594" s="205" t="str">
        <f t="shared" si="7"/>
        <v/>
      </c>
      <c r="J2594" s="205"/>
      <c r="K2594" s="205"/>
    </row>
    <row r="2595" ht="14.25" customHeight="1">
      <c r="A2595" s="55">
        <v>48250.0</v>
      </c>
      <c r="B2595" s="55" t="str">
        <f t="shared" si="10"/>
        <v>Primer dia</v>
      </c>
      <c r="C2595" s="202">
        <f t="shared" si="1"/>
        <v>6</v>
      </c>
      <c r="D2595" s="202" t="str">
        <f t="shared" si="2"/>
        <v> </v>
      </c>
      <c r="E2595" s="202" t="str">
        <f t="shared" si="9"/>
        <v> </v>
      </c>
      <c r="F2595" s="55" t="str">
        <f t="shared" si="4"/>
        <v/>
      </c>
      <c r="G2595" s="202" t="str">
        <f t="shared" si="5"/>
        <v/>
      </c>
      <c r="H2595" s="202" t="str">
        <f t="shared" si="11"/>
        <v> </v>
      </c>
      <c r="I2595" s="205" t="str">
        <f t="shared" si="7"/>
        <v/>
      </c>
      <c r="J2595" s="205"/>
      <c r="K2595" s="205"/>
    </row>
    <row r="2596" ht="14.25" customHeight="1">
      <c r="A2596" s="55">
        <v>48251.0</v>
      </c>
      <c r="B2596" s="55" t="str">
        <f t="shared" si="10"/>
        <v>Primer dia</v>
      </c>
      <c r="C2596" s="202">
        <f t="shared" si="1"/>
        <v>7</v>
      </c>
      <c r="D2596" s="202" t="str">
        <f t="shared" si="2"/>
        <v> </v>
      </c>
      <c r="E2596" s="202" t="str">
        <f t="shared" si="9"/>
        <v> </v>
      </c>
      <c r="F2596" s="55" t="str">
        <f t="shared" si="4"/>
        <v/>
      </c>
      <c r="G2596" s="202" t="str">
        <f t="shared" si="5"/>
        <v/>
      </c>
      <c r="H2596" s="202" t="str">
        <f t="shared" si="11"/>
        <v> </v>
      </c>
      <c r="I2596" s="205" t="str">
        <f t="shared" si="7"/>
        <v/>
      </c>
      <c r="J2596" s="205"/>
      <c r="K2596" s="205"/>
    </row>
    <row r="2597" ht="14.25" customHeight="1">
      <c r="A2597" s="55">
        <v>48252.0</v>
      </c>
      <c r="B2597" s="55" t="str">
        <f t="shared" si="10"/>
        <v>Primer dia</v>
      </c>
      <c r="C2597" s="202">
        <f t="shared" si="1"/>
        <v>8</v>
      </c>
      <c r="D2597" s="202" t="str">
        <f t="shared" si="2"/>
        <v> </v>
      </c>
      <c r="E2597" s="202" t="str">
        <f t="shared" si="9"/>
        <v> </v>
      </c>
      <c r="F2597" s="55" t="str">
        <f t="shared" si="4"/>
        <v/>
      </c>
      <c r="G2597" s="202" t="str">
        <f t="shared" si="5"/>
        <v/>
      </c>
      <c r="H2597" s="202" t="str">
        <f t="shared" si="11"/>
        <v> </v>
      </c>
      <c r="I2597" s="205" t="str">
        <f t="shared" si="7"/>
        <v/>
      </c>
      <c r="J2597" s="205"/>
      <c r="K2597" s="205"/>
    </row>
    <row r="2598" ht="14.25" customHeight="1">
      <c r="A2598" s="55">
        <v>48253.0</v>
      </c>
      <c r="B2598" s="55" t="str">
        <f t="shared" si="10"/>
        <v>Primer dia</v>
      </c>
      <c r="C2598" s="202">
        <f t="shared" si="1"/>
        <v>9</v>
      </c>
      <c r="D2598" s="202" t="str">
        <f t="shared" si="2"/>
        <v> </v>
      </c>
      <c r="E2598" s="202" t="str">
        <f t="shared" si="9"/>
        <v> </v>
      </c>
      <c r="F2598" s="55" t="str">
        <f t="shared" si="4"/>
        <v/>
      </c>
      <c r="G2598" s="202" t="str">
        <f t="shared" si="5"/>
        <v/>
      </c>
      <c r="H2598" s="202" t="str">
        <f t="shared" si="11"/>
        <v> </v>
      </c>
      <c r="I2598" s="205" t="str">
        <f t="shared" si="7"/>
        <v/>
      </c>
      <c r="J2598" s="205"/>
      <c r="K2598" s="205"/>
    </row>
    <row r="2599" ht="14.25" customHeight="1">
      <c r="A2599" s="55">
        <v>48254.0</v>
      </c>
      <c r="B2599" s="55" t="str">
        <f t="shared" si="10"/>
        <v>Primer dia</v>
      </c>
      <c r="C2599" s="202">
        <f t="shared" si="1"/>
        <v>10</v>
      </c>
      <c r="D2599" s="202" t="str">
        <f t="shared" si="2"/>
        <v> </v>
      </c>
      <c r="E2599" s="202" t="str">
        <f t="shared" si="9"/>
        <v> </v>
      </c>
      <c r="F2599" s="55" t="str">
        <f t="shared" si="4"/>
        <v/>
      </c>
      <c r="G2599" s="202" t="str">
        <f t="shared" si="5"/>
        <v/>
      </c>
      <c r="H2599" s="202" t="str">
        <f t="shared" si="11"/>
        <v> </v>
      </c>
      <c r="I2599" s="205" t="str">
        <f t="shared" si="7"/>
        <v/>
      </c>
      <c r="J2599" s="205"/>
      <c r="K2599" s="205"/>
    </row>
    <row r="2600" ht="14.25" customHeight="1">
      <c r="A2600" s="55">
        <v>48255.0</v>
      </c>
      <c r="B2600" s="55" t="str">
        <f t="shared" si="10"/>
        <v>Primer dia</v>
      </c>
      <c r="C2600" s="202">
        <f t="shared" si="1"/>
        <v>11</v>
      </c>
      <c r="D2600" s="202" t="str">
        <f t="shared" si="2"/>
        <v> </v>
      </c>
      <c r="E2600" s="202" t="str">
        <f t="shared" si="9"/>
        <v> </v>
      </c>
      <c r="F2600" s="55" t="str">
        <f t="shared" si="4"/>
        <v/>
      </c>
      <c r="G2600" s="202" t="str">
        <f t="shared" si="5"/>
        <v/>
      </c>
      <c r="H2600" s="202" t="str">
        <f t="shared" si="11"/>
        <v> </v>
      </c>
      <c r="I2600" s="205" t="str">
        <f t="shared" si="7"/>
        <v/>
      </c>
      <c r="J2600" s="205"/>
      <c r="K2600" s="205"/>
    </row>
    <row r="2601" ht="14.25" customHeight="1">
      <c r="A2601" s="55">
        <v>48256.0</v>
      </c>
      <c r="B2601" s="55" t="str">
        <f t="shared" si="10"/>
        <v>Primer dia</v>
      </c>
      <c r="C2601" s="202">
        <f t="shared" si="1"/>
        <v>12</v>
      </c>
      <c r="D2601" s="202" t="str">
        <f t="shared" si="2"/>
        <v> </v>
      </c>
      <c r="E2601" s="202" t="str">
        <f t="shared" si="9"/>
        <v> </v>
      </c>
      <c r="F2601" s="55" t="str">
        <f t="shared" si="4"/>
        <v/>
      </c>
      <c r="G2601" s="202" t="str">
        <f t="shared" si="5"/>
        <v/>
      </c>
      <c r="H2601" s="202" t="str">
        <f t="shared" si="11"/>
        <v> </v>
      </c>
      <c r="I2601" s="205" t="str">
        <f t="shared" si="7"/>
        <v/>
      </c>
      <c r="J2601" s="205"/>
      <c r="K2601" s="205"/>
    </row>
    <row r="2602" ht="14.25" customHeight="1">
      <c r="A2602" s="55">
        <v>48257.0</v>
      </c>
      <c r="B2602" s="55" t="str">
        <f t="shared" si="10"/>
        <v>Primer dia</v>
      </c>
      <c r="C2602" s="202">
        <f t="shared" si="1"/>
        <v>13</v>
      </c>
      <c r="D2602" s="202" t="str">
        <f t="shared" si="2"/>
        <v> </v>
      </c>
      <c r="E2602" s="202" t="str">
        <f t="shared" si="9"/>
        <v> </v>
      </c>
      <c r="F2602" s="55" t="str">
        <f t="shared" si="4"/>
        <v/>
      </c>
      <c r="G2602" s="202" t="str">
        <f t="shared" si="5"/>
        <v/>
      </c>
      <c r="H2602" s="202" t="str">
        <f t="shared" si="11"/>
        <v> </v>
      </c>
      <c r="I2602" s="205" t="str">
        <f t="shared" si="7"/>
        <v/>
      </c>
      <c r="J2602" s="205"/>
      <c r="K2602" s="205"/>
    </row>
    <row r="2603" ht="14.25" customHeight="1">
      <c r="A2603" s="55">
        <v>48258.0</v>
      </c>
      <c r="B2603" s="55" t="str">
        <f t="shared" si="10"/>
        <v>Primer dia</v>
      </c>
      <c r="C2603" s="202">
        <f t="shared" si="1"/>
        <v>14</v>
      </c>
      <c r="D2603" s="202" t="str">
        <f t="shared" si="2"/>
        <v> </v>
      </c>
      <c r="E2603" s="202" t="str">
        <f t="shared" si="9"/>
        <v> </v>
      </c>
      <c r="F2603" s="55" t="str">
        <f t="shared" si="4"/>
        <v/>
      </c>
      <c r="G2603" s="202" t="str">
        <f t="shared" si="5"/>
        <v/>
      </c>
      <c r="H2603" s="202" t="str">
        <f t="shared" si="11"/>
        <v> </v>
      </c>
      <c r="I2603" s="205" t="str">
        <f t="shared" si="7"/>
        <v/>
      </c>
      <c r="J2603" s="205"/>
      <c r="K2603" s="205"/>
    </row>
    <row r="2604" ht="14.25" customHeight="1">
      <c r="A2604" s="55">
        <v>48259.0</v>
      </c>
      <c r="B2604" s="55" t="str">
        <f t="shared" si="10"/>
        <v>Primer dia</v>
      </c>
      <c r="C2604" s="202">
        <f t="shared" si="1"/>
        <v>15</v>
      </c>
      <c r="D2604" s="202" t="str">
        <f t="shared" si="2"/>
        <v> </v>
      </c>
      <c r="E2604" s="202" t="str">
        <f t="shared" si="9"/>
        <v> </v>
      </c>
      <c r="F2604" s="55" t="str">
        <f t="shared" si="4"/>
        <v/>
      </c>
      <c r="G2604" s="202" t="str">
        <f t="shared" si="5"/>
        <v/>
      </c>
      <c r="H2604" s="202" t="str">
        <f t="shared" si="11"/>
        <v> </v>
      </c>
      <c r="I2604" s="205" t="str">
        <f t="shared" si="7"/>
        <v/>
      </c>
      <c r="J2604" s="205"/>
      <c r="K2604" s="205"/>
    </row>
    <row r="2605" ht="14.25" customHeight="1">
      <c r="A2605" s="55">
        <v>48260.0</v>
      </c>
      <c r="B2605" s="55" t="str">
        <f t="shared" si="10"/>
        <v>Primer dia</v>
      </c>
      <c r="C2605" s="202">
        <f t="shared" si="1"/>
        <v>16</v>
      </c>
      <c r="D2605" s="202" t="str">
        <f t="shared" si="2"/>
        <v> </v>
      </c>
      <c r="E2605" s="202" t="str">
        <f t="shared" si="9"/>
        <v> </v>
      </c>
      <c r="F2605" s="55" t="str">
        <f t="shared" si="4"/>
        <v/>
      </c>
      <c r="G2605" s="202" t="str">
        <f t="shared" si="5"/>
        <v/>
      </c>
      <c r="H2605" s="202" t="str">
        <f t="shared" si="11"/>
        <v> </v>
      </c>
      <c r="I2605" s="205" t="str">
        <f t="shared" si="7"/>
        <v/>
      </c>
      <c r="J2605" s="205"/>
      <c r="K2605" s="205"/>
    </row>
    <row r="2606" ht="14.25" customHeight="1">
      <c r="A2606" s="55">
        <v>48261.0</v>
      </c>
      <c r="B2606" s="55" t="str">
        <f t="shared" si="10"/>
        <v>Primer dia</v>
      </c>
      <c r="C2606" s="202">
        <f t="shared" si="1"/>
        <v>17</v>
      </c>
      <c r="D2606" s="202" t="str">
        <f t="shared" si="2"/>
        <v> </v>
      </c>
      <c r="E2606" s="202">
        <f t="shared" si="9"/>
        <v>17</v>
      </c>
      <c r="F2606" s="55">
        <f t="shared" si="4"/>
        <v>48261</v>
      </c>
      <c r="G2606" s="202">
        <f t="shared" si="5"/>
        <v>146</v>
      </c>
      <c r="H2606" s="202" t="str">
        <f t="shared" si="11"/>
        <v> </v>
      </c>
      <c r="I2606" s="205" t="str">
        <f t="shared" si="7"/>
        <v/>
      </c>
      <c r="J2606" s="205"/>
      <c r="K2606" s="205"/>
    </row>
    <row r="2607" ht="14.25" customHeight="1">
      <c r="A2607" s="55">
        <v>48262.0</v>
      </c>
      <c r="B2607" s="55" t="str">
        <f t="shared" si="10"/>
        <v>Primer dia</v>
      </c>
      <c r="C2607" s="202">
        <f t="shared" si="1"/>
        <v>18</v>
      </c>
      <c r="D2607" s="202" t="str">
        <f t="shared" si="2"/>
        <v> </v>
      </c>
      <c r="E2607" s="202" t="str">
        <f t="shared" si="9"/>
        <v> </v>
      </c>
      <c r="F2607" s="55" t="str">
        <f t="shared" si="4"/>
        <v/>
      </c>
      <c r="G2607" s="202" t="str">
        <f t="shared" si="5"/>
        <v/>
      </c>
      <c r="H2607" s="202" t="str">
        <f t="shared" si="11"/>
        <v> </v>
      </c>
      <c r="I2607" s="205" t="str">
        <f t="shared" si="7"/>
        <v/>
      </c>
      <c r="J2607" s="205"/>
      <c r="K2607" s="205"/>
    </row>
    <row r="2608" ht="14.25" customHeight="1">
      <c r="A2608" s="55">
        <v>48263.0</v>
      </c>
      <c r="B2608" s="55" t="str">
        <f t="shared" si="10"/>
        <v>Primer dia</v>
      </c>
      <c r="C2608" s="202">
        <f t="shared" si="1"/>
        <v>19</v>
      </c>
      <c r="D2608" s="202" t="str">
        <f t="shared" si="2"/>
        <v> </v>
      </c>
      <c r="E2608" s="202" t="str">
        <f t="shared" si="9"/>
        <v> </v>
      </c>
      <c r="F2608" s="55" t="str">
        <f t="shared" si="4"/>
        <v/>
      </c>
      <c r="G2608" s="202" t="str">
        <f t="shared" si="5"/>
        <v/>
      </c>
      <c r="H2608" s="202" t="str">
        <f t="shared" si="11"/>
        <v> </v>
      </c>
      <c r="I2608" s="205" t="str">
        <f t="shared" si="7"/>
        <v/>
      </c>
      <c r="J2608" s="205"/>
      <c r="K2608" s="205"/>
    </row>
    <row r="2609" ht="14.25" customHeight="1">
      <c r="A2609" s="55">
        <v>48264.0</v>
      </c>
      <c r="B2609" s="55" t="str">
        <f t="shared" si="10"/>
        <v>Primer dia</v>
      </c>
      <c r="C2609" s="202">
        <f t="shared" si="1"/>
        <v>20</v>
      </c>
      <c r="D2609" s="202" t="str">
        <f t="shared" si="2"/>
        <v> </v>
      </c>
      <c r="E2609" s="202" t="str">
        <f t="shared" si="9"/>
        <v> </v>
      </c>
      <c r="F2609" s="55" t="str">
        <f t="shared" si="4"/>
        <v/>
      </c>
      <c r="G2609" s="202" t="str">
        <f t="shared" si="5"/>
        <v/>
      </c>
      <c r="H2609" s="202" t="str">
        <f t="shared" si="11"/>
        <v> </v>
      </c>
      <c r="I2609" s="205" t="str">
        <f t="shared" si="7"/>
        <v/>
      </c>
      <c r="J2609" s="205"/>
      <c r="K2609" s="205"/>
    </row>
    <row r="2610" ht="14.25" customHeight="1">
      <c r="A2610" s="55">
        <v>48265.0</v>
      </c>
      <c r="B2610" s="55" t="str">
        <f t="shared" si="10"/>
        <v>Primer dia</v>
      </c>
      <c r="C2610" s="202">
        <f t="shared" si="1"/>
        <v>21</v>
      </c>
      <c r="D2610" s="202" t="str">
        <f t="shared" si="2"/>
        <v> </v>
      </c>
      <c r="E2610" s="202" t="str">
        <f t="shared" si="9"/>
        <v> </v>
      </c>
      <c r="F2610" s="55" t="str">
        <f t="shared" si="4"/>
        <v/>
      </c>
      <c r="G2610" s="202" t="str">
        <f t="shared" si="5"/>
        <v/>
      </c>
      <c r="H2610" s="202" t="str">
        <f t="shared" si="11"/>
        <v> </v>
      </c>
      <c r="I2610" s="205" t="str">
        <f t="shared" si="7"/>
        <v/>
      </c>
      <c r="J2610" s="205"/>
      <c r="K2610" s="205"/>
    </row>
    <row r="2611" ht="14.25" customHeight="1">
      <c r="A2611" s="55">
        <v>48266.0</v>
      </c>
      <c r="B2611" s="55" t="str">
        <f t="shared" si="10"/>
        <v>Primer dia</v>
      </c>
      <c r="C2611" s="202">
        <f t="shared" si="1"/>
        <v>22</v>
      </c>
      <c r="D2611" s="202" t="str">
        <f t="shared" si="2"/>
        <v> </v>
      </c>
      <c r="E2611" s="202" t="str">
        <f t="shared" si="9"/>
        <v> </v>
      </c>
      <c r="F2611" s="55" t="str">
        <f t="shared" si="4"/>
        <v/>
      </c>
      <c r="G2611" s="202" t="str">
        <f t="shared" si="5"/>
        <v/>
      </c>
      <c r="H2611" s="202" t="str">
        <f t="shared" si="11"/>
        <v> </v>
      </c>
      <c r="I2611" s="205" t="str">
        <f t="shared" si="7"/>
        <v/>
      </c>
      <c r="J2611" s="205"/>
      <c r="K2611" s="205"/>
    </row>
    <row r="2612" ht="14.25" customHeight="1">
      <c r="A2612" s="55">
        <v>48267.0</v>
      </c>
      <c r="B2612" s="55" t="str">
        <f t="shared" si="10"/>
        <v>Primer dia</v>
      </c>
      <c r="C2612" s="202">
        <f t="shared" si="1"/>
        <v>23</v>
      </c>
      <c r="D2612" s="202" t="str">
        <f t="shared" si="2"/>
        <v> </v>
      </c>
      <c r="E2612" s="202" t="str">
        <f t="shared" si="9"/>
        <v> </v>
      </c>
      <c r="F2612" s="55" t="str">
        <f t="shared" si="4"/>
        <v/>
      </c>
      <c r="G2612" s="202" t="str">
        <f t="shared" si="5"/>
        <v/>
      </c>
      <c r="H2612" s="202" t="str">
        <f t="shared" si="11"/>
        <v> </v>
      </c>
      <c r="I2612" s="205" t="str">
        <f t="shared" si="7"/>
        <v/>
      </c>
      <c r="J2612" s="205"/>
      <c r="K2612" s="205"/>
    </row>
    <row r="2613" ht="14.25" customHeight="1">
      <c r="A2613" s="55">
        <v>48268.0</v>
      </c>
      <c r="B2613" s="55" t="str">
        <f t="shared" si="10"/>
        <v>Primer dia</v>
      </c>
      <c r="C2613" s="202">
        <f t="shared" si="1"/>
        <v>24</v>
      </c>
      <c r="D2613" s="202" t="str">
        <f t="shared" si="2"/>
        <v> </v>
      </c>
      <c r="E2613" s="202" t="str">
        <f t="shared" si="9"/>
        <v> </v>
      </c>
      <c r="F2613" s="55" t="str">
        <f t="shared" si="4"/>
        <v/>
      </c>
      <c r="G2613" s="202" t="str">
        <f t="shared" si="5"/>
        <v/>
      </c>
      <c r="H2613" s="202" t="str">
        <f t="shared" si="11"/>
        <v> </v>
      </c>
      <c r="I2613" s="205" t="str">
        <f t="shared" si="7"/>
        <v/>
      </c>
      <c r="J2613" s="205"/>
      <c r="K2613" s="205"/>
    </row>
    <row r="2614" ht="14.25" customHeight="1">
      <c r="A2614" s="55">
        <v>48269.0</v>
      </c>
      <c r="B2614" s="55" t="str">
        <f t="shared" si="10"/>
        <v>Primer dia</v>
      </c>
      <c r="C2614" s="202">
        <f t="shared" si="1"/>
        <v>25</v>
      </c>
      <c r="D2614" s="202" t="str">
        <f t="shared" si="2"/>
        <v> </v>
      </c>
      <c r="E2614" s="202" t="str">
        <f t="shared" si="9"/>
        <v> </v>
      </c>
      <c r="F2614" s="55" t="str">
        <f t="shared" si="4"/>
        <v/>
      </c>
      <c r="G2614" s="202" t="str">
        <f t="shared" si="5"/>
        <v/>
      </c>
      <c r="H2614" s="202" t="str">
        <f t="shared" si="11"/>
        <v> </v>
      </c>
      <c r="I2614" s="205" t="str">
        <f t="shared" si="7"/>
        <v/>
      </c>
      <c r="J2614" s="205"/>
      <c r="K2614" s="205"/>
    </row>
    <row r="2615" ht="14.25" customHeight="1">
      <c r="A2615" s="55">
        <v>48270.0</v>
      </c>
      <c r="B2615" s="55" t="str">
        <f t="shared" si="10"/>
        <v>Primer dia</v>
      </c>
      <c r="C2615" s="202">
        <f t="shared" si="1"/>
        <v>26</v>
      </c>
      <c r="D2615" s="202" t="str">
        <f t="shared" si="2"/>
        <v> </v>
      </c>
      <c r="E2615" s="202" t="str">
        <f t="shared" si="9"/>
        <v> </v>
      </c>
      <c r="F2615" s="55" t="str">
        <f t="shared" si="4"/>
        <v/>
      </c>
      <c r="G2615" s="202" t="str">
        <f t="shared" si="5"/>
        <v/>
      </c>
      <c r="H2615" s="202" t="str">
        <f t="shared" si="11"/>
        <v> </v>
      </c>
      <c r="I2615" s="205" t="str">
        <f t="shared" si="7"/>
        <v/>
      </c>
      <c r="J2615" s="205"/>
      <c r="K2615" s="205"/>
    </row>
    <row r="2616" ht="14.25" customHeight="1">
      <c r="A2616" s="55">
        <v>48271.0</v>
      </c>
      <c r="B2616" s="55" t="str">
        <f t="shared" si="10"/>
        <v>Primer dia</v>
      </c>
      <c r="C2616" s="202">
        <f t="shared" si="1"/>
        <v>27</v>
      </c>
      <c r="D2616" s="202" t="str">
        <f t="shared" si="2"/>
        <v> </v>
      </c>
      <c r="E2616" s="202" t="str">
        <f t="shared" si="9"/>
        <v> </v>
      </c>
      <c r="F2616" s="55" t="str">
        <f t="shared" si="4"/>
        <v/>
      </c>
      <c r="G2616" s="202" t="str">
        <f t="shared" si="5"/>
        <v/>
      </c>
      <c r="H2616" s="202" t="str">
        <f t="shared" si="11"/>
        <v> </v>
      </c>
      <c r="I2616" s="205" t="str">
        <f t="shared" si="7"/>
        <v/>
      </c>
      <c r="J2616" s="205"/>
      <c r="K2616" s="205"/>
    </row>
    <row r="2617" ht="14.25" customHeight="1">
      <c r="A2617" s="55">
        <v>48272.0</v>
      </c>
      <c r="B2617" s="55" t="str">
        <f t="shared" si="10"/>
        <v>Primer dia</v>
      </c>
      <c r="C2617" s="202">
        <f t="shared" si="1"/>
        <v>28</v>
      </c>
      <c r="D2617" s="202" t="str">
        <f t="shared" si="2"/>
        <v> </v>
      </c>
      <c r="E2617" s="202" t="str">
        <f t="shared" si="9"/>
        <v> </v>
      </c>
      <c r="F2617" s="55" t="str">
        <f t="shared" si="4"/>
        <v/>
      </c>
      <c r="G2617" s="202" t="str">
        <f t="shared" si="5"/>
        <v/>
      </c>
      <c r="H2617" s="202" t="str">
        <f t="shared" si="11"/>
        <v> </v>
      </c>
      <c r="I2617" s="205" t="str">
        <f t="shared" si="7"/>
        <v/>
      </c>
      <c r="J2617" s="205"/>
      <c r="K2617" s="205"/>
    </row>
    <row r="2618" ht="14.25" customHeight="1">
      <c r="A2618" s="55">
        <v>48273.0</v>
      </c>
      <c r="B2618" s="55" t="str">
        <f t="shared" si="10"/>
        <v>Primer dia</v>
      </c>
      <c r="C2618" s="202">
        <f t="shared" si="1"/>
        <v>29</v>
      </c>
      <c r="D2618" s="202" t="str">
        <f t="shared" si="2"/>
        <v> </v>
      </c>
      <c r="E2618" s="202" t="str">
        <f t="shared" si="9"/>
        <v> </v>
      </c>
      <c r="F2618" s="55" t="str">
        <f t="shared" si="4"/>
        <v/>
      </c>
      <c r="G2618" s="202" t="str">
        <f t="shared" si="5"/>
        <v/>
      </c>
      <c r="H2618" s="202" t="str">
        <f t="shared" si="11"/>
        <v> </v>
      </c>
      <c r="I2618" s="205" t="str">
        <f t="shared" si="7"/>
        <v/>
      </c>
      <c r="J2618" s="205"/>
      <c r="K2618" s="205"/>
    </row>
    <row r="2619" ht="14.25" customHeight="1">
      <c r="A2619" s="55">
        <v>48274.0</v>
      </c>
      <c r="B2619" s="55" t="str">
        <f t="shared" si="10"/>
        <v>Primer dia</v>
      </c>
      <c r="C2619" s="202">
        <f t="shared" si="1"/>
        <v>1</v>
      </c>
      <c r="D2619" s="202" t="str">
        <f t="shared" si="2"/>
        <v> </v>
      </c>
      <c r="E2619" s="202" t="str">
        <f t="shared" si="9"/>
        <v> </v>
      </c>
      <c r="F2619" s="55" t="str">
        <f t="shared" si="4"/>
        <v/>
      </c>
      <c r="G2619" s="202" t="str">
        <f t="shared" si="5"/>
        <v/>
      </c>
      <c r="H2619" s="202" t="str">
        <f t="shared" si="11"/>
        <v> </v>
      </c>
      <c r="I2619" s="205" t="str">
        <f t="shared" si="7"/>
        <v/>
      </c>
      <c r="J2619" s="205"/>
      <c r="K2619" s="205"/>
    </row>
    <row r="2620" ht="14.25" customHeight="1">
      <c r="A2620" s="55">
        <v>48275.0</v>
      </c>
      <c r="B2620" s="55" t="str">
        <f t="shared" si="10"/>
        <v>Primer dia</v>
      </c>
      <c r="C2620" s="202">
        <f t="shared" si="1"/>
        <v>2</v>
      </c>
      <c r="D2620" s="202" t="str">
        <f t="shared" si="2"/>
        <v> </v>
      </c>
      <c r="E2620" s="202">
        <f t="shared" si="9"/>
        <v>2</v>
      </c>
      <c r="F2620" s="55">
        <f t="shared" si="4"/>
        <v>48275</v>
      </c>
      <c r="G2620" s="202">
        <f t="shared" si="5"/>
        <v>147</v>
      </c>
      <c r="H2620" s="202" t="str">
        <f t="shared" si="11"/>
        <v> </v>
      </c>
      <c r="I2620" s="205" t="str">
        <f t="shared" si="7"/>
        <v/>
      </c>
      <c r="J2620" s="205"/>
      <c r="K2620" s="205"/>
    </row>
    <row r="2621" ht="14.25" customHeight="1">
      <c r="A2621" s="55">
        <v>48276.0</v>
      </c>
      <c r="B2621" s="55" t="str">
        <f t="shared" si="10"/>
        <v>Primer dia</v>
      </c>
      <c r="C2621" s="202">
        <f t="shared" si="1"/>
        <v>3</v>
      </c>
      <c r="D2621" s="202" t="str">
        <f t="shared" si="2"/>
        <v> </v>
      </c>
      <c r="E2621" s="202" t="str">
        <f t="shared" si="9"/>
        <v> </v>
      </c>
      <c r="F2621" s="55" t="str">
        <f t="shared" si="4"/>
        <v/>
      </c>
      <c r="G2621" s="202" t="str">
        <f t="shared" si="5"/>
        <v/>
      </c>
      <c r="H2621" s="202" t="str">
        <f t="shared" si="11"/>
        <v> </v>
      </c>
      <c r="I2621" s="205" t="str">
        <f t="shared" si="7"/>
        <v/>
      </c>
      <c r="J2621" s="205"/>
      <c r="K2621" s="205"/>
    </row>
    <row r="2622" ht="14.25" customHeight="1">
      <c r="A2622" s="55">
        <v>48277.0</v>
      </c>
      <c r="B2622" s="55" t="str">
        <f t="shared" si="10"/>
        <v>Primer dia</v>
      </c>
      <c r="C2622" s="202">
        <f t="shared" si="1"/>
        <v>4</v>
      </c>
      <c r="D2622" s="202" t="str">
        <f t="shared" si="2"/>
        <v> </v>
      </c>
      <c r="E2622" s="202" t="str">
        <f t="shared" si="9"/>
        <v> </v>
      </c>
      <c r="F2622" s="55" t="str">
        <f t="shared" si="4"/>
        <v/>
      </c>
      <c r="G2622" s="202" t="str">
        <f t="shared" si="5"/>
        <v/>
      </c>
      <c r="H2622" s="202" t="str">
        <f t="shared" si="11"/>
        <v> </v>
      </c>
      <c r="I2622" s="205" t="str">
        <f t="shared" si="7"/>
        <v/>
      </c>
      <c r="J2622" s="205"/>
      <c r="K2622" s="205"/>
    </row>
    <row r="2623" ht="14.25" customHeight="1">
      <c r="A2623" s="55">
        <v>48278.0</v>
      </c>
      <c r="B2623" s="55" t="str">
        <f t="shared" si="10"/>
        <v>Primer dia</v>
      </c>
      <c r="C2623" s="202">
        <f t="shared" si="1"/>
        <v>5</v>
      </c>
      <c r="D2623" s="202" t="str">
        <f t="shared" si="2"/>
        <v> </v>
      </c>
      <c r="E2623" s="202" t="str">
        <f t="shared" si="9"/>
        <v> </v>
      </c>
      <c r="F2623" s="55" t="str">
        <f t="shared" si="4"/>
        <v/>
      </c>
      <c r="G2623" s="202" t="str">
        <f t="shared" si="5"/>
        <v/>
      </c>
      <c r="H2623" s="202" t="str">
        <f t="shared" si="11"/>
        <v> </v>
      </c>
      <c r="I2623" s="205" t="str">
        <f t="shared" si="7"/>
        <v/>
      </c>
      <c r="J2623" s="205"/>
      <c r="K2623" s="205"/>
    </row>
    <row r="2624" ht="14.25" customHeight="1">
      <c r="A2624" s="55">
        <v>48279.0</v>
      </c>
      <c r="B2624" s="55" t="str">
        <f t="shared" si="10"/>
        <v>Primer dia</v>
      </c>
      <c r="C2624" s="202">
        <f t="shared" si="1"/>
        <v>6</v>
      </c>
      <c r="D2624" s="202" t="str">
        <f t="shared" si="2"/>
        <v> </v>
      </c>
      <c r="E2624" s="202" t="str">
        <f t="shared" si="9"/>
        <v> </v>
      </c>
      <c r="F2624" s="55" t="str">
        <f t="shared" si="4"/>
        <v/>
      </c>
      <c r="G2624" s="202" t="str">
        <f t="shared" si="5"/>
        <v/>
      </c>
      <c r="H2624" s="202" t="str">
        <f t="shared" si="11"/>
        <v> </v>
      </c>
      <c r="I2624" s="205" t="str">
        <f t="shared" si="7"/>
        <v/>
      </c>
      <c r="J2624" s="205"/>
      <c r="K2624" s="205"/>
    </row>
    <row r="2625" ht="14.25" customHeight="1">
      <c r="A2625" s="55">
        <v>48280.0</v>
      </c>
      <c r="B2625" s="55" t="str">
        <f t="shared" si="10"/>
        <v>Primer dia</v>
      </c>
      <c r="C2625" s="202">
        <f t="shared" si="1"/>
        <v>7</v>
      </c>
      <c r="D2625" s="202" t="str">
        <f t="shared" si="2"/>
        <v> </v>
      </c>
      <c r="E2625" s="202" t="str">
        <f t="shared" si="9"/>
        <v> </v>
      </c>
      <c r="F2625" s="55" t="str">
        <f t="shared" si="4"/>
        <v/>
      </c>
      <c r="G2625" s="202" t="str">
        <f t="shared" si="5"/>
        <v/>
      </c>
      <c r="H2625" s="202" t="str">
        <f t="shared" si="11"/>
        <v> </v>
      </c>
      <c r="I2625" s="205" t="str">
        <f t="shared" si="7"/>
        <v/>
      </c>
      <c r="J2625" s="205"/>
      <c r="K2625" s="205"/>
    </row>
    <row r="2626" ht="14.25" customHeight="1">
      <c r="A2626" s="55">
        <v>48281.0</v>
      </c>
      <c r="B2626" s="55" t="str">
        <f t="shared" si="10"/>
        <v>Primer dia</v>
      </c>
      <c r="C2626" s="202">
        <f t="shared" si="1"/>
        <v>8</v>
      </c>
      <c r="D2626" s="202" t="str">
        <f t="shared" si="2"/>
        <v> </v>
      </c>
      <c r="E2626" s="202" t="str">
        <f t="shared" si="9"/>
        <v> </v>
      </c>
      <c r="F2626" s="55" t="str">
        <f t="shared" si="4"/>
        <v/>
      </c>
      <c r="G2626" s="202" t="str">
        <f t="shared" si="5"/>
        <v/>
      </c>
      <c r="H2626" s="202" t="str">
        <f t="shared" si="11"/>
        <v> </v>
      </c>
      <c r="I2626" s="205" t="str">
        <f t="shared" si="7"/>
        <v/>
      </c>
      <c r="J2626" s="205"/>
      <c r="K2626" s="205"/>
    </row>
    <row r="2627" ht="14.25" customHeight="1">
      <c r="A2627" s="55">
        <v>48282.0</v>
      </c>
      <c r="B2627" s="55" t="str">
        <f t="shared" si="10"/>
        <v>Primer dia</v>
      </c>
      <c r="C2627" s="202">
        <f t="shared" si="1"/>
        <v>9</v>
      </c>
      <c r="D2627" s="202" t="str">
        <f t="shared" si="2"/>
        <v> </v>
      </c>
      <c r="E2627" s="202" t="str">
        <f t="shared" si="9"/>
        <v> </v>
      </c>
      <c r="F2627" s="55" t="str">
        <f t="shared" si="4"/>
        <v/>
      </c>
      <c r="G2627" s="202" t="str">
        <f t="shared" si="5"/>
        <v/>
      </c>
      <c r="H2627" s="202" t="str">
        <f t="shared" si="11"/>
        <v> </v>
      </c>
      <c r="I2627" s="205" t="str">
        <f t="shared" si="7"/>
        <v/>
      </c>
      <c r="J2627" s="205"/>
      <c r="K2627" s="205"/>
    </row>
    <row r="2628" ht="14.25" customHeight="1">
      <c r="A2628" s="55">
        <v>48283.0</v>
      </c>
      <c r="B2628" s="55" t="str">
        <f t="shared" si="10"/>
        <v>Primer dia</v>
      </c>
      <c r="C2628" s="202">
        <f t="shared" si="1"/>
        <v>10</v>
      </c>
      <c r="D2628" s="202" t="str">
        <f t="shared" si="2"/>
        <v> </v>
      </c>
      <c r="E2628" s="202" t="str">
        <f t="shared" si="9"/>
        <v> </v>
      </c>
      <c r="F2628" s="55" t="str">
        <f t="shared" si="4"/>
        <v/>
      </c>
      <c r="G2628" s="202" t="str">
        <f t="shared" si="5"/>
        <v/>
      </c>
      <c r="H2628" s="202" t="str">
        <f t="shared" si="11"/>
        <v> </v>
      </c>
      <c r="I2628" s="205" t="str">
        <f t="shared" si="7"/>
        <v/>
      </c>
      <c r="J2628" s="205"/>
      <c r="K2628" s="205"/>
    </row>
    <row r="2629" ht="14.25" customHeight="1">
      <c r="A2629" s="55">
        <v>48284.0</v>
      </c>
      <c r="B2629" s="55" t="str">
        <f t="shared" si="10"/>
        <v>Primer dia</v>
      </c>
      <c r="C2629" s="202">
        <f t="shared" si="1"/>
        <v>11</v>
      </c>
      <c r="D2629" s="202" t="str">
        <f t="shared" si="2"/>
        <v> </v>
      </c>
      <c r="E2629" s="202" t="str">
        <f t="shared" si="9"/>
        <v> </v>
      </c>
      <c r="F2629" s="55" t="str">
        <f t="shared" si="4"/>
        <v/>
      </c>
      <c r="G2629" s="202" t="str">
        <f t="shared" si="5"/>
        <v/>
      </c>
      <c r="H2629" s="202" t="str">
        <f t="shared" si="11"/>
        <v> </v>
      </c>
      <c r="I2629" s="205" t="str">
        <f t="shared" si="7"/>
        <v/>
      </c>
      <c r="J2629" s="205"/>
      <c r="K2629" s="205"/>
    </row>
    <row r="2630" ht="14.25" customHeight="1">
      <c r="A2630" s="55">
        <v>48285.0</v>
      </c>
      <c r="B2630" s="55" t="str">
        <f t="shared" si="10"/>
        <v>Primer dia</v>
      </c>
      <c r="C2630" s="202">
        <f t="shared" si="1"/>
        <v>12</v>
      </c>
      <c r="D2630" s="202" t="str">
        <f t="shared" si="2"/>
        <v> </v>
      </c>
      <c r="E2630" s="202" t="str">
        <f t="shared" si="9"/>
        <v> </v>
      </c>
      <c r="F2630" s="55" t="str">
        <f t="shared" si="4"/>
        <v/>
      </c>
      <c r="G2630" s="202" t="str">
        <f t="shared" si="5"/>
        <v/>
      </c>
      <c r="H2630" s="202" t="str">
        <f t="shared" si="11"/>
        <v> </v>
      </c>
      <c r="I2630" s="205" t="str">
        <f t="shared" si="7"/>
        <v/>
      </c>
      <c r="J2630" s="205"/>
      <c r="K2630" s="205"/>
    </row>
    <row r="2631" ht="14.25" customHeight="1">
      <c r="A2631" s="55">
        <v>48286.0</v>
      </c>
      <c r="B2631" s="55" t="str">
        <f t="shared" si="10"/>
        <v>Primer dia</v>
      </c>
      <c r="C2631" s="202">
        <f t="shared" si="1"/>
        <v>13</v>
      </c>
      <c r="D2631" s="202" t="str">
        <f t="shared" si="2"/>
        <v> </v>
      </c>
      <c r="E2631" s="202" t="str">
        <f t="shared" si="9"/>
        <v> </v>
      </c>
      <c r="F2631" s="55" t="str">
        <f t="shared" si="4"/>
        <v/>
      </c>
      <c r="G2631" s="202" t="str">
        <f t="shared" si="5"/>
        <v/>
      </c>
      <c r="H2631" s="202" t="str">
        <f t="shared" si="11"/>
        <v> </v>
      </c>
      <c r="I2631" s="205" t="str">
        <f t="shared" si="7"/>
        <v/>
      </c>
      <c r="J2631" s="205"/>
      <c r="K2631" s="205"/>
    </row>
    <row r="2632" ht="14.25" customHeight="1">
      <c r="A2632" s="55">
        <v>48287.0</v>
      </c>
      <c r="B2632" s="55" t="str">
        <f t="shared" si="10"/>
        <v>Primer dia</v>
      </c>
      <c r="C2632" s="202">
        <f t="shared" si="1"/>
        <v>14</v>
      </c>
      <c r="D2632" s="202" t="str">
        <f t="shared" si="2"/>
        <v> </v>
      </c>
      <c r="E2632" s="202" t="str">
        <f t="shared" si="9"/>
        <v> </v>
      </c>
      <c r="F2632" s="55" t="str">
        <f t="shared" si="4"/>
        <v/>
      </c>
      <c r="G2632" s="202" t="str">
        <f t="shared" si="5"/>
        <v/>
      </c>
      <c r="H2632" s="202" t="str">
        <f t="shared" si="11"/>
        <v> </v>
      </c>
      <c r="I2632" s="205" t="str">
        <f t="shared" si="7"/>
        <v/>
      </c>
      <c r="J2632" s="205"/>
      <c r="K2632" s="205"/>
    </row>
    <row r="2633" ht="14.25" customHeight="1">
      <c r="A2633" s="55">
        <v>48288.0</v>
      </c>
      <c r="B2633" s="55" t="str">
        <f t="shared" si="10"/>
        <v>Primer dia</v>
      </c>
      <c r="C2633" s="202">
        <f t="shared" si="1"/>
        <v>15</v>
      </c>
      <c r="D2633" s="202" t="str">
        <f t="shared" si="2"/>
        <v> </v>
      </c>
      <c r="E2633" s="202" t="str">
        <f t="shared" si="9"/>
        <v> </v>
      </c>
      <c r="F2633" s="55" t="str">
        <f t="shared" si="4"/>
        <v/>
      </c>
      <c r="G2633" s="202" t="str">
        <f t="shared" si="5"/>
        <v/>
      </c>
      <c r="H2633" s="202" t="str">
        <f t="shared" si="11"/>
        <v> </v>
      </c>
      <c r="I2633" s="205" t="str">
        <f t="shared" si="7"/>
        <v/>
      </c>
      <c r="J2633" s="205"/>
      <c r="K2633" s="205"/>
    </row>
    <row r="2634" ht="14.25" customHeight="1">
      <c r="A2634" s="55">
        <v>48289.0</v>
      </c>
      <c r="B2634" s="55" t="str">
        <f t="shared" si="10"/>
        <v>Primer dia</v>
      </c>
      <c r="C2634" s="202">
        <f t="shared" si="1"/>
        <v>16</v>
      </c>
      <c r="D2634" s="202" t="str">
        <f t="shared" si="2"/>
        <v> </v>
      </c>
      <c r="E2634" s="202" t="str">
        <f t="shared" si="9"/>
        <v> </v>
      </c>
      <c r="F2634" s="55" t="str">
        <f t="shared" si="4"/>
        <v/>
      </c>
      <c r="G2634" s="202" t="str">
        <f t="shared" si="5"/>
        <v/>
      </c>
      <c r="H2634" s="202" t="str">
        <f t="shared" si="11"/>
        <v> </v>
      </c>
      <c r="I2634" s="205" t="str">
        <f t="shared" si="7"/>
        <v/>
      </c>
      <c r="J2634" s="205"/>
      <c r="K2634" s="205"/>
    </row>
    <row r="2635" ht="14.25" customHeight="1">
      <c r="A2635" s="55">
        <v>48290.0</v>
      </c>
      <c r="B2635" s="55" t="str">
        <f t="shared" si="10"/>
        <v>Primer dia</v>
      </c>
      <c r="C2635" s="202">
        <f t="shared" si="1"/>
        <v>17</v>
      </c>
      <c r="D2635" s="202" t="str">
        <f t="shared" si="2"/>
        <v> </v>
      </c>
      <c r="E2635" s="202">
        <f t="shared" si="9"/>
        <v>17</v>
      </c>
      <c r="F2635" s="55">
        <f t="shared" si="4"/>
        <v>48290</v>
      </c>
      <c r="G2635" s="202">
        <f t="shared" si="5"/>
        <v>148</v>
      </c>
      <c r="H2635" s="202" t="str">
        <f t="shared" si="11"/>
        <v> </v>
      </c>
      <c r="I2635" s="205" t="str">
        <f t="shared" si="7"/>
        <v/>
      </c>
      <c r="J2635" s="205"/>
      <c r="K2635" s="205"/>
    </row>
    <row r="2636" ht="14.25" customHeight="1">
      <c r="A2636" s="55">
        <v>48291.0</v>
      </c>
      <c r="B2636" s="55" t="str">
        <f t="shared" si="10"/>
        <v>Primer dia</v>
      </c>
      <c r="C2636" s="202">
        <f t="shared" si="1"/>
        <v>18</v>
      </c>
      <c r="D2636" s="202" t="str">
        <f t="shared" si="2"/>
        <v> </v>
      </c>
      <c r="E2636" s="202" t="str">
        <f t="shared" si="9"/>
        <v> </v>
      </c>
      <c r="F2636" s="55" t="str">
        <f t="shared" si="4"/>
        <v/>
      </c>
      <c r="G2636" s="202" t="str">
        <f t="shared" si="5"/>
        <v/>
      </c>
      <c r="H2636" s="202" t="str">
        <f t="shared" si="11"/>
        <v> </v>
      </c>
      <c r="I2636" s="205" t="str">
        <f t="shared" si="7"/>
        <v/>
      </c>
      <c r="J2636" s="205"/>
      <c r="K2636" s="205"/>
    </row>
    <row r="2637" ht="14.25" customHeight="1">
      <c r="A2637" s="55">
        <v>48292.0</v>
      </c>
      <c r="B2637" s="55" t="str">
        <f t="shared" si="10"/>
        <v>Primer dia</v>
      </c>
      <c r="C2637" s="202">
        <f t="shared" si="1"/>
        <v>19</v>
      </c>
      <c r="D2637" s="202" t="str">
        <f t="shared" si="2"/>
        <v> </v>
      </c>
      <c r="E2637" s="202" t="str">
        <f t="shared" si="9"/>
        <v> </v>
      </c>
      <c r="F2637" s="55" t="str">
        <f t="shared" si="4"/>
        <v/>
      </c>
      <c r="G2637" s="202" t="str">
        <f t="shared" si="5"/>
        <v/>
      </c>
      <c r="H2637" s="202" t="str">
        <f t="shared" si="11"/>
        <v> </v>
      </c>
      <c r="I2637" s="205" t="str">
        <f t="shared" si="7"/>
        <v/>
      </c>
      <c r="J2637" s="205"/>
      <c r="K2637" s="205"/>
    </row>
    <row r="2638" ht="14.25" customHeight="1">
      <c r="A2638" s="55">
        <v>48293.0</v>
      </c>
      <c r="B2638" s="55" t="str">
        <f t="shared" si="10"/>
        <v>Primer dia</v>
      </c>
      <c r="C2638" s="202">
        <f t="shared" si="1"/>
        <v>20</v>
      </c>
      <c r="D2638" s="202" t="str">
        <f t="shared" si="2"/>
        <v> </v>
      </c>
      <c r="E2638" s="202" t="str">
        <f t="shared" si="9"/>
        <v> </v>
      </c>
      <c r="F2638" s="55" t="str">
        <f t="shared" si="4"/>
        <v/>
      </c>
      <c r="G2638" s="202" t="str">
        <f t="shared" si="5"/>
        <v/>
      </c>
      <c r="H2638" s="202" t="str">
        <f t="shared" si="11"/>
        <v> </v>
      </c>
      <c r="I2638" s="205" t="str">
        <f t="shared" si="7"/>
        <v/>
      </c>
      <c r="J2638" s="205"/>
      <c r="K2638" s="205"/>
    </row>
    <row r="2639" ht="14.25" customHeight="1">
      <c r="A2639" s="55">
        <v>48294.0</v>
      </c>
      <c r="B2639" s="55" t="str">
        <f t="shared" si="10"/>
        <v>Primer dia</v>
      </c>
      <c r="C2639" s="202">
        <f t="shared" si="1"/>
        <v>21</v>
      </c>
      <c r="D2639" s="202" t="str">
        <f t="shared" si="2"/>
        <v> </v>
      </c>
      <c r="E2639" s="202" t="str">
        <f t="shared" si="9"/>
        <v> </v>
      </c>
      <c r="F2639" s="55" t="str">
        <f t="shared" si="4"/>
        <v/>
      </c>
      <c r="G2639" s="202" t="str">
        <f t="shared" si="5"/>
        <v/>
      </c>
      <c r="H2639" s="202" t="str">
        <f t="shared" si="11"/>
        <v> </v>
      </c>
      <c r="I2639" s="205" t="str">
        <f t="shared" si="7"/>
        <v/>
      </c>
      <c r="J2639" s="205"/>
      <c r="K2639" s="205"/>
    </row>
    <row r="2640" ht="14.25" customHeight="1">
      <c r="A2640" s="55">
        <v>48295.0</v>
      </c>
      <c r="B2640" s="55" t="str">
        <f t="shared" si="10"/>
        <v>Primer dia</v>
      </c>
      <c r="C2640" s="202">
        <f t="shared" si="1"/>
        <v>22</v>
      </c>
      <c r="D2640" s="202" t="str">
        <f t="shared" si="2"/>
        <v> </v>
      </c>
      <c r="E2640" s="202" t="str">
        <f t="shared" si="9"/>
        <v> </v>
      </c>
      <c r="F2640" s="55" t="str">
        <f t="shared" si="4"/>
        <v/>
      </c>
      <c r="G2640" s="202" t="str">
        <f t="shared" si="5"/>
        <v/>
      </c>
      <c r="H2640" s="202" t="str">
        <f t="shared" si="11"/>
        <v> </v>
      </c>
      <c r="I2640" s="205" t="str">
        <f t="shared" si="7"/>
        <v/>
      </c>
      <c r="J2640" s="205"/>
      <c r="K2640" s="205"/>
    </row>
    <row r="2641" ht="14.25" customHeight="1">
      <c r="A2641" s="55">
        <v>48296.0</v>
      </c>
      <c r="B2641" s="55" t="str">
        <f t="shared" si="10"/>
        <v>Primer dia</v>
      </c>
      <c r="C2641" s="202">
        <f t="shared" si="1"/>
        <v>23</v>
      </c>
      <c r="D2641" s="202" t="str">
        <f t="shared" si="2"/>
        <v> </v>
      </c>
      <c r="E2641" s="202" t="str">
        <f t="shared" si="9"/>
        <v> </v>
      </c>
      <c r="F2641" s="55" t="str">
        <f t="shared" si="4"/>
        <v/>
      </c>
      <c r="G2641" s="202" t="str">
        <f t="shared" si="5"/>
        <v/>
      </c>
      <c r="H2641" s="202" t="str">
        <f t="shared" si="11"/>
        <v> </v>
      </c>
      <c r="I2641" s="205" t="str">
        <f t="shared" si="7"/>
        <v/>
      </c>
      <c r="J2641" s="205"/>
      <c r="K2641" s="205"/>
    </row>
    <row r="2642" ht="14.25" customHeight="1">
      <c r="A2642" s="55">
        <v>48297.0</v>
      </c>
      <c r="B2642" s="55" t="str">
        <f t="shared" si="10"/>
        <v>Primer dia</v>
      </c>
      <c r="C2642" s="202">
        <f t="shared" si="1"/>
        <v>24</v>
      </c>
      <c r="D2642" s="202" t="str">
        <f t="shared" si="2"/>
        <v> </v>
      </c>
      <c r="E2642" s="202" t="str">
        <f t="shared" si="9"/>
        <v> </v>
      </c>
      <c r="F2642" s="55" t="str">
        <f t="shared" si="4"/>
        <v/>
      </c>
      <c r="G2642" s="202" t="str">
        <f t="shared" si="5"/>
        <v/>
      </c>
      <c r="H2642" s="202" t="str">
        <f t="shared" si="11"/>
        <v> </v>
      </c>
      <c r="I2642" s="205" t="str">
        <f t="shared" si="7"/>
        <v/>
      </c>
      <c r="J2642" s="205"/>
      <c r="K2642" s="205"/>
    </row>
    <row r="2643" ht="14.25" customHeight="1">
      <c r="A2643" s="55">
        <v>48298.0</v>
      </c>
      <c r="B2643" s="55" t="str">
        <f t="shared" si="10"/>
        <v>Primer dia</v>
      </c>
      <c r="C2643" s="202">
        <f t="shared" si="1"/>
        <v>25</v>
      </c>
      <c r="D2643" s="202" t="str">
        <f t="shared" si="2"/>
        <v> </v>
      </c>
      <c r="E2643" s="202" t="str">
        <f t="shared" si="9"/>
        <v> </v>
      </c>
      <c r="F2643" s="55" t="str">
        <f t="shared" si="4"/>
        <v/>
      </c>
      <c r="G2643" s="202" t="str">
        <f t="shared" si="5"/>
        <v/>
      </c>
      <c r="H2643" s="202" t="str">
        <f t="shared" si="11"/>
        <v> </v>
      </c>
      <c r="I2643" s="205" t="str">
        <f t="shared" si="7"/>
        <v/>
      </c>
      <c r="J2643" s="205"/>
      <c r="K2643" s="205"/>
    </row>
    <row r="2644" ht="14.25" customHeight="1">
      <c r="A2644" s="55">
        <v>48299.0</v>
      </c>
      <c r="B2644" s="55" t="str">
        <f t="shared" si="10"/>
        <v>Primer dia</v>
      </c>
      <c r="C2644" s="202">
        <f t="shared" si="1"/>
        <v>26</v>
      </c>
      <c r="D2644" s="202" t="str">
        <f t="shared" si="2"/>
        <v> </v>
      </c>
      <c r="E2644" s="202" t="str">
        <f t="shared" si="9"/>
        <v> </v>
      </c>
      <c r="F2644" s="55" t="str">
        <f t="shared" si="4"/>
        <v/>
      </c>
      <c r="G2644" s="202" t="str">
        <f t="shared" si="5"/>
        <v/>
      </c>
      <c r="H2644" s="202" t="str">
        <f t="shared" si="11"/>
        <v> </v>
      </c>
      <c r="I2644" s="205" t="str">
        <f t="shared" si="7"/>
        <v/>
      </c>
      <c r="J2644" s="205"/>
      <c r="K2644" s="205"/>
    </row>
    <row r="2645" ht="14.25" customHeight="1">
      <c r="A2645" s="55">
        <v>48300.0</v>
      </c>
      <c r="B2645" s="55" t="str">
        <f t="shared" si="10"/>
        <v>Primer dia</v>
      </c>
      <c r="C2645" s="202">
        <f t="shared" si="1"/>
        <v>27</v>
      </c>
      <c r="D2645" s="202" t="str">
        <f t="shared" si="2"/>
        <v> </v>
      </c>
      <c r="E2645" s="202" t="str">
        <f t="shared" si="9"/>
        <v> </v>
      </c>
      <c r="F2645" s="55" t="str">
        <f t="shared" si="4"/>
        <v/>
      </c>
      <c r="G2645" s="202" t="str">
        <f t="shared" si="5"/>
        <v/>
      </c>
      <c r="H2645" s="202" t="str">
        <f t="shared" si="11"/>
        <v> </v>
      </c>
      <c r="I2645" s="205" t="str">
        <f t="shared" si="7"/>
        <v/>
      </c>
      <c r="J2645" s="205"/>
      <c r="K2645" s="205"/>
    </row>
    <row r="2646" ht="14.25" customHeight="1">
      <c r="A2646" s="55">
        <v>48301.0</v>
      </c>
      <c r="B2646" s="55" t="str">
        <f t="shared" si="10"/>
        <v>Primer dia</v>
      </c>
      <c r="C2646" s="202">
        <f t="shared" si="1"/>
        <v>28</v>
      </c>
      <c r="D2646" s="202" t="str">
        <f t="shared" si="2"/>
        <v> </v>
      </c>
      <c r="E2646" s="202" t="str">
        <f t="shared" si="9"/>
        <v> </v>
      </c>
      <c r="F2646" s="55" t="str">
        <f t="shared" si="4"/>
        <v/>
      </c>
      <c r="G2646" s="202" t="str">
        <f t="shared" si="5"/>
        <v/>
      </c>
      <c r="H2646" s="202" t="str">
        <f t="shared" si="11"/>
        <v> </v>
      </c>
      <c r="I2646" s="205" t="str">
        <f t="shared" si="7"/>
        <v/>
      </c>
      <c r="J2646" s="205"/>
      <c r="K2646" s="205"/>
    </row>
    <row r="2647" ht="14.25" customHeight="1">
      <c r="A2647" s="55">
        <v>48302.0</v>
      </c>
      <c r="B2647" s="55" t="str">
        <f t="shared" si="10"/>
        <v>Primer dia</v>
      </c>
      <c r="C2647" s="202">
        <f t="shared" si="1"/>
        <v>29</v>
      </c>
      <c r="D2647" s="202" t="str">
        <f t="shared" si="2"/>
        <v> </v>
      </c>
      <c r="E2647" s="202" t="str">
        <f t="shared" si="9"/>
        <v> </v>
      </c>
      <c r="F2647" s="55" t="str">
        <f t="shared" si="4"/>
        <v/>
      </c>
      <c r="G2647" s="202" t="str">
        <f t="shared" si="5"/>
        <v/>
      </c>
      <c r="H2647" s="202" t="str">
        <f t="shared" si="11"/>
        <v> </v>
      </c>
      <c r="I2647" s="205" t="str">
        <f t="shared" si="7"/>
        <v/>
      </c>
      <c r="J2647" s="205"/>
      <c r="K2647" s="205"/>
    </row>
    <row r="2648" ht="14.25" customHeight="1">
      <c r="A2648" s="55">
        <v>48303.0</v>
      </c>
      <c r="B2648" s="55" t="str">
        <f t="shared" si="10"/>
        <v>Primer dia</v>
      </c>
      <c r="C2648" s="202">
        <f t="shared" si="1"/>
        <v>30</v>
      </c>
      <c r="D2648" s="202" t="str">
        <f t="shared" si="2"/>
        <v> </v>
      </c>
      <c r="E2648" s="202" t="str">
        <f t="shared" si="9"/>
        <v> </v>
      </c>
      <c r="F2648" s="55" t="str">
        <f t="shared" si="4"/>
        <v/>
      </c>
      <c r="G2648" s="202" t="str">
        <f t="shared" si="5"/>
        <v/>
      </c>
      <c r="H2648" s="202" t="str">
        <f t="shared" si="11"/>
        <v> </v>
      </c>
      <c r="I2648" s="205" t="str">
        <f t="shared" si="7"/>
        <v/>
      </c>
      <c r="J2648" s="205"/>
      <c r="K2648" s="205"/>
    </row>
    <row r="2649" ht="14.25" customHeight="1">
      <c r="A2649" s="55">
        <v>48304.0</v>
      </c>
      <c r="B2649" s="55" t="str">
        <f t="shared" si="10"/>
        <v>Primer dia</v>
      </c>
      <c r="C2649" s="202">
        <f t="shared" si="1"/>
        <v>31</v>
      </c>
      <c r="D2649" s="202" t="str">
        <f t="shared" si="2"/>
        <v> </v>
      </c>
      <c r="E2649" s="202" t="str">
        <f t="shared" si="9"/>
        <v> </v>
      </c>
      <c r="F2649" s="55" t="str">
        <f t="shared" si="4"/>
        <v/>
      </c>
      <c r="G2649" s="202" t="str">
        <f t="shared" si="5"/>
        <v/>
      </c>
      <c r="H2649" s="202" t="str">
        <f t="shared" si="11"/>
        <v> </v>
      </c>
      <c r="I2649" s="205" t="str">
        <f t="shared" si="7"/>
        <v/>
      </c>
      <c r="J2649" s="205"/>
      <c r="K2649" s="205"/>
    </row>
    <row r="2650" ht="14.25" customHeight="1">
      <c r="A2650" s="55">
        <v>48305.0</v>
      </c>
      <c r="B2650" s="55" t="str">
        <f t="shared" si="10"/>
        <v>Primer dia</v>
      </c>
      <c r="C2650" s="202">
        <f t="shared" si="1"/>
        <v>1</v>
      </c>
      <c r="D2650" s="202" t="str">
        <f t="shared" si="2"/>
        <v> </v>
      </c>
      <c r="E2650" s="202" t="str">
        <f t="shared" si="9"/>
        <v> </v>
      </c>
      <c r="F2650" s="55" t="str">
        <f t="shared" si="4"/>
        <v/>
      </c>
      <c r="G2650" s="202" t="str">
        <f t="shared" si="5"/>
        <v/>
      </c>
      <c r="H2650" s="202" t="str">
        <f t="shared" si="11"/>
        <v> </v>
      </c>
      <c r="I2650" s="205" t="str">
        <f t="shared" si="7"/>
        <v/>
      </c>
      <c r="J2650" s="205"/>
      <c r="K2650" s="205"/>
    </row>
    <row r="2651" ht="14.25" customHeight="1">
      <c r="A2651" s="55">
        <v>48306.0</v>
      </c>
      <c r="B2651" s="55" t="str">
        <f t="shared" si="10"/>
        <v>Primer dia</v>
      </c>
      <c r="C2651" s="202">
        <f t="shared" si="1"/>
        <v>2</v>
      </c>
      <c r="D2651" s="202" t="str">
        <f t="shared" si="2"/>
        <v> </v>
      </c>
      <c r="E2651" s="202">
        <f t="shared" si="9"/>
        <v>2</v>
      </c>
      <c r="F2651" s="55">
        <f t="shared" si="4"/>
        <v>48306</v>
      </c>
      <c r="G2651" s="202">
        <f t="shared" si="5"/>
        <v>149</v>
      </c>
      <c r="H2651" s="202" t="str">
        <f t="shared" si="11"/>
        <v> </v>
      </c>
      <c r="I2651" s="205" t="str">
        <f t="shared" si="7"/>
        <v/>
      </c>
      <c r="J2651" s="205"/>
      <c r="K2651" s="205"/>
    </row>
    <row r="2652" ht="14.25" customHeight="1">
      <c r="A2652" s="55">
        <v>48307.0</v>
      </c>
      <c r="B2652" s="55" t="str">
        <f t="shared" si="10"/>
        <v>Primer dia</v>
      </c>
      <c r="C2652" s="202">
        <f t="shared" si="1"/>
        <v>3</v>
      </c>
      <c r="D2652" s="202" t="str">
        <f t="shared" si="2"/>
        <v> </v>
      </c>
      <c r="E2652" s="202" t="str">
        <f t="shared" si="9"/>
        <v> </v>
      </c>
      <c r="F2652" s="55" t="str">
        <f t="shared" si="4"/>
        <v/>
      </c>
      <c r="G2652" s="202" t="str">
        <f t="shared" si="5"/>
        <v/>
      </c>
      <c r="H2652" s="202" t="str">
        <f t="shared" si="11"/>
        <v> </v>
      </c>
      <c r="I2652" s="205" t="str">
        <f t="shared" si="7"/>
        <v/>
      </c>
      <c r="J2652" s="205"/>
      <c r="K2652" s="205"/>
    </row>
    <row r="2653" ht="14.25" customHeight="1">
      <c r="A2653" s="55">
        <v>48308.0</v>
      </c>
      <c r="B2653" s="55" t="str">
        <f t="shared" si="10"/>
        <v>Primer dia</v>
      </c>
      <c r="C2653" s="202">
        <f t="shared" si="1"/>
        <v>4</v>
      </c>
      <c r="D2653" s="202" t="str">
        <f t="shared" si="2"/>
        <v> </v>
      </c>
      <c r="E2653" s="202" t="str">
        <f t="shared" si="9"/>
        <v> </v>
      </c>
      <c r="F2653" s="55" t="str">
        <f t="shared" si="4"/>
        <v/>
      </c>
      <c r="G2653" s="202" t="str">
        <f t="shared" si="5"/>
        <v/>
      </c>
      <c r="H2653" s="202" t="str">
        <f t="shared" si="11"/>
        <v> </v>
      </c>
      <c r="I2653" s="205" t="str">
        <f t="shared" si="7"/>
        <v/>
      </c>
      <c r="J2653" s="205"/>
      <c r="K2653" s="205"/>
    </row>
    <row r="2654" ht="14.25" customHeight="1">
      <c r="A2654" s="55">
        <v>48309.0</v>
      </c>
      <c r="B2654" s="55" t="str">
        <f t="shared" si="10"/>
        <v>Primer dia</v>
      </c>
      <c r="C2654" s="202">
        <f t="shared" si="1"/>
        <v>5</v>
      </c>
      <c r="D2654" s="202" t="str">
        <f t="shared" si="2"/>
        <v> </v>
      </c>
      <c r="E2654" s="202" t="str">
        <f t="shared" si="9"/>
        <v> </v>
      </c>
      <c r="F2654" s="55" t="str">
        <f t="shared" si="4"/>
        <v/>
      </c>
      <c r="G2654" s="202" t="str">
        <f t="shared" si="5"/>
        <v/>
      </c>
      <c r="H2654" s="202" t="str">
        <f t="shared" si="11"/>
        <v> </v>
      </c>
      <c r="I2654" s="205" t="str">
        <f t="shared" si="7"/>
        <v/>
      </c>
      <c r="J2654" s="205"/>
      <c r="K2654" s="205"/>
    </row>
    <row r="2655" ht="14.25" customHeight="1">
      <c r="A2655" s="55">
        <v>48310.0</v>
      </c>
      <c r="B2655" s="55" t="str">
        <f t="shared" si="10"/>
        <v>Primer dia</v>
      </c>
      <c r="C2655" s="202">
        <f t="shared" si="1"/>
        <v>6</v>
      </c>
      <c r="D2655" s="202" t="str">
        <f t="shared" si="2"/>
        <v> </v>
      </c>
      <c r="E2655" s="202" t="str">
        <f t="shared" si="9"/>
        <v> </v>
      </c>
      <c r="F2655" s="55" t="str">
        <f t="shared" si="4"/>
        <v/>
      </c>
      <c r="G2655" s="202" t="str">
        <f t="shared" si="5"/>
        <v/>
      </c>
      <c r="H2655" s="202" t="str">
        <f t="shared" si="11"/>
        <v> </v>
      </c>
      <c r="I2655" s="205" t="str">
        <f t="shared" si="7"/>
        <v/>
      </c>
      <c r="J2655" s="205"/>
      <c r="K2655" s="205"/>
    </row>
    <row r="2656" ht="14.25" customHeight="1">
      <c r="A2656" s="55">
        <v>48311.0</v>
      </c>
      <c r="B2656" s="55" t="str">
        <f t="shared" si="10"/>
        <v>Primer dia</v>
      </c>
      <c r="C2656" s="202">
        <f t="shared" si="1"/>
        <v>7</v>
      </c>
      <c r="D2656" s="202" t="str">
        <f t="shared" si="2"/>
        <v> </v>
      </c>
      <c r="E2656" s="202" t="str">
        <f t="shared" si="9"/>
        <v> </v>
      </c>
      <c r="F2656" s="55" t="str">
        <f t="shared" si="4"/>
        <v/>
      </c>
      <c r="G2656" s="202" t="str">
        <f t="shared" si="5"/>
        <v/>
      </c>
      <c r="H2656" s="202" t="str">
        <f t="shared" si="11"/>
        <v> </v>
      </c>
      <c r="I2656" s="205" t="str">
        <f t="shared" si="7"/>
        <v/>
      </c>
      <c r="J2656" s="205"/>
      <c r="K2656" s="205"/>
    </row>
    <row r="2657" ht="14.25" customHeight="1">
      <c r="A2657" s="55">
        <v>48312.0</v>
      </c>
      <c r="B2657" s="55" t="str">
        <f t="shared" si="10"/>
        <v>Primer dia</v>
      </c>
      <c r="C2657" s="202">
        <f t="shared" si="1"/>
        <v>8</v>
      </c>
      <c r="D2657" s="202" t="str">
        <f t="shared" si="2"/>
        <v> </v>
      </c>
      <c r="E2657" s="202" t="str">
        <f t="shared" si="9"/>
        <v> </v>
      </c>
      <c r="F2657" s="55" t="str">
        <f t="shared" si="4"/>
        <v/>
      </c>
      <c r="G2657" s="202" t="str">
        <f t="shared" si="5"/>
        <v/>
      </c>
      <c r="H2657" s="202" t="str">
        <f t="shared" si="11"/>
        <v> </v>
      </c>
      <c r="I2657" s="205" t="str">
        <f t="shared" si="7"/>
        <v/>
      </c>
      <c r="J2657" s="205"/>
      <c r="K2657" s="205"/>
    </row>
    <row r="2658" ht="14.25" customHeight="1">
      <c r="A2658" s="55">
        <v>48313.0</v>
      </c>
      <c r="B2658" s="55" t="str">
        <f t="shared" si="10"/>
        <v>Primer dia</v>
      </c>
      <c r="C2658" s="202">
        <f t="shared" si="1"/>
        <v>9</v>
      </c>
      <c r="D2658" s="202" t="str">
        <f t="shared" si="2"/>
        <v> </v>
      </c>
      <c r="E2658" s="202" t="str">
        <f t="shared" si="9"/>
        <v> </v>
      </c>
      <c r="F2658" s="55" t="str">
        <f t="shared" si="4"/>
        <v/>
      </c>
      <c r="G2658" s="202" t="str">
        <f t="shared" si="5"/>
        <v/>
      </c>
      <c r="H2658" s="202" t="str">
        <f t="shared" si="11"/>
        <v> </v>
      </c>
      <c r="I2658" s="205" t="str">
        <f t="shared" si="7"/>
        <v/>
      </c>
      <c r="J2658" s="205"/>
      <c r="K2658" s="205"/>
    </row>
    <row r="2659" ht="14.25" customHeight="1">
      <c r="A2659" s="55">
        <v>48314.0</v>
      </c>
      <c r="B2659" s="55" t="str">
        <f t="shared" si="10"/>
        <v>Primer dia</v>
      </c>
      <c r="C2659" s="202">
        <f t="shared" si="1"/>
        <v>10</v>
      </c>
      <c r="D2659" s="202" t="str">
        <f t="shared" si="2"/>
        <v> </v>
      </c>
      <c r="E2659" s="202" t="str">
        <f t="shared" si="9"/>
        <v> </v>
      </c>
      <c r="F2659" s="55" t="str">
        <f t="shared" si="4"/>
        <v/>
      </c>
      <c r="G2659" s="202" t="str">
        <f t="shared" si="5"/>
        <v/>
      </c>
      <c r="H2659" s="202" t="str">
        <f t="shared" si="11"/>
        <v> </v>
      </c>
      <c r="I2659" s="205" t="str">
        <f t="shared" si="7"/>
        <v/>
      </c>
      <c r="J2659" s="205"/>
      <c r="K2659" s="205"/>
    </row>
    <row r="2660" ht="14.25" customHeight="1">
      <c r="A2660" s="55">
        <v>48315.0</v>
      </c>
      <c r="B2660" s="55" t="str">
        <f t="shared" si="10"/>
        <v>Primer dia</v>
      </c>
      <c r="C2660" s="202">
        <f t="shared" si="1"/>
        <v>11</v>
      </c>
      <c r="D2660" s="202" t="str">
        <f t="shared" si="2"/>
        <v> </v>
      </c>
      <c r="E2660" s="202" t="str">
        <f t="shared" si="9"/>
        <v> </v>
      </c>
      <c r="F2660" s="55" t="str">
        <f t="shared" si="4"/>
        <v/>
      </c>
      <c r="G2660" s="202" t="str">
        <f t="shared" si="5"/>
        <v/>
      </c>
      <c r="H2660" s="202" t="str">
        <f t="shared" si="11"/>
        <v> </v>
      </c>
      <c r="I2660" s="205" t="str">
        <f t="shared" si="7"/>
        <v/>
      </c>
      <c r="J2660" s="205"/>
      <c r="K2660" s="205"/>
    </row>
    <row r="2661" ht="14.25" customHeight="1">
      <c r="A2661" s="55">
        <v>48316.0</v>
      </c>
      <c r="B2661" s="55" t="str">
        <f t="shared" si="10"/>
        <v>Primer dia</v>
      </c>
      <c r="C2661" s="202">
        <f t="shared" si="1"/>
        <v>12</v>
      </c>
      <c r="D2661" s="202" t="str">
        <f t="shared" si="2"/>
        <v> </v>
      </c>
      <c r="E2661" s="202" t="str">
        <f t="shared" si="9"/>
        <v> </v>
      </c>
      <c r="F2661" s="55" t="str">
        <f t="shared" si="4"/>
        <v/>
      </c>
      <c r="G2661" s="202" t="str">
        <f t="shared" si="5"/>
        <v/>
      </c>
      <c r="H2661" s="202" t="str">
        <f t="shared" si="11"/>
        <v> </v>
      </c>
      <c r="I2661" s="205" t="str">
        <f t="shared" si="7"/>
        <v/>
      </c>
      <c r="J2661" s="205"/>
      <c r="K2661" s="205"/>
    </row>
    <row r="2662" ht="14.25" customHeight="1">
      <c r="A2662" s="55">
        <v>48317.0</v>
      </c>
      <c r="B2662" s="55" t="str">
        <f t="shared" si="10"/>
        <v>Primer dia</v>
      </c>
      <c r="C2662" s="202">
        <f t="shared" si="1"/>
        <v>13</v>
      </c>
      <c r="D2662" s="202" t="str">
        <f t="shared" si="2"/>
        <v> </v>
      </c>
      <c r="E2662" s="202" t="str">
        <f t="shared" si="9"/>
        <v> </v>
      </c>
      <c r="F2662" s="55" t="str">
        <f t="shared" si="4"/>
        <v/>
      </c>
      <c r="G2662" s="202" t="str">
        <f t="shared" si="5"/>
        <v/>
      </c>
      <c r="H2662" s="202" t="str">
        <f t="shared" si="11"/>
        <v> </v>
      </c>
      <c r="I2662" s="205" t="str">
        <f t="shared" si="7"/>
        <v/>
      </c>
      <c r="J2662" s="205"/>
      <c r="K2662" s="205"/>
    </row>
    <row r="2663" ht="14.25" customHeight="1">
      <c r="A2663" s="55">
        <v>48318.0</v>
      </c>
      <c r="B2663" s="55" t="str">
        <f t="shared" si="10"/>
        <v>Primer dia</v>
      </c>
      <c r="C2663" s="202">
        <f t="shared" si="1"/>
        <v>14</v>
      </c>
      <c r="D2663" s="202" t="str">
        <f t="shared" si="2"/>
        <v> </v>
      </c>
      <c r="E2663" s="202" t="str">
        <f t="shared" si="9"/>
        <v> </v>
      </c>
      <c r="F2663" s="55" t="str">
        <f t="shared" si="4"/>
        <v/>
      </c>
      <c r="G2663" s="202" t="str">
        <f t="shared" si="5"/>
        <v/>
      </c>
      <c r="H2663" s="202" t="str">
        <f t="shared" si="11"/>
        <v> </v>
      </c>
      <c r="I2663" s="205" t="str">
        <f t="shared" si="7"/>
        <v/>
      </c>
      <c r="J2663" s="205"/>
      <c r="K2663" s="205"/>
    </row>
    <row r="2664" ht="14.25" customHeight="1">
      <c r="A2664" s="55">
        <v>48319.0</v>
      </c>
      <c r="B2664" s="55" t="str">
        <f t="shared" si="10"/>
        <v>Primer dia</v>
      </c>
      <c r="C2664" s="202">
        <f t="shared" si="1"/>
        <v>15</v>
      </c>
      <c r="D2664" s="202" t="str">
        <f t="shared" si="2"/>
        <v> </v>
      </c>
      <c r="E2664" s="202" t="str">
        <f t="shared" si="9"/>
        <v> </v>
      </c>
      <c r="F2664" s="55" t="str">
        <f t="shared" si="4"/>
        <v/>
      </c>
      <c r="G2664" s="202" t="str">
        <f t="shared" si="5"/>
        <v/>
      </c>
      <c r="H2664" s="202" t="str">
        <f t="shared" si="11"/>
        <v> </v>
      </c>
      <c r="I2664" s="205" t="str">
        <f t="shared" si="7"/>
        <v/>
      </c>
      <c r="J2664" s="205"/>
      <c r="K2664" s="205"/>
    </row>
    <row r="2665" ht="14.25" customHeight="1">
      <c r="A2665" s="55">
        <v>48320.0</v>
      </c>
      <c r="B2665" s="55" t="str">
        <f t="shared" si="10"/>
        <v>Primer dia</v>
      </c>
      <c r="C2665" s="202">
        <f t="shared" si="1"/>
        <v>16</v>
      </c>
      <c r="D2665" s="202" t="str">
        <f t="shared" si="2"/>
        <v> </v>
      </c>
      <c r="E2665" s="202" t="str">
        <f t="shared" si="9"/>
        <v> </v>
      </c>
      <c r="F2665" s="55" t="str">
        <f t="shared" si="4"/>
        <v/>
      </c>
      <c r="G2665" s="202" t="str">
        <f t="shared" si="5"/>
        <v/>
      </c>
      <c r="H2665" s="202" t="str">
        <f t="shared" si="11"/>
        <v> </v>
      </c>
      <c r="I2665" s="205" t="str">
        <f t="shared" si="7"/>
        <v/>
      </c>
      <c r="J2665" s="205"/>
      <c r="K2665" s="205"/>
    </row>
    <row r="2666" ht="14.25" customHeight="1">
      <c r="A2666" s="55">
        <v>48321.0</v>
      </c>
      <c r="B2666" s="55" t="str">
        <f t="shared" si="10"/>
        <v>Primer dia</v>
      </c>
      <c r="C2666" s="202">
        <f t="shared" si="1"/>
        <v>17</v>
      </c>
      <c r="D2666" s="202" t="str">
        <f t="shared" si="2"/>
        <v> </v>
      </c>
      <c r="E2666" s="202">
        <f t="shared" si="9"/>
        <v>17</v>
      </c>
      <c r="F2666" s="55">
        <f t="shared" si="4"/>
        <v>48321</v>
      </c>
      <c r="G2666" s="202">
        <f t="shared" si="5"/>
        <v>150</v>
      </c>
      <c r="H2666" s="202" t="str">
        <f t="shared" si="11"/>
        <v> </v>
      </c>
      <c r="I2666" s="205" t="str">
        <f t="shared" si="7"/>
        <v/>
      </c>
      <c r="J2666" s="205"/>
      <c r="K2666" s="205"/>
    </row>
    <row r="2667" ht="14.25" customHeight="1">
      <c r="A2667" s="55">
        <v>48322.0</v>
      </c>
      <c r="B2667" s="55" t="str">
        <f t="shared" si="10"/>
        <v>Primer dia</v>
      </c>
      <c r="C2667" s="202">
        <f t="shared" si="1"/>
        <v>18</v>
      </c>
      <c r="D2667" s="202" t="str">
        <f t="shared" si="2"/>
        <v> </v>
      </c>
      <c r="E2667" s="202" t="str">
        <f t="shared" si="9"/>
        <v> </v>
      </c>
      <c r="F2667" s="55" t="str">
        <f t="shared" si="4"/>
        <v/>
      </c>
      <c r="G2667" s="202" t="str">
        <f t="shared" si="5"/>
        <v/>
      </c>
      <c r="H2667" s="202" t="str">
        <f t="shared" si="11"/>
        <v> </v>
      </c>
      <c r="I2667" s="205" t="str">
        <f t="shared" si="7"/>
        <v/>
      </c>
      <c r="J2667" s="205"/>
      <c r="K2667" s="205"/>
    </row>
    <row r="2668" ht="14.25" customHeight="1">
      <c r="A2668" s="55">
        <v>48323.0</v>
      </c>
      <c r="B2668" s="55" t="str">
        <f t="shared" si="10"/>
        <v>Primer dia</v>
      </c>
      <c r="C2668" s="202">
        <f t="shared" si="1"/>
        <v>19</v>
      </c>
      <c r="D2668" s="202" t="str">
        <f t="shared" si="2"/>
        <v> </v>
      </c>
      <c r="E2668" s="202" t="str">
        <f t="shared" si="9"/>
        <v> </v>
      </c>
      <c r="F2668" s="55" t="str">
        <f t="shared" si="4"/>
        <v/>
      </c>
      <c r="G2668" s="202" t="str">
        <f t="shared" si="5"/>
        <v/>
      </c>
      <c r="H2668" s="202" t="str">
        <f t="shared" si="11"/>
        <v> </v>
      </c>
      <c r="I2668" s="205" t="str">
        <f t="shared" si="7"/>
        <v/>
      </c>
      <c r="J2668" s="205"/>
      <c r="K2668" s="205"/>
    </row>
    <row r="2669" ht="14.25" customHeight="1">
      <c r="A2669" s="55">
        <v>48324.0</v>
      </c>
      <c r="B2669" s="55" t="str">
        <f t="shared" si="10"/>
        <v>Primer dia</v>
      </c>
      <c r="C2669" s="202">
        <f t="shared" si="1"/>
        <v>20</v>
      </c>
      <c r="D2669" s="202" t="str">
        <f t="shared" si="2"/>
        <v> </v>
      </c>
      <c r="E2669" s="202" t="str">
        <f t="shared" si="9"/>
        <v> </v>
      </c>
      <c r="F2669" s="55" t="str">
        <f t="shared" si="4"/>
        <v/>
      </c>
      <c r="G2669" s="202" t="str">
        <f t="shared" si="5"/>
        <v/>
      </c>
      <c r="H2669" s="202" t="str">
        <f t="shared" si="11"/>
        <v> </v>
      </c>
      <c r="I2669" s="205" t="str">
        <f t="shared" si="7"/>
        <v/>
      </c>
      <c r="J2669" s="205"/>
      <c r="K2669" s="205"/>
    </row>
    <row r="2670" ht="14.25" customHeight="1">
      <c r="A2670" s="55">
        <v>48325.0</v>
      </c>
      <c r="B2670" s="55" t="str">
        <f t="shared" si="10"/>
        <v>Primer dia</v>
      </c>
      <c r="C2670" s="202">
        <f t="shared" si="1"/>
        <v>21</v>
      </c>
      <c r="D2670" s="202" t="str">
        <f t="shared" si="2"/>
        <v> </v>
      </c>
      <c r="E2670" s="202" t="str">
        <f t="shared" si="9"/>
        <v> </v>
      </c>
      <c r="F2670" s="55" t="str">
        <f t="shared" si="4"/>
        <v/>
      </c>
      <c r="G2670" s="202" t="str">
        <f t="shared" si="5"/>
        <v/>
      </c>
      <c r="H2670" s="202" t="str">
        <f t="shared" si="11"/>
        <v> </v>
      </c>
      <c r="I2670" s="205" t="str">
        <f t="shared" si="7"/>
        <v/>
      </c>
      <c r="J2670" s="205"/>
      <c r="K2670" s="205"/>
    </row>
    <row r="2671" ht="14.25" customHeight="1">
      <c r="A2671" s="55">
        <v>48326.0</v>
      </c>
      <c r="B2671" s="55" t="str">
        <f t="shared" si="10"/>
        <v>Primer dia</v>
      </c>
      <c r="C2671" s="202">
        <f t="shared" si="1"/>
        <v>22</v>
      </c>
      <c r="D2671" s="202" t="str">
        <f t="shared" si="2"/>
        <v> </v>
      </c>
      <c r="E2671" s="202" t="str">
        <f t="shared" si="9"/>
        <v> </v>
      </c>
      <c r="F2671" s="55" t="str">
        <f t="shared" si="4"/>
        <v/>
      </c>
      <c r="G2671" s="202" t="str">
        <f t="shared" si="5"/>
        <v/>
      </c>
      <c r="H2671" s="202" t="str">
        <f t="shared" si="11"/>
        <v> </v>
      </c>
      <c r="I2671" s="205" t="str">
        <f t="shared" si="7"/>
        <v/>
      </c>
      <c r="J2671" s="205"/>
      <c r="K2671" s="205"/>
    </row>
    <row r="2672" ht="14.25" customHeight="1">
      <c r="A2672" s="55">
        <v>48327.0</v>
      </c>
      <c r="B2672" s="55" t="str">
        <f t="shared" si="10"/>
        <v>Primer dia</v>
      </c>
      <c r="C2672" s="202">
        <f t="shared" si="1"/>
        <v>23</v>
      </c>
      <c r="D2672" s="202" t="str">
        <f t="shared" si="2"/>
        <v> </v>
      </c>
      <c r="E2672" s="202" t="str">
        <f t="shared" si="9"/>
        <v> </v>
      </c>
      <c r="F2672" s="55" t="str">
        <f t="shared" si="4"/>
        <v/>
      </c>
      <c r="G2672" s="202" t="str">
        <f t="shared" si="5"/>
        <v/>
      </c>
      <c r="H2672" s="202" t="str">
        <f t="shared" si="11"/>
        <v> </v>
      </c>
      <c r="I2672" s="205" t="str">
        <f t="shared" si="7"/>
        <v/>
      </c>
      <c r="J2672" s="205"/>
      <c r="K2672" s="205"/>
    </row>
    <row r="2673" ht="14.25" customHeight="1">
      <c r="A2673" s="55">
        <v>48328.0</v>
      </c>
      <c r="B2673" s="55" t="str">
        <f t="shared" si="10"/>
        <v>Primer dia</v>
      </c>
      <c r="C2673" s="202">
        <f t="shared" si="1"/>
        <v>24</v>
      </c>
      <c r="D2673" s="202" t="str">
        <f t="shared" si="2"/>
        <v> </v>
      </c>
      <c r="E2673" s="202" t="str">
        <f t="shared" si="9"/>
        <v> </v>
      </c>
      <c r="F2673" s="55" t="str">
        <f t="shared" si="4"/>
        <v/>
      </c>
      <c r="G2673" s="202" t="str">
        <f t="shared" si="5"/>
        <v/>
      </c>
      <c r="H2673" s="202" t="str">
        <f t="shared" si="11"/>
        <v> </v>
      </c>
      <c r="I2673" s="205" t="str">
        <f t="shared" si="7"/>
        <v/>
      </c>
      <c r="J2673" s="205"/>
      <c r="K2673" s="205"/>
    </row>
    <row r="2674" ht="14.25" customHeight="1">
      <c r="A2674" s="55">
        <v>48329.0</v>
      </c>
      <c r="B2674" s="55" t="str">
        <f t="shared" si="10"/>
        <v>Primer dia</v>
      </c>
      <c r="C2674" s="202">
        <f t="shared" si="1"/>
        <v>25</v>
      </c>
      <c r="D2674" s="202" t="str">
        <f t="shared" si="2"/>
        <v> </v>
      </c>
      <c r="E2674" s="202" t="str">
        <f t="shared" si="9"/>
        <v> </v>
      </c>
      <c r="F2674" s="55" t="str">
        <f t="shared" si="4"/>
        <v/>
      </c>
      <c r="G2674" s="202" t="str">
        <f t="shared" si="5"/>
        <v/>
      </c>
      <c r="H2674" s="202" t="str">
        <f t="shared" si="11"/>
        <v> </v>
      </c>
      <c r="I2674" s="205" t="str">
        <f t="shared" si="7"/>
        <v/>
      </c>
      <c r="J2674" s="205"/>
      <c r="K2674" s="205"/>
    </row>
    <row r="2675" ht="14.25" customHeight="1">
      <c r="A2675" s="55">
        <v>48330.0</v>
      </c>
      <c r="B2675" s="55" t="str">
        <f t="shared" si="10"/>
        <v>Primer dia</v>
      </c>
      <c r="C2675" s="202">
        <f t="shared" si="1"/>
        <v>26</v>
      </c>
      <c r="D2675" s="202" t="str">
        <f t="shared" si="2"/>
        <v> </v>
      </c>
      <c r="E2675" s="202" t="str">
        <f t="shared" si="9"/>
        <v> </v>
      </c>
      <c r="F2675" s="55" t="str">
        <f t="shared" si="4"/>
        <v/>
      </c>
      <c r="G2675" s="202" t="str">
        <f t="shared" si="5"/>
        <v/>
      </c>
      <c r="H2675" s="202" t="str">
        <f t="shared" si="11"/>
        <v> </v>
      </c>
      <c r="I2675" s="205" t="str">
        <f t="shared" si="7"/>
        <v/>
      </c>
      <c r="J2675" s="205"/>
      <c r="K2675" s="205"/>
    </row>
    <row r="2676" ht="14.25" customHeight="1">
      <c r="A2676" s="55">
        <v>48331.0</v>
      </c>
      <c r="B2676" s="55" t="str">
        <f t="shared" si="10"/>
        <v>Primer dia</v>
      </c>
      <c r="C2676" s="202">
        <f t="shared" si="1"/>
        <v>27</v>
      </c>
      <c r="D2676" s="202" t="str">
        <f t="shared" si="2"/>
        <v> </v>
      </c>
      <c r="E2676" s="202" t="str">
        <f t="shared" si="9"/>
        <v> </v>
      </c>
      <c r="F2676" s="55" t="str">
        <f t="shared" si="4"/>
        <v/>
      </c>
      <c r="G2676" s="202" t="str">
        <f t="shared" si="5"/>
        <v/>
      </c>
      <c r="H2676" s="202" t="str">
        <f t="shared" si="11"/>
        <v> </v>
      </c>
      <c r="I2676" s="205" t="str">
        <f t="shared" si="7"/>
        <v/>
      </c>
      <c r="J2676" s="205"/>
      <c r="K2676" s="205"/>
    </row>
    <row r="2677" ht="14.25" customHeight="1">
      <c r="A2677" s="55">
        <v>48332.0</v>
      </c>
      <c r="B2677" s="55" t="str">
        <f t="shared" si="10"/>
        <v>Primer dia</v>
      </c>
      <c r="C2677" s="202">
        <f t="shared" si="1"/>
        <v>28</v>
      </c>
      <c r="D2677" s="202" t="str">
        <f t="shared" si="2"/>
        <v> </v>
      </c>
      <c r="E2677" s="202" t="str">
        <f t="shared" si="9"/>
        <v> </v>
      </c>
      <c r="F2677" s="55" t="str">
        <f t="shared" si="4"/>
        <v/>
      </c>
      <c r="G2677" s="202" t="str">
        <f t="shared" si="5"/>
        <v/>
      </c>
      <c r="H2677" s="202" t="str">
        <f t="shared" si="11"/>
        <v> </v>
      </c>
      <c r="I2677" s="205" t="str">
        <f t="shared" si="7"/>
        <v/>
      </c>
      <c r="J2677" s="205"/>
      <c r="K2677" s="205"/>
    </row>
    <row r="2678" ht="14.25" customHeight="1">
      <c r="A2678" s="55">
        <v>48333.0</v>
      </c>
      <c r="B2678" s="55" t="str">
        <f t="shared" si="10"/>
        <v>Primer dia</v>
      </c>
      <c r="C2678" s="202">
        <f t="shared" si="1"/>
        <v>29</v>
      </c>
      <c r="D2678" s="202" t="str">
        <f t="shared" si="2"/>
        <v> </v>
      </c>
      <c r="E2678" s="202" t="str">
        <f t="shared" si="9"/>
        <v> </v>
      </c>
      <c r="F2678" s="55" t="str">
        <f t="shared" si="4"/>
        <v/>
      </c>
      <c r="G2678" s="202" t="str">
        <f t="shared" si="5"/>
        <v/>
      </c>
      <c r="H2678" s="202" t="str">
        <f t="shared" si="11"/>
        <v> </v>
      </c>
      <c r="I2678" s="205" t="str">
        <f t="shared" si="7"/>
        <v/>
      </c>
      <c r="J2678" s="205"/>
      <c r="K2678" s="205"/>
    </row>
    <row r="2679" ht="14.25" customHeight="1">
      <c r="A2679" s="55">
        <v>48334.0</v>
      </c>
      <c r="B2679" s="55" t="str">
        <f t="shared" si="10"/>
        <v>Primer dia</v>
      </c>
      <c r="C2679" s="202">
        <f t="shared" si="1"/>
        <v>30</v>
      </c>
      <c r="D2679" s="202" t="str">
        <f t="shared" si="2"/>
        <v> </v>
      </c>
      <c r="E2679" s="202" t="str">
        <f t="shared" si="9"/>
        <v> </v>
      </c>
      <c r="F2679" s="55" t="str">
        <f t="shared" si="4"/>
        <v/>
      </c>
      <c r="G2679" s="202" t="str">
        <f t="shared" si="5"/>
        <v/>
      </c>
      <c r="H2679" s="202" t="str">
        <f t="shared" si="11"/>
        <v> </v>
      </c>
      <c r="I2679" s="205" t="str">
        <f t="shared" si="7"/>
        <v/>
      </c>
      <c r="J2679" s="205"/>
      <c r="K2679" s="205"/>
    </row>
    <row r="2680" ht="14.25" customHeight="1">
      <c r="A2680" s="55">
        <v>48335.0</v>
      </c>
      <c r="B2680" s="55" t="str">
        <f t="shared" si="10"/>
        <v>Primer dia</v>
      </c>
      <c r="C2680" s="202">
        <f t="shared" si="1"/>
        <v>1</v>
      </c>
      <c r="D2680" s="202" t="str">
        <f t="shared" si="2"/>
        <v> </v>
      </c>
      <c r="E2680" s="202" t="str">
        <f t="shared" si="9"/>
        <v> </v>
      </c>
      <c r="F2680" s="55" t="str">
        <f t="shared" si="4"/>
        <v/>
      </c>
      <c r="G2680" s="202" t="str">
        <f t="shared" si="5"/>
        <v/>
      </c>
      <c r="H2680" s="202" t="str">
        <f t="shared" si="11"/>
        <v> </v>
      </c>
      <c r="I2680" s="205" t="str">
        <f t="shared" si="7"/>
        <v/>
      </c>
      <c r="J2680" s="205"/>
      <c r="K2680" s="205"/>
    </row>
    <row r="2681" ht="14.25" customHeight="1">
      <c r="A2681" s="55">
        <v>48336.0</v>
      </c>
      <c r="B2681" s="55" t="str">
        <f t="shared" si="10"/>
        <v>Primer dia</v>
      </c>
      <c r="C2681" s="202">
        <f t="shared" si="1"/>
        <v>2</v>
      </c>
      <c r="D2681" s="202" t="str">
        <f t="shared" si="2"/>
        <v> </v>
      </c>
      <c r="E2681" s="202">
        <f t="shared" si="9"/>
        <v>2</v>
      </c>
      <c r="F2681" s="55">
        <f t="shared" si="4"/>
        <v>48336</v>
      </c>
      <c r="G2681" s="202">
        <f t="shared" si="5"/>
        <v>151</v>
      </c>
      <c r="H2681" s="202" t="str">
        <f t="shared" si="11"/>
        <v> </v>
      </c>
      <c r="I2681" s="205" t="str">
        <f t="shared" si="7"/>
        <v/>
      </c>
      <c r="J2681" s="205"/>
      <c r="K2681" s="205"/>
    </row>
    <row r="2682" ht="14.25" customHeight="1">
      <c r="A2682" s="55">
        <v>48337.0</v>
      </c>
      <c r="B2682" s="55" t="str">
        <f t="shared" si="10"/>
        <v>Primer dia</v>
      </c>
      <c r="C2682" s="202">
        <f t="shared" si="1"/>
        <v>3</v>
      </c>
      <c r="D2682" s="202" t="str">
        <f t="shared" si="2"/>
        <v> </v>
      </c>
      <c r="E2682" s="202" t="str">
        <f t="shared" si="9"/>
        <v> </v>
      </c>
      <c r="F2682" s="55" t="str">
        <f t="shared" si="4"/>
        <v/>
      </c>
      <c r="G2682" s="202" t="str">
        <f t="shared" si="5"/>
        <v/>
      </c>
      <c r="H2682" s="202" t="str">
        <f t="shared" si="11"/>
        <v> </v>
      </c>
      <c r="I2682" s="205" t="str">
        <f t="shared" si="7"/>
        <v/>
      </c>
      <c r="J2682" s="205"/>
      <c r="K2682" s="205"/>
    </row>
    <row r="2683" ht="14.25" customHeight="1">
      <c r="A2683" s="55">
        <v>48338.0</v>
      </c>
      <c r="B2683" s="55" t="str">
        <f t="shared" si="10"/>
        <v>Primer dia</v>
      </c>
      <c r="C2683" s="202">
        <f t="shared" si="1"/>
        <v>4</v>
      </c>
      <c r="D2683" s="202" t="str">
        <f t="shared" si="2"/>
        <v> </v>
      </c>
      <c r="E2683" s="202" t="str">
        <f t="shared" si="9"/>
        <v> </v>
      </c>
      <c r="F2683" s="55" t="str">
        <f t="shared" si="4"/>
        <v/>
      </c>
      <c r="G2683" s="202" t="str">
        <f t="shared" si="5"/>
        <v/>
      </c>
      <c r="H2683" s="202" t="str">
        <f t="shared" si="11"/>
        <v> </v>
      </c>
      <c r="I2683" s="205" t="str">
        <f t="shared" si="7"/>
        <v/>
      </c>
      <c r="J2683" s="205"/>
      <c r="K2683" s="205"/>
    </row>
    <row r="2684" ht="14.25" customHeight="1">
      <c r="A2684" s="55">
        <v>48339.0</v>
      </c>
      <c r="B2684" s="55" t="str">
        <f t="shared" si="10"/>
        <v>Primer dia</v>
      </c>
      <c r="C2684" s="202">
        <f t="shared" si="1"/>
        <v>5</v>
      </c>
      <c r="D2684" s="202" t="str">
        <f t="shared" si="2"/>
        <v> </v>
      </c>
      <c r="E2684" s="202" t="str">
        <f t="shared" si="9"/>
        <v> </v>
      </c>
      <c r="F2684" s="55" t="str">
        <f t="shared" si="4"/>
        <v/>
      </c>
      <c r="G2684" s="202" t="str">
        <f t="shared" si="5"/>
        <v/>
      </c>
      <c r="H2684" s="202" t="str">
        <f t="shared" si="11"/>
        <v> </v>
      </c>
      <c r="I2684" s="205" t="str">
        <f t="shared" si="7"/>
        <v/>
      </c>
      <c r="J2684" s="205"/>
      <c r="K2684" s="205"/>
    </row>
    <row r="2685" ht="14.25" customHeight="1">
      <c r="A2685" s="55">
        <v>48340.0</v>
      </c>
      <c r="B2685" s="55" t="str">
        <f t="shared" si="10"/>
        <v>Primer dia</v>
      </c>
      <c r="C2685" s="202">
        <f t="shared" si="1"/>
        <v>6</v>
      </c>
      <c r="D2685" s="202" t="str">
        <f t="shared" si="2"/>
        <v> </v>
      </c>
      <c r="E2685" s="202" t="str">
        <f t="shared" si="9"/>
        <v> </v>
      </c>
      <c r="F2685" s="55" t="str">
        <f t="shared" si="4"/>
        <v/>
      </c>
      <c r="G2685" s="202" t="str">
        <f t="shared" si="5"/>
        <v/>
      </c>
      <c r="H2685" s="202" t="str">
        <f t="shared" si="11"/>
        <v> </v>
      </c>
      <c r="I2685" s="205" t="str">
        <f t="shared" si="7"/>
        <v/>
      </c>
      <c r="J2685" s="205"/>
      <c r="K2685" s="205"/>
    </row>
    <row r="2686" ht="14.25" customHeight="1">
      <c r="A2686" s="55">
        <v>48341.0</v>
      </c>
      <c r="B2686" s="55" t="str">
        <f t="shared" si="10"/>
        <v>Primer dia</v>
      </c>
      <c r="C2686" s="202">
        <f t="shared" si="1"/>
        <v>7</v>
      </c>
      <c r="D2686" s="202" t="str">
        <f t="shared" si="2"/>
        <v> </v>
      </c>
      <c r="E2686" s="202" t="str">
        <f t="shared" si="9"/>
        <v> </v>
      </c>
      <c r="F2686" s="55" t="str">
        <f t="shared" si="4"/>
        <v/>
      </c>
      <c r="G2686" s="202" t="str">
        <f t="shared" si="5"/>
        <v/>
      </c>
      <c r="H2686" s="202" t="str">
        <f t="shared" si="11"/>
        <v> </v>
      </c>
      <c r="I2686" s="205" t="str">
        <f t="shared" si="7"/>
        <v/>
      </c>
      <c r="J2686" s="205"/>
      <c r="K2686" s="205"/>
    </row>
    <row r="2687" ht="14.25" customHeight="1">
      <c r="A2687" s="55">
        <v>48342.0</v>
      </c>
      <c r="B2687" s="55" t="str">
        <f t="shared" si="10"/>
        <v>Primer dia</v>
      </c>
      <c r="C2687" s="202">
        <f t="shared" si="1"/>
        <v>8</v>
      </c>
      <c r="D2687" s="202" t="str">
        <f t="shared" si="2"/>
        <v> </v>
      </c>
      <c r="E2687" s="202" t="str">
        <f t="shared" si="9"/>
        <v> </v>
      </c>
      <c r="F2687" s="55" t="str">
        <f t="shared" si="4"/>
        <v/>
      </c>
      <c r="G2687" s="202" t="str">
        <f t="shared" si="5"/>
        <v/>
      </c>
      <c r="H2687" s="202" t="str">
        <f t="shared" si="11"/>
        <v> </v>
      </c>
      <c r="I2687" s="205" t="str">
        <f t="shared" si="7"/>
        <v/>
      </c>
      <c r="J2687" s="205"/>
      <c r="K2687" s="205"/>
    </row>
    <row r="2688" ht="14.25" customHeight="1">
      <c r="A2688" s="55">
        <v>48343.0</v>
      </c>
      <c r="B2688" s="55" t="str">
        <f t="shared" si="10"/>
        <v>Primer dia</v>
      </c>
      <c r="C2688" s="202">
        <f t="shared" si="1"/>
        <v>9</v>
      </c>
      <c r="D2688" s="202" t="str">
        <f t="shared" si="2"/>
        <v> </v>
      </c>
      <c r="E2688" s="202" t="str">
        <f t="shared" si="9"/>
        <v> </v>
      </c>
      <c r="F2688" s="55" t="str">
        <f t="shared" si="4"/>
        <v/>
      </c>
      <c r="G2688" s="202" t="str">
        <f t="shared" si="5"/>
        <v/>
      </c>
      <c r="H2688" s="202" t="str">
        <f t="shared" si="11"/>
        <v> </v>
      </c>
      <c r="I2688" s="205" t="str">
        <f t="shared" si="7"/>
        <v/>
      </c>
      <c r="J2688" s="205"/>
      <c r="K2688" s="205"/>
    </row>
    <row r="2689" ht="14.25" customHeight="1">
      <c r="A2689" s="55">
        <v>48344.0</v>
      </c>
      <c r="B2689" s="55" t="str">
        <f t="shared" si="10"/>
        <v>Primer dia</v>
      </c>
      <c r="C2689" s="202">
        <f t="shared" si="1"/>
        <v>10</v>
      </c>
      <c r="D2689" s="202" t="str">
        <f t="shared" si="2"/>
        <v> </v>
      </c>
      <c r="E2689" s="202" t="str">
        <f t="shared" si="9"/>
        <v> </v>
      </c>
      <c r="F2689" s="55" t="str">
        <f t="shared" si="4"/>
        <v/>
      </c>
      <c r="G2689" s="202" t="str">
        <f t="shared" si="5"/>
        <v/>
      </c>
      <c r="H2689" s="202" t="str">
        <f t="shared" si="11"/>
        <v> </v>
      </c>
      <c r="I2689" s="205" t="str">
        <f t="shared" si="7"/>
        <v/>
      </c>
      <c r="J2689" s="205"/>
      <c r="K2689" s="205"/>
    </row>
    <row r="2690" ht="14.25" customHeight="1">
      <c r="A2690" s="55">
        <v>48345.0</v>
      </c>
      <c r="B2690" s="55" t="str">
        <f t="shared" si="10"/>
        <v>Primer dia</v>
      </c>
      <c r="C2690" s="202">
        <f t="shared" si="1"/>
        <v>11</v>
      </c>
      <c r="D2690" s="202" t="str">
        <f t="shared" si="2"/>
        <v> </v>
      </c>
      <c r="E2690" s="202" t="str">
        <f t="shared" si="9"/>
        <v> </v>
      </c>
      <c r="F2690" s="55" t="str">
        <f t="shared" si="4"/>
        <v/>
      </c>
      <c r="G2690" s="202" t="str">
        <f t="shared" si="5"/>
        <v/>
      </c>
      <c r="H2690" s="202" t="str">
        <f t="shared" si="11"/>
        <v> </v>
      </c>
      <c r="I2690" s="205" t="str">
        <f t="shared" si="7"/>
        <v/>
      </c>
      <c r="J2690" s="205"/>
      <c r="K2690" s="205"/>
    </row>
    <row r="2691" ht="14.25" customHeight="1">
      <c r="A2691" s="55">
        <v>48346.0</v>
      </c>
      <c r="B2691" s="55" t="str">
        <f t="shared" si="10"/>
        <v>Primer dia</v>
      </c>
      <c r="C2691" s="202">
        <f t="shared" si="1"/>
        <v>12</v>
      </c>
      <c r="D2691" s="202" t="str">
        <f t="shared" si="2"/>
        <v> </v>
      </c>
      <c r="E2691" s="202" t="str">
        <f t="shared" si="9"/>
        <v> </v>
      </c>
      <c r="F2691" s="55" t="str">
        <f t="shared" si="4"/>
        <v/>
      </c>
      <c r="G2691" s="202" t="str">
        <f t="shared" si="5"/>
        <v/>
      </c>
      <c r="H2691" s="202" t="str">
        <f t="shared" si="11"/>
        <v> </v>
      </c>
      <c r="I2691" s="205" t="str">
        <f t="shared" si="7"/>
        <v/>
      </c>
      <c r="J2691" s="205"/>
      <c r="K2691" s="205"/>
    </row>
    <row r="2692" ht="14.25" customHeight="1">
      <c r="A2692" s="55">
        <v>48347.0</v>
      </c>
      <c r="B2692" s="55" t="str">
        <f t="shared" si="10"/>
        <v>Primer dia</v>
      </c>
      <c r="C2692" s="202">
        <f t="shared" si="1"/>
        <v>13</v>
      </c>
      <c r="D2692" s="202" t="str">
        <f t="shared" si="2"/>
        <v> </v>
      </c>
      <c r="E2692" s="202" t="str">
        <f t="shared" si="9"/>
        <v> </v>
      </c>
      <c r="F2692" s="55" t="str">
        <f t="shared" si="4"/>
        <v/>
      </c>
      <c r="G2692" s="202" t="str">
        <f t="shared" si="5"/>
        <v/>
      </c>
      <c r="H2692" s="202" t="str">
        <f t="shared" si="11"/>
        <v> </v>
      </c>
      <c r="I2692" s="205" t="str">
        <f t="shared" si="7"/>
        <v/>
      </c>
      <c r="J2692" s="205"/>
      <c r="K2692" s="205"/>
    </row>
    <row r="2693" ht="14.25" customHeight="1">
      <c r="A2693" s="55">
        <v>48348.0</v>
      </c>
      <c r="B2693" s="55" t="str">
        <f t="shared" si="10"/>
        <v>Primer dia</v>
      </c>
      <c r="C2693" s="202">
        <f t="shared" si="1"/>
        <v>14</v>
      </c>
      <c r="D2693" s="202" t="str">
        <f t="shared" si="2"/>
        <v> </v>
      </c>
      <c r="E2693" s="202" t="str">
        <f t="shared" si="9"/>
        <v> </v>
      </c>
      <c r="F2693" s="55" t="str">
        <f t="shared" si="4"/>
        <v/>
      </c>
      <c r="G2693" s="202" t="str">
        <f t="shared" si="5"/>
        <v/>
      </c>
      <c r="H2693" s="202" t="str">
        <f t="shared" si="11"/>
        <v> </v>
      </c>
      <c r="I2693" s="205" t="str">
        <f t="shared" si="7"/>
        <v/>
      </c>
      <c r="J2693" s="205"/>
      <c r="K2693" s="205"/>
    </row>
    <row r="2694" ht="14.25" customHeight="1">
      <c r="A2694" s="55">
        <v>48349.0</v>
      </c>
      <c r="B2694" s="55" t="str">
        <f t="shared" si="10"/>
        <v>Primer dia</v>
      </c>
      <c r="C2694" s="202">
        <f t="shared" si="1"/>
        <v>15</v>
      </c>
      <c r="D2694" s="202" t="str">
        <f t="shared" si="2"/>
        <v> </v>
      </c>
      <c r="E2694" s="202" t="str">
        <f t="shared" si="9"/>
        <v> </v>
      </c>
      <c r="F2694" s="55" t="str">
        <f t="shared" si="4"/>
        <v/>
      </c>
      <c r="G2694" s="202" t="str">
        <f t="shared" si="5"/>
        <v/>
      </c>
      <c r="H2694" s="202" t="str">
        <f t="shared" si="11"/>
        <v> </v>
      </c>
      <c r="I2694" s="205" t="str">
        <f t="shared" si="7"/>
        <v/>
      </c>
      <c r="J2694" s="205"/>
      <c r="K2694" s="205"/>
    </row>
    <row r="2695" ht="14.25" customHeight="1">
      <c r="A2695" s="55">
        <v>48350.0</v>
      </c>
      <c r="B2695" s="55" t="str">
        <f t="shared" si="10"/>
        <v>Primer dia</v>
      </c>
      <c r="C2695" s="202">
        <f t="shared" si="1"/>
        <v>16</v>
      </c>
      <c r="D2695" s="202" t="str">
        <f t="shared" si="2"/>
        <v> </v>
      </c>
      <c r="E2695" s="202" t="str">
        <f t="shared" si="9"/>
        <v> </v>
      </c>
      <c r="F2695" s="55" t="str">
        <f t="shared" si="4"/>
        <v/>
      </c>
      <c r="G2695" s="202" t="str">
        <f t="shared" si="5"/>
        <v/>
      </c>
      <c r="H2695" s="202" t="str">
        <f t="shared" si="11"/>
        <v> </v>
      </c>
      <c r="I2695" s="205" t="str">
        <f t="shared" si="7"/>
        <v/>
      </c>
      <c r="J2695" s="205"/>
      <c r="K2695" s="205"/>
    </row>
    <row r="2696" ht="14.25" customHeight="1">
      <c r="A2696" s="55">
        <v>48351.0</v>
      </c>
      <c r="B2696" s="55" t="str">
        <f t="shared" si="10"/>
        <v>Primer dia</v>
      </c>
      <c r="C2696" s="202">
        <f t="shared" si="1"/>
        <v>17</v>
      </c>
      <c r="D2696" s="202" t="str">
        <f t="shared" si="2"/>
        <v> </v>
      </c>
      <c r="E2696" s="202">
        <f t="shared" si="9"/>
        <v>17</v>
      </c>
      <c r="F2696" s="55">
        <f t="shared" si="4"/>
        <v>48351</v>
      </c>
      <c r="G2696" s="202">
        <f t="shared" si="5"/>
        <v>152</v>
      </c>
      <c r="H2696" s="202" t="str">
        <f t="shared" si="11"/>
        <v> </v>
      </c>
      <c r="I2696" s="205" t="str">
        <f t="shared" si="7"/>
        <v/>
      </c>
      <c r="J2696" s="205"/>
      <c r="K2696" s="205"/>
    </row>
    <row r="2697" ht="14.25" customHeight="1">
      <c r="A2697" s="55">
        <v>48352.0</v>
      </c>
      <c r="B2697" s="55" t="str">
        <f t="shared" si="10"/>
        <v>Primer dia</v>
      </c>
      <c r="C2697" s="202">
        <f t="shared" si="1"/>
        <v>18</v>
      </c>
      <c r="D2697" s="202" t="str">
        <f t="shared" si="2"/>
        <v> </v>
      </c>
      <c r="E2697" s="202" t="str">
        <f t="shared" si="9"/>
        <v> </v>
      </c>
      <c r="F2697" s="55" t="str">
        <f t="shared" si="4"/>
        <v/>
      </c>
      <c r="G2697" s="202" t="str">
        <f t="shared" si="5"/>
        <v/>
      </c>
      <c r="H2697" s="202" t="str">
        <f t="shared" si="11"/>
        <v> </v>
      </c>
      <c r="I2697" s="205" t="str">
        <f t="shared" si="7"/>
        <v/>
      </c>
      <c r="J2697" s="205"/>
      <c r="K2697" s="205"/>
    </row>
    <row r="2698" ht="14.25" customHeight="1">
      <c r="A2698" s="55">
        <v>48353.0</v>
      </c>
      <c r="B2698" s="55" t="str">
        <f t="shared" si="10"/>
        <v>Primer dia</v>
      </c>
      <c r="C2698" s="202">
        <f t="shared" si="1"/>
        <v>19</v>
      </c>
      <c r="D2698" s="202" t="str">
        <f t="shared" si="2"/>
        <v> </v>
      </c>
      <c r="E2698" s="202" t="str">
        <f t="shared" si="9"/>
        <v> </v>
      </c>
      <c r="F2698" s="55" t="str">
        <f t="shared" si="4"/>
        <v/>
      </c>
      <c r="G2698" s="202" t="str">
        <f t="shared" si="5"/>
        <v/>
      </c>
      <c r="H2698" s="202" t="str">
        <f t="shared" si="11"/>
        <v> </v>
      </c>
      <c r="I2698" s="205" t="str">
        <f t="shared" si="7"/>
        <v/>
      </c>
      <c r="J2698" s="205"/>
      <c r="K2698" s="205"/>
    </row>
    <row r="2699" ht="14.25" customHeight="1">
      <c r="A2699" s="55">
        <v>48354.0</v>
      </c>
      <c r="B2699" s="55" t="str">
        <f t="shared" si="10"/>
        <v>Primer dia</v>
      </c>
      <c r="C2699" s="202">
        <f t="shared" si="1"/>
        <v>20</v>
      </c>
      <c r="D2699" s="202" t="str">
        <f t="shared" si="2"/>
        <v> </v>
      </c>
      <c r="E2699" s="202" t="str">
        <f t="shared" si="9"/>
        <v> </v>
      </c>
      <c r="F2699" s="55" t="str">
        <f t="shared" si="4"/>
        <v/>
      </c>
      <c r="G2699" s="202" t="str">
        <f t="shared" si="5"/>
        <v/>
      </c>
      <c r="H2699" s="202" t="str">
        <f t="shared" si="11"/>
        <v> </v>
      </c>
      <c r="I2699" s="205" t="str">
        <f t="shared" si="7"/>
        <v/>
      </c>
      <c r="J2699" s="205"/>
      <c r="K2699" s="205"/>
    </row>
    <row r="2700" ht="14.25" customHeight="1">
      <c r="A2700" s="55">
        <v>48355.0</v>
      </c>
      <c r="B2700" s="55" t="str">
        <f t="shared" si="10"/>
        <v>Primer dia</v>
      </c>
      <c r="C2700" s="202">
        <f t="shared" si="1"/>
        <v>21</v>
      </c>
      <c r="D2700" s="202" t="str">
        <f t="shared" si="2"/>
        <v> </v>
      </c>
      <c r="E2700" s="202" t="str">
        <f t="shared" si="9"/>
        <v> </v>
      </c>
      <c r="F2700" s="55" t="str">
        <f t="shared" si="4"/>
        <v/>
      </c>
      <c r="G2700" s="202" t="str">
        <f t="shared" si="5"/>
        <v/>
      </c>
      <c r="H2700" s="202" t="str">
        <f t="shared" si="11"/>
        <v> </v>
      </c>
      <c r="I2700" s="205" t="str">
        <f t="shared" si="7"/>
        <v/>
      </c>
      <c r="J2700" s="205"/>
      <c r="K2700" s="205"/>
    </row>
    <row r="2701" ht="14.25" customHeight="1">
      <c r="A2701" s="55">
        <v>48356.0</v>
      </c>
      <c r="B2701" s="55" t="str">
        <f t="shared" si="10"/>
        <v>Primer dia</v>
      </c>
      <c r="C2701" s="202">
        <f t="shared" si="1"/>
        <v>22</v>
      </c>
      <c r="D2701" s="202" t="str">
        <f t="shared" si="2"/>
        <v> </v>
      </c>
      <c r="E2701" s="202" t="str">
        <f t="shared" si="9"/>
        <v> </v>
      </c>
      <c r="F2701" s="55" t="str">
        <f t="shared" si="4"/>
        <v/>
      </c>
      <c r="G2701" s="202" t="str">
        <f t="shared" si="5"/>
        <v/>
      </c>
      <c r="H2701" s="202" t="str">
        <f t="shared" si="11"/>
        <v> </v>
      </c>
      <c r="I2701" s="205" t="str">
        <f t="shared" si="7"/>
        <v/>
      </c>
      <c r="J2701" s="205"/>
      <c r="K2701" s="205"/>
    </row>
    <row r="2702" ht="14.25" customHeight="1">
      <c r="A2702" s="55">
        <v>48357.0</v>
      </c>
      <c r="B2702" s="55" t="str">
        <f t="shared" si="10"/>
        <v>Primer dia</v>
      </c>
      <c r="C2702" s="202">
        <f t="shared" si="1"/>
        <v>23</v>
      </c>
      <c r="D2702" s="202" t="str">
        <f t="shared" si="2"/>
        <v> </v>
      </c>
      <c r="E2702" s="202" t="str">
        <f t="shared" si="9"/>
        <v> </v>
      </c>
      <c r="F2702" s="55" t="str">
        <f t="shared" si="4"/>
        <v/>
      </c>
      <c r="G2702" s="202" t="str">
        <f t="shared" si="5"/>
        <v/>
      </c>
      <c r="H2702" s="202" t="str">
        <f t="shared" si="11"/>
        <v> </v>
      </c>
      <c r="I2702" s="205" t="str">
        <f t="shared" si="7"/>
        <v/>
      </c>
      <c r="J2702" s="205"/>
      <c r="K2702" s="205"/>
    </row>
    <row r="2703" ht="14.25" customHeight="1">
      <c r="A2703" s="55">
        <v>48358.0</v>
      </c>
      <c r="B2703" s="55" t="str">
        <f t="shared" si="10"/>
        <v>Primer dia</v>
      </c>
      <c r="C2703" s="202">
        <f t="shared" si="1"/>
        <v>24</v>
      </c>
      <c r="D2703" s="202" t="str">
        <f t="shared" si="2"/>
        <v> </v>
      </c>
      <c r="E2703" s="202" t="str">
        <f t="shared" si="9"/>
        <v> </v>
      </c>
      <c r="F2703" s="55" t="str">
        <f t="shared" si="4"/>
        <v/>
      </c>
      <c r="G2703" s="202" t="str">
        <f t="shared" si="5"/>
        <v/>
      </c>
      <c r="H2703" s="202" t="str">
        <f t="shared" si="11"/>
        <v> </v>
      </c>
      <c r="I2703" s="205" t="str">
        <f t="shared" si="7"/>
        <v/>
      </c>
      <c r="J2703" s="205"/>
      <c r="K2703" s="205"/>
    </row>
    <row r="2704" ht="14.25" customHeight="1">
      <c r="A2704" s="55">
        <v>48359.0</v>
      </c>
      <c r="B2704" s="55" t="str">
        <f t="shared" si="10"/>
        <v>Primer dia</v>
      </c>
      <c r="C2704" s="202">
        <f t="shared" si="1"/>
        <v>25</v>
      </c>
      <c r="D2704" s="202" t="str">
        <f t="shared" si="2"/>
        <v> </v>
      </c>
      <c r="E2704" s="202" t="str">
        <f t="shared" si="9"/>
        <v> </v>
      </c>
      <c r="F2704" s="55" t="str">
        <f t="shared" si="4"/>
        <v/>
      </c>
      <c r="G2704" s="202" t="str">
        <f t="shared" si="5"/>
        <v/>
      </c>
      <c r="H2704" s="202" t="str">
        <f t="shared" si="11"/>
        <v> </v>
      </c>
      <c r="I2704" s="205" t="str">
        <f t="shared" si="7"/>
        <v/>
      </c>
      <c r="J2704" s="205"/>
      <c r="K2704" s="205"/>
    </row>
    <row r="2705" ht="14.25" customHeight="1">
      <c r="A2705" s="55">
        <v>48360.0</v>
      </c>
      <c r="B2705" s="55" t="str">
        <f t="shared" si="10"/>
        <v>Primer dia</v>
      </c>
      <c r="C2705" s="202">
        <f t="shared" si="1"/>
        <v>26</v>
      </c>
      <c r="D2705" s="202" t="str">
        <f t="shared" si="2"/>
        <v> </v>
      </c>
      <c r="E2705" s="202" t="str">
        <f t="shared" si="9"/>
        <v> </v>
      </c>
      <c r="F2705" s="55" t="str">
        <f t="shared" si="4"/>
        <v/>
      </c>
      <c r="G2705" s="202" t="str">
        <f t="shared" si="5"/>
        <v/>
      </c>
      <c r="H2705" s="202" t="str">
        <f t="shared" si="11"/>
        <v> </v>
      </c>
      <c r="I2705" s="205" t="str">
        <f t="shared" si="7"/>
        <v/>
      </c>
      <c r="J2705" s="205"/>
      <c r="K2705" s="205"/>
    </row>
    <row r="2706" ht="14.25" customHeight="1">
      <c r="A2706" s="55">
        <v>48361.0</v>
      </c>
      <c r="B2706" s="55" t="str">
        <f t="shared" si="10"/>
        <v>Primer dia</v>
      </c>
      <c r="C2706" s="202">
        <f t="shared" si="1"/>
        <v>27</v>
      </c>
      <c r="D2706" s="202" t="str">
        <f t="shared" si="2"/>
        <v> </v>
      </c>
      <c r="E2706" s="202" t="str">
        <f t="shared" si="9"/>
        <v> </v>
      </c>
      <c r="F2706" s="55" t="str">
        <f t="shared" si="4"/>
        <v/>
      </c>
      <c r="G2706" s="202" t="str">
        <f t="shared" si="5"/>
        <v/>
      </c>
      <c r="H2706" s="202" t="str">
        <f t="shared" si="11"/>
        <v> </v>
      </c>
      <c r="I2706" s="205" t="str">
        <f t="shared" si="7"/>
        <v/>
      </c>
      <c r="J2706" s="205"/>
      <c r="K2706" s="205"/>
    </row>
    <row r="2707" ht="14.25" customHeight="1">
      <c r="A2707" s="55">
        <v>48362.0</v>
      </c>
      <c r="B2707" s="55" t="str">
        <f t="shared" si="10"/>
        <v>Primer dia</v>
      </c>
      <c r="C2707" s="202">
        <f t="shared" si="1"/>
        <v>28</v>
      </c>
      <c r="D2707" s="202" t="str">
        <f t="shared" si="2"/>
        <v> </v>
      </c>
      <c r="E2707" s="202" t="str">
        <f t="shared" si="9"/>
        <v> </v>
      </c>
      <c r="F2707" s="55" t="str">
        <f t="shared" si="4"/>
        <v/>
      </c>
      <c r="G2707" s="202" t="str">
        <f t="shared" si="5"/>
        <v/>
      </c>
      <c r="H2707" s="202" t="str">
        <f t="shared" si="11"/>
        <v> </v>
      </c>
      <c r="I2707" s="205" t="str">
        <f t="shared" si="7"/>
        <v/>
      </c>
      <c r="J2707" s="205"/>
      <c r="K2707" s="205"/>
    </row>
    <row r="2708" ht="14.25" customHeight="1">
      <c r="A2708" s="55">
        <v>48363.0</v>
      </c>
      <c r="B2708" s="55" t="str">
        <f t="shared" si="10"/>
        <v>Primer dia</v>
      </c>
      <c r="C2708" s="202">
        <f t="shared" si="1"/>
        <v>29</v>
      </c>
      <c r="D2708" s="202" t="str">
        <f t="shared" si="2"/>
        <v> </v>
      </c>
      <c r="E2708" s="202" t="str">
        <f t="shared" si="9"/>
        <v> </v>
      </c>
      <c r="F2708" s="55" t="str">
        <f t="shared" si="4"/>
        <v/>
      </c>
      <c r="G2708" s="202" t="str">
        <f t="shared" si="5"/>
        <v/>
      </c>
      <c r="H2708" s="202" t="str">
        <f t="shared" si="11"/>
        <v> </v>
      </c>
      <c r="I2708" s="205" t="str">
        <f t="shared" si="7"/>
        <v/>
      </c>
      <c r="J2708" s="205"/>
      <c r="K2708" s="205"/>
    </row>
    <row r="2709" ht="14.25" customHeight="1">
      <c r="A2709" s="55">
        <v>48364.0</v>
      </c>
      <c r="B2709" s="55" t="str">
        <f t="shared" si="10"/>
        <v>Primer dia</v>
      </c>
      <c r="C2709" s="202">
        <f t="shared" si="1"/>
        <v>30</v>
      </c>
      <c r="D2709" s="202" t="str">
        <f t="shared" si="2"/>
        <v> </v>
      </c>
      <c r="E2709" s="202" t="str">
        <f t="shared" si="9"/>
        <v> </v>
      </c>
      <c r="F2709" s="55" t="str">
        <f t="shared" si="4"/>
        <v/>
      </c>
      <c r="G2709" s="202" t="str">
        <f t="shared" si="5"/>
        <v/>
      </c>
      <c r="H2709" s="202" t="str">
        <f t="shared" si="11"/>
        <v> </v>
      </c>
      <c r="I2709" s="205" t="str">
        <f t="shared" si="7"/>
        <v/>
      </c>
      <c r="J2709" s="205"/>
      <c r="K2709" s="205"/>
    </row>
    <row r="2710" ht="14.25" customHeight="1">
      <c r="A2710" s="55">
        <v>48365.0</v>
      </c>
      <c r="B2710" s="55" t="str">
        <f t="shared" si="10"/>
        <v>Primer dia</v>
      </c>
      <c r="C2710" s="202">
        <f t="shared" si="1"/>
        <v>31</v>
      </c>
      <c r="D2710" s="202" t="str">
        <f t="shared" si="2"/>
        <v> </v>
      </c>
      <c r="E2710" s="202" t="str">
        <f t="shared" si="9"/>
        <v> </v>
      </c>
      <c r="F2710" s="55" t="str">
        <f t="shared" si="4"/>
        <v/>
      </c>
      <c r="G2710" s="202" t="str">
        <f t="shared" si="5"/>
        <v/>
      </c>
      <c r="H2710" s="202" t="str">
        <f t="shared" si="11"/>
        <v> </v>
      </c>
      <c r="I2710" s="205" t="str">
        <f t="shared" si="7"/>
        <v/>
      </c>
      <c r="J2710" s="205"/>
      <c r="K2710" s="205"/>
    </row>
    <row r="2711" ht="14.25" customHeight="1">
      <c r="A2711" s="55">
        <v>48366.0</v>
      </c>
      <c r="B2711" s="55" t="str">
        <f t="shared" si="10"/>
        <v>Primer dia</v>
      </c>
      <c r="C2711" s="202">
        <f t="shared" si="1"/>
        <v>1</v>
      </c>
      <c r="D2711" s="202" t="str">
        <f t="shared" si="2"/>
        <v> </v>
      </c>
      <c r="E2711" s="202" t="str">
        <f t="shared" si="9"/>
        <v> </v>
      </c>
      <c r="F2711" s="55" t="str">
        <f t="shared" si="4"/>
        <v/>
      </c>
      <c r="G2711" s="202" t="str">
        <f t="shared" si="5"/>
        <v/>
      </c>
      <c r="H2711" s="202" t="str">
        <f t="shared" si="11"/>
        <v> </v>
      </c>
      <c r="I2711" s="205" t="str">
        <f t="shared" si="7"/>
        <v/>
      </c>
      <c r="J2711" s="205"/>
      <c r="K2711" s="205"/>
    </row>
    <row r="2712" ht="14.25" customHeight="1">
      <c r="A2712" s="55">
        <v>48367.0</v>
      </c>
      <c r="B2712" s="55" t="str">
        <f t="shared" si="10"/>
        <v>Primer dia</v>
      </c>
      <c r="C2712" s="202">
        <f t="shared" si="1"/>
        <v>2</v>
      </c>
      <c r="D2712" s="202" t="str">
        <f t="shared" si="2"/>
        <v> </v>
      </c>
      <c r="E2712" s="202">
        <f t="shared" si="9"/>
        <v>2</v>
      </c>
      <c r="F2712" s="55">
        <f t="shared" si="4"/>
        <v>48367</v>
      </c>
      <c r="G2712" s="202">
        <f t="shared" si="5"/>
        <v>153</v>
      </c>
      <c r="H2712" s="202" t="str">
        <f t="shared" si="11"/>
        <v> </v>
      </c>
      <c r="I2712" s="205" t="str">
        <f t="shared" si="7"/>
        <v/>
      </c>
      <c r="J2712" s="205"/>
      <c r="K2712" s="205"/>
    </row>
    <row r="2713" ht="14.25" customHeight="1">
      <c r="A2713" s="55">
        <v>48368.0</v>
      </c>
      <c r="B2713" s="55" t="str">
        <f t="shared" si="10"/>
        <v>Primer dia</v>
      </c>
      <c r="C2713" s="202">
        <f t="shared" si="1"/>
        <v>3</v>
      </c>
      <c r="D2713" s="202" t="str">
        <f t="shared" si="2"/>
        <v> </v>
      </c>
      <c r="E2713" s="202" t="str">
        <f t="shared" si="9"/>
        <v> </v>
      </c>
      <c r="F2713" s="55" t="str">
        <f t="shared" si="4"/>
        <v/>
      </c>
      <c r="G2713" s="202" t="str">
        <f t="shared" si="5"/>
        <v/>
      </c>
      <c r="H2713" s="202" t="str">
        <f t="shared" si="11"/>
        <v> </v>
      </c>
      <c r="I2713" s="205" t="str">
        <f t="shared" si="7"/>
        <v/>
      </c>
      <c r="J2713" s="205"/>
      <c r="K2713" s="205"/>
    </row>
    <row r="2714" ht="14.25" customHeight="1">
      <c r="A2714" s="55">
        <v>48369.0</v>
      </c>
      <c r="B2714" s="55" t="str">
        <f t="shared" si="10"/>
        <v>Primer dia</v>
      </c>
      <c r="C2714" s="202">
        <f t="shared" si="1"/>
        <v>4</v>
      </c>
      <c r="D2714" s="202" t="str">
        <f t="shared" si="2"/>
        <v> </v>
      </c>
      <c r="E2714" s="202" t="str">
        <f t="shared" si="9"/>
        <v> </v>
      </c>
      <c r="F2714" s="55" t="str">
        <f t="shared" si="4"/>
        <v/>
      </c>
      <c r="G2714" s="202" t="str">
        <f t="shared" si="5"/>
        <v/>
      </c>
      <c r="H2714" s="202" t="str">
        <f t="shared" si="11"/>
        <v> </v>
      </c>
      <c r="I2714" s="205" t="str">
        <f t="shared" si="7"/>
        <v/>
      </c>
      <c r="J2714" s="205"/>
      <c r="K2714" s="205"/>
    </row>
    <row r="2715" ht="14.25" customHeight="1">
      <c r="A2715" s="55">
        <v>48370.0</v>
      </c>
      <c r="B2715" s="55" t="str">
        <f t="shared" si="10"/>
        <v>Primer dia</v>
      </c>
      <c r="C2715" s="202">
        <f t="shared" si="1"/>
        <v>5</v>
      </c>
      <c r="D2715" s="202" t="str">
        <f t="shared" si="2"/>
        <v> </v>
      </c>
      <c r="E2715" s="202" t="str">
        <f t="shared" si="9"/>
        <v> </v>
      </c>
      <c r="F2715" s="55" t="str">
        <f t="shared" si="4"/>
        <v/>
      </c>
      <c r="G2715" s="202" t="str">
        <f t="shared" si="5"/>
        <v/>
      </c>
      <c r="H2715" s="202" t="str">
        <f t="shared" si="11"/>
        <v> </v>
      </c>
      <c r="I2715" s="205" t="str">
        <f t="shared" si="7"/>
        <v/>
      </c>
      <c r="J2715" s="205"/>
      <c r="K2715" s="205"/>
    </row>
    <row r="2716" ht="14.25" customHeight="1">
      <c r="A2716" s="55">
        <v>48371.0</v>
      </c>
      <c r="B2716" s="55" t="str">
        <f t="shared" si="10"/>
        <v>Primer dia</v>
      </c>
      <c r="C2716" s="202">
        <f t="shared" si="1"/>
        <v>6</v>
      </c>
      <c r="D2716" s="202" t="str">
        <f t="shared" si="2"/>
        <v> </v>
      </c>
      <c r="E2716" s="202" t="str">
        <f t="shared" si="9"/>
        <v> </v>
      </c>
      <c r="F2716" s="55" t="str">
        <f t="shared" si="4"/>
        <v/>
      </c>
      <c r="G2716" s="202" t="str">
        <f t="shared" si="5"/>
        <v/>
      </c>
      <c r="H2716" s="202" t="str">
        <f t="shared" si="11"/>
        <v> </v>
      </c>
      <c r="I2716" s="205" t="str">
        <f t="shared" si="7"/>
        <v/>
      </c>
      <c r="J2716" s="205"/>
      <c r="K2716" s="205"/>
    </row>
    <row r="2717" ht="14.25" customHeight="1">
      <c r="A2717" s="55">
        <v>48372.0</v>
      </c>
      <c r="B2717" s="55" t="str">
        <f t="shared" si="10"/>
        <v>Primer dia</v>
      </c>
      <c r="C2717" s="202">
        <f t="shared" si="1"/>
        <v>7</v>
      </c>
      <c r="D2717" s="202" t="str">
        <f t="shared" si="2"/>
        <v> </v>
      </c>
      <c r="E2717" s="202" t="str">
        <f t="shared" si="9"/>
        <v> </v>
      </c>
      <c r="F2717" s="55" t="str">
        <f t="shared" si="4"/>
        <v/>
      </c>
      <c r="G2717" s="202" t="str">
        <f t="shared" si="5"/>
        <v/>
      </c>
      <c r="H2717" s="202" t="str">
        <f t="shared" si="11"/>
        <v> </v>
      </c>
      <c r="I2717" s="205" t="str">
        <f t="shared" si="7"/>
        <v/>
      </c>
      <c r="J2717" s="205"/>
      <c r="K2717" s="205"/>
    </row>
    <row r="2718" ht="14.25" customHeight="1">
      <c r="A2718" s="55">
        <v>48373.0</v>
      </c>
      <c r="B2718" s="55" t="str">
        <f t="shared" si="10"/>
        <v>Primer dia</v>
      </c>
      <c r="C2718" s="202">
        <f t="shared" si="1"/>
        <v>8</v>
      </c>
      <c r="D2718" s="202" t="str">
        <f t="shared" si="2"/>
        <v> </v>
      </c>
      <c r="E2718" s="202" t="str">
        <f t="shared" si="9"/>
        <v> </v>
      </c>
      <c r="F2718" s="55" t="str">
        <f t="shared" si="4"/>
        <v/>
      </c>
      <c r="G2718" s="202" t="str">
        <f t="shared" si="5"/>
        <v/>
      </c>
      <c r="H2718" s="202" t="str">
        <f t="shared" si="11"/>
        <v> </v>
      </c>
      <c r="I2718" s="205" t="str">
        <f t="shared" si="7"/>
        <v/>
      </c>
      <c r="J2718" s="205"/>
      <c r="K2718" s="205"/>
    </row>
    <row r="2719" ht="14.25" customHeight="1">
      <c r="A2719" s="55">
        <v>48374.0</v>
      </c>
      <c r="B2719" s="55" t="str">
        <f t="shared" si="10"/>
        <v>Primer dia</v>
      </c>
      <c r="C2719" s="202">
        <f t="shared" si="1"/>
        <v>9</v>
      </c>
      <c r="D2719" s="202" t="str">
        <f t="shared" si="2"/>
        <v> </v>
      </c>
      <c r="E2719" s="202" t="str">
        <f t="shared" si="9"/>
        <v> </v>
      </c>
      <c r="F2719" s="55" t="str">
        <f t="shared" si="4"/>
        <v/>
      </c>
      <c r="G2719" s="202" t="str">
        <f t="shared" si="5"/>
        <v/>
      </c>
      <c r="H2719" s="202" t="str">
        <f t="shared" si="11"/>
        <v> </v>
      </c>
      <c r="I2719" s="205" t="str">
        <f t="shared" si="7"/>
        <v/>
      </c>
      <c r="J2719" s="205"/>
      <c r="K2719" s="205"/>
    </row>
    <row r="2720" ht="14.25" customHeight="1">
      <c r="A2720" s="55">
        <v>48375.0</v>
      </c>
      <c r="B2720" s="55" t="str">
        <f t="shared" si="10"/>
        <v>Primer dia</v>
      </c>
      <c r="C2720" s="202">
        <f t="shared" si="1"/>
        <v>10</v>
      </c>
      <c r="D2720" s="202" t="str">
        <f t="shared" si="2"/>
        <v> </v>
      </c>
      <c r="E2720" s="202" t="str">
        <f t="shared" si="9"/>
        <v> </v>
      </c>
      <c r="F2720" s="55" t="str">
        <f t="shared" si="4"/>
        <v/>
      </c>
      <c r="G2720" s="202" t="str">
        <f t="shared" si="5"/>
        <v/>
      </c>
      <c r="H2720" s="202" t="str">
        <f t="shared" si="11"/>
        <v> </v>
      </c>
      <c r="I2720" s="205" t="str">
        <f t="shared" si="7"/>
        <v/>
      </c>
      <c r="J2720" s="205"/>
      <c r="K2720" s="205"/>
    </row>
    <row r="2721" ht="14.25" customHeight="1">
      <c r="A2721" s="55">
        <v>48376.0</v>
      </c>
      <c r="B2721" s="55" t="str">
        <f t="shared" si="10"/>
        <v>Primer dia</v>
      </c>
      <c r="C2721" s="202">
        <f t="shared" si="1"/>
        <v>11</v>
      </c>
      <c r="D2721" s="202" t="str">
        <f t="shared" si="2"/>
        <v> </v>
      </c>
      <c r="E2721" s="202" t="str">
        <f t="shared" si="9"/>
        <v> </v>
      </c>
      <c r="F2721" s="55" t="str">
        <f t="shared" si="4"/>
        <v/>
      </c>
      <c r="G2721" s="202" t="str">
        <f t="shared" si="5"/>
        <v/>
      </c>
      <c r="H2721" s="202" t="str">
        <f t="shared" si="11"/>
        <v> </v>
      </c>
      <c r="I2721" s="205" t="str">
        <f t="shared" si="7"/>
        <v/>
      </c>
      <c r="J2721" s="205"/>
      <c r="K2721" s="205"/>
    </row>
    <row r="2722" ht="14.25" customHeight="1">
      <c r="A2722" s="55">
        <v>48377.0</v>
      </c>
      <c r="B2722" s="55" t="str">
        <f t="shared" si="10"/>
        <v>Primer dia</v>
      </c>
      <c r="C2722" s="202">
        <f t="shared" si="1"/>
        <v>12</v>
      </c>
      <c r="D2722" s="202" t="str">
        <f t="shared" si="2"/>
        <v> </v>
      </c>
      <c r="E2722" s="202" t="str">
        <f t="shared" si="9"/>
        <v> </v>
      </c>
      <c r="F2722" s="55" t="str">
        <f t="shared" si="4"/>
        <v/>
      </c>
      <c r="G2722" s="202" t="str">
        <f t="shared" si="5"/>
        <v/>
      </c>
      <c r="H2722" s="202" t="str">
        <f t="shared" si="11"/>
        <v> </v>
      </c>
      <c r="I2722" s="205" t="str">
        <f t="shared" si="7"/>
        <v/>
      </c>
      <c r="J2722" s="205"/>
      <c r="K2722" s="205"/>
    </row>
    <row r="2723" ht="14.25" customHeight="1">
      <c r="A2723" s="55">
        <v>48378.0</v>
      </c>
      <c r="B2723" s="55" t="str">
        <f t="shared" si="10"/>
        <v>Primer dia</v>
      </c>
      <c r="C2723" s="202">
        <f t="shared" si="1"/>
        <v>13</v>
      </c>
      <c r="D2723" s="202" t="str">
        <f t="shared" si="2"/>
        <v> </v>
      </c>
      <c r="E2723" s="202" t="str">
        <f t="shared" si="9"/>
        <v> </v>
      </c>
      <c r="F2723" s="55" t="str">
        <f t="shared" si="4"/>
        <v/>
      </c>
      <c r="G2723" s="202" t="str">
        <f t="shared" si="5"/>
        <v/>
      </c>
      <c r="H2723" s="202" t="str">
        <f t="shared" si="11"/>
        <v> </v>
      </c>
      <c r="I2723" s="205" t="str">
        <f t="shared" si="7"/>
        <v/>
      </c>
      <c r="J2723" s="205"/>
      <c r="K2723" s="205"/>
    </row>
    <row r="2724" ht="14.25" customHeight="1">
      <c r="A2724" s="55">
        <v>48379.0</v>
      </c>
      <c r="B2724" s="55" t="str">
        <f t="shared" si="10"/>
        <v>Primer dia</v>
      </c>
      <c r="C2724" s="202">
        <f t="shared" si="1"/>
        <v>14</v>
      </c>
      <c r="D2724" s="202" t="str">
        <f t="shared" si="2"/>
        <v> </v>
      </c>
      <c r="E2724" s="202" t="str">
        <f t="shared" si="9"/>
        <v> </v>
      </c>
      <c r="F2724" s="55" t="str">
        <f t="shared" si="4"/>
        <v/>
      </c>
      <c r="G2724" s="202" t="str">
        <f t="shared" si="5"/>
        <v/>
      </c>
      <c r="H2724" s="202" t="str">
        <f t="shared" si="11"/>
        <v> </v>
      </c>
      <c r="I2724" s="205" t="str">
        <f t="shared" si="7"/>
        <v/>
      </c>
      <c r="J2724" s="205"/>
      <c r="K2724" s="205"/>
    </row>
    <row r="2725" ht="14.25" customHeight="1">
      <c r="A2725" s="55">
        <v>48380.0</v>
      </c>
      <c r="B2725" s="55" t="str">
        <f t="shared" si="10"/>
        <v>Primer dia</v>
      </c>
      <c r="C2725" s="202">
        <f t="shared" si="1"/>
        <v>15</v>
      </c>
      <c r="D2725" s="202" t="str">
        <f t="shared" si="2"/>
        <v> </v>
      </c>
      <c r="E2725" s="202" t="str">
        <f t="shared" si="9"/>
        <v> </v>
      </c>
      <c r="F2725" s="55" t="str">
        <f t="shared" si="4"/>
        <v/>
      </c>
      <c r="G2725" s="202" t="str">
        <f t="shared" si="5"/>
        <v/>
      </c>
      <c r="H2725" s="202" t="str">
        <f t="shared" si="11"/>
        <v> </v>
      </c>
      <c r="I2725" s="205" t="str">
        <f t="shared" si="7"/>
        <v/>
      </c>
      <c r="J2725" s="205"/>
      <c r="K2725" s="205"/>
    </row>
    <row r="2726" ht="14.25" customHeight="1">
      <c r="A2726" s="55">
        <v>48381.0</v>
      </c>
      <c r="B2726" s="55" t="str">
        <f t="shared" si="10"/>
        <v>Primer dia</v>
      </c>
      <c r="C2726" s="202">
        <f t="shared" si="1"/>
        <v>16</v>
      </c>
      <c r="D2726" s="202" t="str">
        <f t="shared" si="2"/>
        <v> </v>
      </c>
      <c r="E2726" s="202" t="str">
        <f t="shared" si="9"/>
        <v> </v>
      </c>
      <c r="F2726" s="55" t="str">
        <f t="shared" si="4"/>
        <v/>
      </c>
      <c r="G2726" s="202" t="str">
        <f t="shared" si="5"/>
        <v/>
      </c>
      <c r="H2726" s="202" t="str">
        <f t="shared" si="11"/>
        <v> </v>
      </c>
      <c r="I2726" s="205" t="str">
        <f t="shared" si="7"/>
        <v/>
      </c>
      <c r="J2726" s="205"/>
      <c r="K2726" s="205"/>
    </row>
    <row r="2727" ht="14.25" customHeight="1">
      <c r="A2727" s="55">
        <v>48382.0</v>
      </c>
      <c r="B2727" s="55" t="str">
        <f t="shared" si="10"/>
        <v>Primer dia</v>
      </c>
      <c r="C2727" s="202">
        <f t="shared" si="1"/>
        <v>17</v>
      </c>
      <c r="D2727" s="202" t="str">
        <f t="shared" si="2"/>
        <v> </v>
      </c>
      <c r="E2727" s="202">
        <f t="shared" si="9"/>
        <v>17</v>
      </c>
      <c r="F2727" s="55">
        <f t="shared" si="4"/>
        <v>48382</v>
      </c>
      <c r="G2727" s="202">
        <f t="shared" si="5"/>
        <v>154</v>
      </c>
      <c r="H2727" s="202" t="str">
        <f t="shared" si="11"/>
        <v> </v>
      </c>
      <c r="I2727" s="205" t="str">
        <f t="shared" si="7"/>
        <v/>
      </c>
      <c r="J2727" s="205"/>
      <c r="K2727" s="205"/>
    </row>
    <row r="2728" ht="14.25" customHeight="1">
      <c r="A2728" s="55">
        <v>48383.0</v>
      </c>
      <c r="B2728" s="55" t="str">
        <f t="shared" si="10"/>
        <v>Primer dia</v>
      </c>
      <c r="C2728" s="202">
        <f t="shared" si="1"/>
        <v>18</v>
      </c>
      <c r="D2728" s="202" t="str">
        <f t="shared" si="2"/>
        <v> </v>
      </c>
      <c r="E2728" s="202" t="str">
        <f t="shared" si="9"/>
        <v> </v>
      </c>
      <c r="F2728" s="55" t="str">
        <f t="shared" si="4"/>
        <v/>
      </c>
      <c r="G2728" s="202" t="str">
        <f t="shared" si="5"/>
        <v/>
      </c>
      <c r="H2728" s="202" t="str">
        <f t="shared" si="11"/>
        <v> </v>
      </c>
      <c r="I2728" s="205" t="str">
        <f t="shared" si="7"/>
        <v/>
      </c>
      <c r="J2728" s="205"/>
      <c r="K2728" s="205"/>
    </row>
    <row r="2729" ht="14.25" customHeight="1">
      <c r="A2729" s="55">
        <v>48384.0</v>
      </c>
      <c r="B2729" s="55" t="str">
        <f t="shared" si="10"/>
        <v>Primer dia</v>
      </c>
      <c r="C2729" s="202">
        <f t="shared" si="1"/>
        <v>19</v>
      </c>
      <c r="D2729" s="202" t="str">
        <f t="shared" si="2"/>
        <v> </v>
      </c>
      <c r="E2729" s="202" t="str">
        <f t="shared" si="9"/>
        <v> </v>
      </c>
      <c r="F2729" s="55" t="str">
        <f t="shared" si="4"/>
        <v/>
      </c>
      <c r="G2729" s="202" t="str">
        <f t="shared" si="5"/>
        <v/>
      </c>
      <c r="H2729" s="202" t="str">
        <f t="shared" si="11"/>
        <v> </v>
      </c>
      <c r="I2729" s="205" t="str">
        <f t="shared" si="7"/>
        <v/>
      </c>
      <c r="J2729" s="205"/>
      <c r="K2729" s="205"/>
    </row>
    <row r="2730" ht="14.25" customHeight="1">
      <c r="A2730" s="55">
        <v>48385.0</v>
      </c>
      <c r="B2730" s="55" t="str">
        <f t="shared" si="10"/>
        <v>Primer dia</v>
      </c>
      <c r="C2730" s="202">
        <f t="shared" si="1"/>
        <v>20</v>
      </c>
      <c r="D2730" s="202" t="str">
        <f t="shared" si="2"/>
        <v> </v>
      </c>
      <c r="E2730" s="202" t="str">
        <f t="shared" si="9"/>
        <v> </v>
      </c>
      <c r="F2730" s="55" t="str">
        <f t="shared" si="4"/>
        <v/>
      </c>
      <c r="G2730" s="202" t="str">
        <f t="shared" si="5"/>
        <v/>
      </c>
      <c r="H2730" s="202" t="str">
        <f t="shared" si="11"/>
        <v> </v>
      </c>
      <c r="I2730" s="205" t="str">
        <f t="shared" si="7"/>
        <v/>
      </c>
      <c r="J2730" s="205"/>
      <c r="K2730" s="205"/>
    </row>
    <row r="2731" ht="14.25" customHeight="1">
      <c r="A2731" s="55">
        <v>48386.0</v>
      </c>
      <c r="B2731" s="55" t="str">
        <f t="shared" si="10"/>
        <v>Primer dia</v>
      </c>
      <c r="C2731" s="202">
        <f t="shared" si="1"/>
        <v>21</v>
      </c>
      <c r="D2731" s="202" t="str">
        <f t="shared" si="2"/>
        <v> </v>
      </c>
      <c r="E2731" s="202" t="str">
        <f t="shared" si="9"/>
        <v> </v>
      </c>
      <c r="F2731" s="55" t="str">
        <f t="shared" si="4"/>
        <v/>
      </c>
      <c r="G2731" s="202" t="str">
        <f t="shared" si="5"/>
        <v/>
      </c>
      <c r="H2731" s="202" t="str">
        <f t="shared" si="11"/>
        <v> </v>
      </c>
      <c r="I2731" s="205" t="str">
        <f t="shared" si="7"/>
        <v/>
      </c>
      <c r="J2731" s="205"/>
      <c r="K2731" s="205"/>
    </row>
    <row r="2732" ht="14.25" customHeight="1">
      <c r="A2732" s="55">
        <v>48387.0</v>
      </c>
      <c r="B2732" s="55" t="str">
        <f t="shared" si="10"/>
        <v>Primer dia</v>
      </c>
      <c r="C2732" s="202">
        <f t="shared" si="1"/>
        <v>22</v>
      </c>
      <c r="D2732" s="202" t="str">
        <f t="shared" si="2"/>
        <v> </v>
      </c>
      <c r="E2732" s="202" t="str">
        <f t="shared" si="9"/>
        <v> </v>
      </c>
      <c r="F2732" s="55" t="str">
        <f t="shared" si="4"/>
        <v/>
      </c>
      <c r="G2732" s="202" t="str">
        <f t="shared" si="5"/>
        <v/>
      </c>
      <c r="H2732" s="202" t="str">
        <f t="shared" si="11"/>
        <v> </v>
      </c>
      <c r="I2732" s="205" t="str">
        <f t="shared" si="7"/>
        <v/>
      </c>
      <c r="J2732" s="205"/>
      <c r="K2732" s="205"/>
    </row>
    <row r="2733" ht="14.25" customHeight="1">
      <c r="A2733" s="55">
        <v>48388.0</v>
      </c>
      <c r="B2733" s="55" t="str">
        <f t="shared" si="10"/>
        <v>Primer dia</v>
      </c>
      <c r="C2733" s="202">
        <f t="shared" si="1"/>
        <v>23</v>
      </c>
      <c r="D2733" s="202" t="str">
        <f t="shared" si="2"/>
        <v> </v>
      </c>
      <c r="E2733" s="202" t="str">
        <f t="shared" si="9"/>
        <v> </v>
      </c>
      <c r="F2733" s="55" t="str">
        <f t="shared" si="4"/>
        <v/>
      </c>
      <c r="G2733" s="202" t="str">
        <f t="shared" si="5"/>
        <v/>
      </c>
      <c r="H2733" s="202" t="str">
        <f t="shared" si="11"/>
        <v> </v>
      </c>
      <c r="I2733" s="205" t="str">
        <f t="shared" si="7"/>
        <v/>
      </c>
      <c r="J2733" s="205"/>
      <c r="K2733" s="205"/>
    </row>
    <row r="2734" ht="14.25" customHeight="1">
      <c r="A2734" s="55">
        <v>48389.0</v>
      </c>
      <c r="B2734" s="55" t="str">
        <f t="shared" si="10"/>
        <v>Primer dia</v>
      </c>
      <c r="C2734" s="202">
        <f t="shared" si="1"/>
        <v>24</v>
      </c>
      <c r="D2734" s="202" t="str">
        <f t="shared" si="2"/>
        <v> </v>
      </c>
      <c r="E2734" s="202" t="str">
        <f t="shared" si="9"/>
        <v> </v>
      </c>
      <c r="F2734" s="55" t="str">
        <f t="shared" si="4"/>
        <v/>
      </c>
      <c r="G2734" s="202" t="str">
        <f t="shared" si="5"/>
        <v/>
      </c>
      <c r="H2734" s="202" t="str">
        <f t="shared" si="11"/>
        <v> </v>
      </c>
      <c r="I2734" s="205" t="str">
        <f t="shared" si="7"/>
        <v/>
      </c>
      <c r="J2734" s="205"/>
      <c r="K2734" s="205"/>
    </row>
    <row r="2735" ht="14.25" customHeight="1">
      <c r="A2735" s="55">
        <v>48390.0</v>
      </c>
      <c r="B2735" s="55" t="str">
        <f t="shared" si="10"/>
        <v>Primer dia</v>
      </c>
      <c r="C2735" s="202">
        <f t="shared" si="1"/>
        <v>25</v>
      </c>
      <c r="D2735" s="202" t="str">
        <f t="shared" si="2"/>
        <v> </v>
      </c>
      <c r="E2735" s="202" t="str">
        <f t="shared" si="9"/>
        <v> </v>
      </c>
      <c r="F2735" s="55" t="str">
        <f t="shared" si="4"/>
        <v/>
      </c>
      <c r="G2735" s="202" t="str">
        <f t="shared" si="5"/>
        <v/>
      </c>
      <c r="H2735" s="202" t="str">
        <f t="shared" si="11"/>
        <v> </v>
      </c>
      <c r="I2735" s="205" t="str">
        <f t="shared" si="7"/>
        <v/>
      </c>
      <c r="J2735" s="205"/>
      <c r="K2735" s="205"/>
    </row>
    <row r="2736" ht="14.25" customHeight="1">
      <c r="A2736" s="55">
        <v>48391.0</v>
      </c>
      <c r="B2736" s="55" t="str">
        <f t="shared" si="10"/>
        <v>Primer dia</v>
      </c>
      <c r="C2736" s="202">
        <f t="shared" si="1"/>
        <v>26</v>
      </c>
      <c r="D2736" s="202" t="str">
        <f t="shared" si="2"/>
        <v> </v>
      </c>
      <c r="E2736" s="202" t="str">
        <f t="shared" si="9"/>
        <v> </v>
      </c>
      <c r="F2736" s="55" t="str">
        <f t="shared" si="4"/>
        <v/>
      </c>
      <c r="G2736" s="202" t="str">
        <f t="shared" si="5"/>
        <v/>
      </c>
      <c r="H2736" s="202" t="str">
        <f t="shared" si="11"/>
        <v> </v>
      </c>
      <c r="I2736" s="205" t="str">
        <f t="shared" si="7"/>
        <v/>
      </c>
      <c r="J2736" s="205"/>
      <c r="K2736" s="205"/>
    </row>
    <row r="2737" ht="14.25" customHeight="1">
      <c r="A2737" s="55">
        <v>48392.0</v>
      </c>
      <c r="B2737" s="55" t="str">
        <f t="shared" si="10"/>
        <v>Primer dia</v>
      </c>
      <c r="C2737" s="202">
        <f t="shared" si="1"/>
        <v>27</v>
      </c>
      <c r="D2737" s="202" t="str">
        <f t="shared" si="2"/>
        <v> </v>
      </c>
      <c r="E2737" s="202" t="str">
        <f t="shared" si="9"/>
        <v> </v>
      </c>
      <c r="F2737" s="55" t="str">
        <f t="shared" si="4"/>
        <v/>
      </c>
      <c r="G2737" s="202" t="str">
        <f t="shared" si="5"/>
        <v/>
      </c>
      <c r="H2737" s="202" t="str">
        <f t="shared" si="11"/>
        <v> </v>
      </c>
      <c r="I2737" s="205" t="str">
        <f t="shared" si="7"/>
        <v/>
      </c>
      <c r="J2737" s="205"/>
      <c r="K2737" s="205"/>
    </row>
    <row r="2738" ht="14.25" customHeight="1">
      <c r="A2738" s="55">
        <v>48393.0</v>
      </c>
      <c r="B2738" s="55" t="str">
        <f t="shared" si="10"/>
        <v>Primer dia</v>
      </c>
      <c r="C2738" s="202">
        <f t="shared" si="1"/>
        <v>28</v>
      </c>
      <c r="D2738" s="202" t="str">
        <f t="shared" si="2"/>
        <v> </v>
      </c>
      <c r="E2738" s="202" t="str">
        <f t="shared" si="9"/>
        <v> </v>
      </c>
      <c r="F2738" s="55" t="str">
        <f t="shared" si="4"/>
        <v/>
      </c>
      <c r="G2738" s="202" t="str">
        <f t="shared" si="5"/>
        <v/>
      </c>
      <c r="H2738" s="202" t="str">
        <f t="shared" si="11"/>
        <v> </v>
      </c>
      <c r="I2738" s="205" t="str">
        <f t="shared" si="7"/>
        <v/>
      </c>
      <c r="J2738" s="205"/>
      <c r="K2738" s="205"/>
    </row>
    <row r="2739" ht="14.25" customHeight="1">
      <c r="A2739" s="55">
        <v>48394.0</v>
      </c>
      <c r="B2739" s="55" t="str">
        <f t="shared" si="10"/>
        <v>Primer dia</v>
      </c>
      <c r="C2739" s="202">
        <f t="shared" si="1"/>
        <v>29</v>
      </c>
      <c r="D2739" s="202" t="str">
        <f t="shared" si="2"/>
        <v> </v>
      </c>
      <c r="E2739" s="202" t="str">
        <f t="shared" si="9"/>
        <v> </v>
      </c>
      <c r="F2739" s="55" t="str">
        <f t="shared" si="4"/>
        <v/>
      </c>
      <c r="G2739" s="202" t="str">
        <f t="shared" si="5"/>
        <v/>
      </c>
      <c r="H2739" s="202" t="str">
        <f t="shared" si="11"/>
        <v> </v>
      </c>
      <c r="I2739" s="205" t="str">
        <f t="shared" si="7"/>
        <v/>
      </c>
      <c r="J2739" s="205"/>
      <c r="K2739" s="205"/>
    </row>
    <row r="2740" ht="14.25" customHeight="1">
      <c r="A2740" s="55">
        <v>48395.0</v>
      </c>
      <c r="B2740" s="55" t="str">
        <f t="shared" si="10"/>
        <v>Primer dia</v>
      </c>
      <c r="C2740" s="202">
        <f t="shared" si="1"/>
        <v>30</v>
      </c>
      <c r="D2740" s="202" t="str">
        <f t="shared" si="2"/>
        <v> </v>
      </c>
      <c r="E2740" s="202" t="str">
        <f t="shared" si="9"/>
        <v> </v>
      </c>
      <c r="F2740" s="55" t="str">
        <f t="shared" si="4"/>
        <v/>
      </c>
      <c r="G2740" s="202" t="str">
        <f t="shared" si="5"/>
        <v/>
      </c>
      <c r="H2740" s="202" t="str">
        <f t="shared" si="11"/>
        <v> </v>
      </c>
      <c r="I2740" s="205" t="str">
        <f t="shared" si="7"/>
        <v/>
      </c>
      <c r="J2740" s="205"/>
      <c r="K2740" s="205"/>
    </row>
    <row r="2741" ht="14.25" customHeight="1">
      <c r="A2741" s="55">
        <v>48396.0</v>
      </c>
      <c r="B2741" s="55" t="str">
        <f t="shared" si="10"/>
        <v>Primer dia</v>
      </c>
      <c r="C2741" s="202">
        <f t="shared" si="1"/>
        <v>1</v>
      </c>
      <c r="D2741" s="202" t="str">
        <f t="shared" si="2"/>
        <v> </v>
      </c>
      <c r="E2741" s="202" t="str">
        <f t="shared" si="9"/>
        <v> </v>
      </c>
      <c r="F2741" s="55" t="str">
        <f t="shared" si="4"/>
        <v/>
      </c>
      <c r="G2741" s="202" t="str">
        <f t="shared" si="5"/>
        <v/>
      </c>
      <c r="H2741" s="202" t="str">
        <f t="shared" si="11"/>
        <v> </v>
      </c>
      <c r="I2741" s="205" t="str">
        <f t="shared" si="7"/>
        <v/>
      </c>
      <c r="J2741" s="205"/>
      <c r="K2741" s="205"/>
    </row>
    <row r="2742" ht="14.25" customHeight="1">
      <c r="A2742" s="55">
        <v>48397.0</v>
      </c>
      <c r="B2742" s="55" t="str">
        <f t="shared" si="10"/>
        <v>Primer dia</v>
      </c>
      <c r="C2742" s="202">
        <f t="shared" si="1"/>
        <v>2</v>
      </c>
      <c r="D2742" s="202" t="str">
        <f t="shared" si="2"/>
        <v> </v>
      </c>
      <c r="E2742" s="202">
        <f t="shared" si="9"/>
        <v>2</v>
      </c>
      <c r="F2742" s="55">
        <f t="shared" si="4"/>
        <v>48397</v>
      </c>
      <c r="G2742" s="202">
        <f t="shared" si="5"/>
        <v>155</v>
      </c>
      <c r="H2742" s="202" t="str">
        <f t="shared" si="11"/>
        <v> </v>
      </c>
      <c r="I2742" s="205" t="str">
        <f t="shared" si="7"/>
        <v/>
      </c>
      <c r="J2742" s="205"/>
      <c r="K2742" s="205"/>
    </row>
    <row r="2743" ht="14.25" customHeight="1">
      <c r="A2743" s="55">
        <v>48398.0</v>
      </c>
      <c r="B2743" s="55" t="str">
        <f t="shared" si="10"/>
        <v>Primer dia</v>
      </c>
      <c r="C2743" s="202">
        <f t="shared" si="1"/>
        <v>3</v>
      </c>
      <c r="D2743" s="202" t="str">
        <f t="shared" si="2"/>
        <v> </v>
      </c>
      <c r="E2743" s="202" t="str">
        <f t="shared" si="9"/>
        <v> </v>
      </c>
      <c r="F2743" s="55" t="str">
        <f t="shared" si="4"/>
        <v/>
      </c>
      <c r="G2743" s="202" t="str">
        <f t="shared" si="5"/>
        <v/>
      </c>
      <c r="H2743" s="202" t="str">
        <f t="shared" si="11"/>
        <v> </v>
      </c>
      <c r="I2743" s="205" t="str">
        <f t="shared" si="7"/>
        <v/>
      </c>
      <c r="J2743" s="205"/>
      <c r="K2743" s="205"/>
    </row>
    <row r="2744" ht="14.25" customHeight="1">
      <c r="A2744" s="55">
        <v>48399.0</v>
      </c>
      <c r="B2744" s="55" t="str">
        <f t="shared" si="10"/>
        <v>Primer dia</v>
      </c>
      <c r="C2744" s="202">
        <f t="shared" si="1"/>
        <v>4</v>
      </c>
      <c r="D2744" s="202" t="str">
        <f t="shared" si="2"/>
        <v> </v>
      </c>
      <c r="E2744" s="202" t="str">
        <f t="shared" si="9"/>
        <v> </v>
      </c>
      <c r="F2744" s="55" t="str">
        <f t="shared" si="4"/>
        <v/>
      </c>
      <c r="G2744" s="202" t="str">
        <f t="shared" si="5"/>
        <v/>
      </c>
      <c r="H2744" s="202" t="str">
        <f t="shared" si="11"/>
        <v> </v>
      </c>
      <c r="I2744" s="205" t="str">
        <f t="shared" si="7"/>
        <v/>
      </c>
      <c r="J2744" s="205"/>
      <c r="K2744" s="205"/>
    </row>
    <row r="2745" ht="14.25" customHeight="1">
      <c r="A2745" s="55">
        <v>48400.0</v>
      </c>
      <c r="B2745" s="55" t="str">
        <f t="shared" si="10"/>
        <v>Primer dia</v>
      </c>
      <c r="C2745" s="202">
        <f t="shared" si="1"/>
        <v>5</v>
      </c>
      <c r="D2745" s="202" t="str">
        <f t="shared" si="2"/>
        <v> </v>
      </c>
      <c r="E2745" s="202" t="str">
        <f t="shared" si="9"/>
        <v> </v>
      </c>
      <c r="F2745" s="55" t="str">
        <f t="shared" si="4"/>
        <v/>
      </c>
      <c r="G2745" s="202" t="str">
        <f t="shared" si="5"/>
        <v/>
      </c>
      <c r="H2745" s="202" t="str">
        <f t="shared" si="11"/>
        <v> </v>
      </c>
      <c r="I2745" s="205" t="str">
        <f t="shared" si="7"/>
        <v/>
      </c>
      <c r="J2745" s="205"/>
      <c r="K2745" s="205"/>
    </row>
    <row r="2746" ht="14.25" customHeight="1">
      <c r="A2746" s="55">
        <v>48401.0</v>
      </c>
      <c r="B2746" s="55" t="str">
        <f t="shared" si="10"/>
        <v>Primer dia</v>
      </c>
      <c r="C2746" s="202">
        <f t="shared" si="1"/>
        <v>6</v>
      </c>
      <c r="D2746" s="202" t="str">
        <f t="shared" si="2"/>
        <v> </v>
      </c>
      <c r="E2746" s="202" t="str">
        <f t="shared" si="9"/>
        <v> </v>
      </c>
      <c r="F2746" s="55" t="str">
        <f t="shared" si="4"/>
        <v/>
      </c>
      <c r="G2746" s="202" t="str">
        <f t="shared" si="5"/>
        <v/>
      </c>
      <c r="H2746" s="202" t="str">
        <f t="shared" si="11"/>
        <v> </v>
      </c>
      <c r="I2746" s="205" t="str">
        <f t="shared" si="7"/>
        <v/>
      </c>
      <c r="J2746" s="205"/>
      <c r="K2746" s="205"/>
    </row>
    <row r="2747" ht="14.25" customHeight="1">
      <c r="A2747" s="55">
        <v>48402.0</v>
      </c>
      <c r="B2747" s="55" t="str">
        <f t="shared" si="10"/>
        <v>Primer dia</v>
      </c>
      <c r="C2747" s="202">
        <f t="shared" si="1"/>
        <v>7</v>
      </c>
      <c r="D2747" s="202" t="str">
        <f t="shared" si="2"/>
        <v> </v>
      </c>
      <c r="E2747" s="202" t="str">
        <f t="shared" si="9"/>
        <v> </v>
      </c>
      <c r="F2747" s="55" t="str">
        <f t="shared" si="4"/>
        <v/>
      </c>
      <c r="G2747" s="202" t="str">
        <f t="shared" si="5"/>
        <v/>
      </c>
      <c r="H2747" s="202" t="str">
        <f t="shared" si="11"/>
        <v> </v>
      </c>
      <c r="I2747" s="205" t="str">
        <f t="shared" si="7"/>
        <v/>
      </c>
      <c r="J2747" s="205"/>
      <c r="K2747" s="205"/>
    </row>
    <row r="2748" ht="14.25" customHeight="1">
      <c r="A2748" s="55">
        <v>48403.0</v>
      </c>
      <c r="B2748" s="55" t="str">
        <f t="shared" si="10"/>
        <v>Primer dia</v>
      </c>
      <c r="C2748" s="202">
        <f t="shared" si="1"/>
        <v>8</v>
      </c>
      <c r="D2748" s="202" t="str">
        <f t="shared" si="2"/>
        <v> </v>
      </c>
      <c r="E2748" s="202" t="str">
        <f t="shared" si="9"/>
        <v> </v>
      </c>
      <c r="F2748" s="55" t="str">
        <f t="shared" si="4"/>
        <v/>
      </c>
      <c r="G2748" s="202" t="str">
        <f t="shared" si="5"/>
        <v/>
      </c>
      <c r="H2748" s="202" t="str">
        <f t="shared" si="11"/>
        <v> </v>
      </c>
      <c r="I2748" s="205" t="str">
        <f t="shared" si="7"/>
        <v/>
      </c>
      <c r="J2748" s="205"/>
      <c r="K2748" s="205"/>
    </row>
    <row r="2749" ht="14.25" customHeight="1">
      <c r="A2749" s="55">
        <v>48404.0</v>
      </c>
      <c r="B2749" s="55" t="str">
        <f t="shared" si="10"/>
        <v>Primer dia</v>
      </c>
      <c r="C2749" s="202">
        <f t="shared" si="1"/>
        <v>9</v>
      </c>
      <c r="D2749" s="202" t="str">
        <f t="shared" si="2"/>
        <v> </v>
      </c>
      <c r="E2749" s="202" t="str">
        <f t="shared" si="9"/>
        <v> </v>
      </c>
      <c r="F2749" s="55" t="str">
        <f t="shared" si="4"/>
        <v/>
      </c>
      <c r="G2749" s="202" t="str">
        <f t="shared" si="5"/>
        <v/>
      </c>
      <c r="H2749" s="202" t="str">
        <f t="shared" si="11"/>
        <v> </v>
      </c>
      <c r="I2749" s="205" t="str">
        <f t="shared" si="7"/>
        <v/>
      </c>
      <c r="J2749" s="205"/>
      <c r="K2749" s="205"/>
    </row>
    <row r="2750" ht="14.25" customHeight="1">
      <c r="A2750" s="55">
        <v>48405.0</v>
      </c>
      <c r="B2750" s="55" t="str">
        <f t="shared" si="10"/>
        <v>Primer dia</v>
      </c>
      <c r="C2750" s="202">
        <f t="shared" si="1"/>
        <v>10</v>
      </c>
      <c r="D2750" s="202" t="str">
        <f t="shared" si="2"/>
        <v> </v>
      </c>
      <c r="E2750" s="202" t="str">
        <f t="shared" si="9"/>
        <v> </v>
      </c>
      <c r="F2750" s="55" t="str">
        <f t="shared" si="4"/>
        <v/>
      </c>
      <c r="G2750" s="202" t="str">
        <f t="shared" si="5"/>
        <v/>
      </c>
      <c r="H2750" s="202" t="str">
        <f t="shared" si="11"/>
        <v> </v>
      </c>
      <c r="I2750" s="205" t="str">
        <f t="shared" si="7"/>
        <v/>
      </c>
      <c r="J2750" s="205"/>
      <c r="K2750" s="205"/>
    </row>
    <row r="2751" ht="14.25" customHeight="1">
      <c r="A2751" s="55">
        <v>48406.0</v>
      </c>
      <c r="B2751" s="55" t="str">
        <f t="shared" si="10"/>
        <v>Primer dia</v>
      </c>
      <c r="C2751" s="202">
        <f t="shared" si="1"/>
        <v>11</v>
      </c>
      <c r="D2751" s="202" t="str">
        <f t="shared" si="2"/>
        <v> </v>
      </c>
      <c r="E2751" s="202" t="str">
        <f t="shared" si="9"/>
        <v> </v>
      </c>
      <c r="F2751" s="55" t="str">
        <f t="shared" si="4"/>
        <v/>
      </c>
      <c r="G2751" s="202" t="str">
        <f t="shared" si="5"/>
        <v/>
      </c>
      <c r="H2751" s="202" t="str">
        <f t="shared" si="11"/>
        <v> </v>
      </c>
      <c r="I2751" s="205" t="str">
        <f t="shared" si="7"/>
        <v/>
      </c>
      <c r="J2751" s="205"/>
      <c r="K2751" s="205"/>
    </row>
    <row r="2752" ht="14.25" customHeight="1">
      <c r="A2752" s="55">
        <v>48407.0</v>
      </c>
      <c r="B2752" s="55" t="str">
        <f t="shared" si="10"/>
        <v>Primer dia</v>
      </c>
      <c r="C2752" s="202">
        <f t="shared" si="1"/>
        <v>12</v>
      </c>
      <c r="D2752" s="202" t="str">
        <f t="shared" si="2"/>
        <v> </v>
      </c>
      <c r="E2752" s="202" t="str">
        <f t="shared" si="9"/>
        <v> </v>
      </c>
      <c r="F2752" s="55" t="str">
        <f t="shared" si="4"/>
        <v/>
      </c>
      <c r="G2752" s="202" t="str">
        <f t="shared" si="5"/>
        <v/>
      </c>
      <c r="H2752" s="202" t="str">
        <f t="shared" si="11"/>
        <v> </v>
      </c>
      <c r="I2752" s="205" t="str">
        <f t="shared" si="7"/>
        <v/>
      </c>
      <c r="J2752" s="205"/>
      <c r="K2752" s="205"/>
    </row>
    <row r="2753" ht="14.25" customHeight="1">
      <c r="A2753" s="55">
        <v>48408.0</v>
      </c>
      <c r="B2753" s="55" t="str">
        <f t="shared" si="10"/>
        <v>Primer dia</v>
      </c>
      <c r="C2753" s="202">
        <f t="shared" si="1"/>
        <v>13</v>
      </c>
      <c r="D2753" s="202" t="str">
        <f t="shared" si="2"/>
        <v> </v>
      </c>
      <c r="E2753" s="202" t="str">
        <f t="shared" si="9"/>
        <v> </v>
      </c>
      <c r="F2753" s="55" t="str">
        <f t="shared" si="4"/>
        <v/>
      </c>
      <c r="G2753" s="202" t="str">
        <f t="shared" si="5"/>
        <v/>
      </c>
      <c r="H2753" s="202" t="str">
        <f t="shared" si="11"/>
        <v> </v>
      </c>
      <c r="I2753" s="205" t="str">
        <f t="shared" si="7"/>
        <v/>
      </c>
      <c r="J2753" s="205"/>
      <c r="K2753" s="205"/>
    </row>
    <row r="2754" ht="14.25" customHeight="1">
      <c r="A2754" s="55">
        <v>48409.0</v>
      </c>
      <c r="B2754" s="55" t="str">
        <f t="shared" si="10"/>
        <v>Primer dia</v>
      </c>
      <c r="C2754" s="202">
        <f t="shared" si="1"/>
        <v>14</v>
      </c>
      <c r="D2754" s="202" t="str">
        <f t="shared" si="2"/>
        <v> </v>
      </c>
      <c r="E2754" s="202" t="str">
        <f t="shared" si="9"/>
        <v> </v>
      </c>
      <c r="F2754" s="55" t="str">
        <f t="shared" si="4"/>
        <v/>
      </c>
      <c r="G2754" s="202" t="str">
        <f t="shared" si="5"/>
        <v/>
      </c>
      <c r="H2754" s="202" t="str">
        <f t="shared" si="11"/>
        <v> </v>
      </c>
      <c r="I2754" s="205" t="str">
        <f t="shared" si="7"/>
        <v/>
      </c>
      <c r="J2754" s="205"/>
      <c r="K2754" s="205"/>
    </row>
    <row r="2755" ht="14.25" customHeight="1">
      <c r="A2755" s="55">
        <v>48410.0</v>
      </c>
      <c r="B2755" s="55" t="str">
        <f t="shared" si="10"/>
        <v>Primer dia</v>
      </c>
      <c r="C2755" s="202">
        <f t="shared" si="1"/>
        <v>15</v>
      </c>
      <c r="D2755" s="202" t="str">
        <f t="shared" si="2"/>
        <v> </v>
      </c>
      <c r="E2755" s="202" t="str">
        <f t="shared" si="9"/>
        <v> </v>
      </c>
      <c r="F2755" s="55" t="str">
        <f t="shared" si="4"/>
        <v/>
      </c>
      <c r="G2755" s="202" t="str">
        <f t="shared" si="5"/>
        <v/>
      </c>
      <c r="H2755" s="202" t="str">
        <f t="shared" si="11"/>
        <v> </v>
      </c>
      <c r="I2755" s="205" t="str">
        <f t="shared" si="7"/>
        <v/>
      </c>
      <c r="J2755" s="205"/>
      <c r="K2755" s="205"/>
    </row>
    <row r="2756" ht="14.25" customHeight="1">
      <c r="A2756" s="55">
        <v>48411.0</v>
      </c>
      <c r="B2756" s="55" t="str">
        <f t="shared" si="10"/>
        <v>Primer dia</v>
      </c>
      <c r="C2756" s="202">
        <f t="shared" si="1"/>
        <v>16</v>
      </c>
      <c r="D2756" s="202" t="str">
        <f t="shared" si="2"/>
        <v> </v>
      </c>
      <c r="E2756" s="202" t="str">
        <f t="shared" si="9"/>
        <v> </v>
      </c>
      <c r="F2756" s="55" t="str">
        <f t="shared" si="4"/>
        <v/>
      </c>
      <c r="G2756" s="202" t="str">
        <f t="shared" si="5"/>
        <v/>
      </c>
      <c r="H2756" s="202" t="str">
        <f t="shared" si="11"/>
        <v> </v>
      </c>
      <c r="I2756" s="205" t="str">
        <f t="shared" si="7"/>
        <v/>
      </c>
      <c r="J2756" s="205"/>
      <c r="K2756" s="205"/>
    </row>
    <row r="2757" ht="14.25" customHeight="1">
      <c r="A2757" s="55">
        <v>48412.0</v>
      </c>
      <c r="B2757" s="55" t="str">
        <f t="shared" si="10"/>
        <v>Primer dia</v>
      </c>
      <c r="C2757" s="202">
        <f t="shared" si="1"/>
        <v>17</v>
      </c>
      <c r="D2757" s="202" t="str">
        <f t="shared" si="2"/>
        <v> </v>
      </c>
      <c r="E2757" s="202">
        <f t="shared" si="9"/>
        <v>17</v>
      </c>
      <c r="F2757" s="55">
        <f t="shared" si="4"/>
        <v>48412</v>
      </c>
      <c r="G2757" s="202">
        <f t="shared" si="5"/>
        <v>156</v>
      </c>
      <c r="H2757" s="202" t="str">
        <f t="shared" si="11"/>
        <v> </v>
      </c>
      <c r="I2757" s="205" t="str">
        <f t="shared" si="7"/>
        <v/>
      </c>
      <c r="J2757" s="205"/>
      <c r="K2757" s="205"/>
    </row>
    <row r="2758" ht="14.25" customHeight="1">
      <c r="A2758" s="55">
        <v>48413.0</v>
      </c>
      <c r="B2758" s="55" t="str">
        <f t="shared" si="10"/>
        <v>Primer dia</v>
      </c>
      <c r="C2758" s="202">
        <f t="shared" si="1"/>
        <v>18</v>
      </c>
      <c r="D2758" s="202" t="str">
        <f t="shared" si="2"/>
        <v> </v>
      </c>
      <c r="E2758" s="202" t="str">
        <f t="shared" si="9"/>
        <v> </v>
      </c>
      <c r="F2758" s="55" t="str">
        <f t="shared" si="4"/>
        <v/>
      </c>
      <c r="G2758" s="202" t="str">
        <f t="shared" si="5"/>
        <v/>
      </c>
      <c r="H2758" s="202" t="str">
        <f t="shared" si="11"/>
        <v> </v>
      </c>
      <c r="I2758" s="205" t="str">
        <f t="shared" si="7"/>
        <v/>
      </c>
      <c r="J2758" s="205"/>
      <c r="K2758" s="205"/>
    </row>
    <row r="2759" ht="14.25" customHeight="1">
      <c r="A2759" s="55">
        <v>48414.0</v>
      </c>
      <c r="B2759" s="55" t="str">
        <f t="shared" si="10"/>
        <v>Primer dia</v>
      </c>
      <c r="C2759" s="202">
        <f t="shared" si="1"/>
        <v>19</v>
      </c>
      <c r="D2759" s="202" t="str">
        <f t="shared" si="2"/>
        <v> </v>
      </c>
      <c r="E2759" s="202" t="str">
        <f t="shared" si="9"/>
        <v> </v>
      </c>
      <c r="F2759" s="55" t="str">
        <f t="shared" si="4"/>
        <v/>
      </c>
      <c r="G2759" s="202" t="str">
        <f t="shared" si="5"/>
        <v/>
      </c>
      <c r="H2759" s="202" t="str">
        <f t="shared" si="11"/>
        <v> </v>
      </c>
      <c r="I2759" s="205" t="str">
        <f t="shared" si="7"/>
        <v/>
      </c>
      <c r="J2759" s="205"/>
      <c r="K2759" s="205"/>
    </row>
    <row r="2760" ht="14.25" customHeight="1">
      <c r="A2760" s="55">
        <v>48415.0</v>
      </c>
      <c r="B2760" s="55" t="str">
        <f t="shared" si="10"/>
        <v>Primer dia</v>
      </c>
      <c r="C2760" s="202">
        <f t="shared" si="1"/>
        <v>20</v>
      </c>
      <c r="D2760" s="202" t="str">
        <f t="shared" si="2"/>
        <v> </v>
      </c>
      <c r="E2760" s="202" t="str">
        <f t="shared" si="9"/>
        <v> </v>
      </c>
      <c r="F2760" s="55" t="str">
        <f t="shared" si="4"/>
        <v/>
      </c>
      <c r="G2760" s="202" t="str">
        <f t="shared" si="5"/>
        <v/>
      </c>
      <c r="H2760" s="202" t="str">
        <f t="shared" si="11"/>
        <v> </v>
      </c>
      <c r="I2760" s="205" t="str">
        <f t="shared" si="7"/>
        <v/>
      </c>
      <c r="J2760" s="205"/>
      <c r="K2760" s="205"/>
    </row>
    <row r="2761" ht="14.25" customHeight="1">
      <c r="A2761" s="55">
        <v>48416.0</v>
      </c>
      <c r="B2761" s="55" t="str">
        <f t="shared" si="10"/>
        <v>Primer dia</v>
      </c>
      <c r="C2761" s="202">
        <f t="shared" si="1"/>
        <v>21</v>
      </c>
      <c r="D2761" s="202" t="str">
        <f t="shared" si="2"/>
        <v> </v>
      </c>
      <c r="E2761" s="202" t="str">
        <f t="shared" si="9"/>
        <v> </v>
      </c>
      <c r="F2761" s="55" t="str">
        <f t="shared" si="4"/>
        <v/>
      </c>
      <c r="G2761" s="202" t="str">
        <f t="shared" si="5"/>
        <v/>
      </c>
      <c r="H2761" s="202" t="str">
        <f t="shared" si="11"/>
        <v> </v>
      </c>
      <c r="I2761" s="205" t="str">
        <f t="shared" si="7"/>
        <v/>
      </c>
      <c r="J2761" s="205"/>
      <c r="K2761" s="205"/>
    </row>
    <row r="2762" ht="14.25" customHeight="1">
      <c r="A2762" s="55">
        <v>48417.0</v>
      </c>
      <c r="B2762" s="55" t="str">
        <f t="shared" si="10"/>
        <v>Primer dia</v>
      </c>
      <c r="C2762" s="202">
        <f t="shared" si="1"/>
        <v>22</v>
      </c>
      <c r="D2762" s="202" t="str">
        <f t="shared" si="2"/>
        <v> </v>
      </c>
      <c r="E2762" s="202" t="str">
        <f t="shared" si="9"/>
        <v> </v>
      </c>
      <c r="F2762" s="55" t="str">
        <f t="shared" si="4"/>
        <v/>
      </c>
      <c r="G2762" s="202" t="str">
        <f t="shared" si="5"/>
        <v/>
      </c>
      <c r="H2762" s="202" t="str">
        <f t="shared" si="11"/>
        <v> </v>
      </c>
      <c r="I2762" s="205" t="str">
        <f t="shared" si="7"/>
        <v/>
      </c>
      <c r="J2762" s="205"/>
      <c r="K2762" s="205"/>
    </row>
    <row r="2763" ht="14.25" customHeight="1">
      <c r="A2763" s="55">
        <v>48418.0</v>
      </c>
      <c r="B2763" s="55" t="str">
        <f t="shared" si="10"/>
        <v>Primer dia</v>
      </c>
      <c r="C2763" s="202">
        <f t="shared" si="1"/>
        <v>23</v>
      </c>
      <c r="D2763" s="202" t="str">
        <f t="shared" si="2"/>
        <v> </v>
      </c>
      <c r="E2763" s="202" t="str">
        <f t="shared" si="9"/>
        <v> </v>
      </c>
      <c r="F2763" s="55" t="str">
        <f t="shared" si="4"/>
        <v/>
      </c>
      <c r="G2763" s="202" t="str">
        <f t="shared" si="5"/>
        <v/>
      </c>
      <c r="H2763" s="202" t="str">
        <f t="shared" si="11"/>
        <v> </v>
      </c>
      <c r="I2763" s="205" t="str">
        <f t="shared" si="7"/>
        <v/>
      </c>
      <c r="J2763" s="205"/>
      <c r="K2763" s="205"/>
    </row>
    <row r="2764" ht="14.25" customHeight="1">
      <c r="A2764" s="55">
        <v>48419.0</v>
      </c>
      <c r="B2764" s="55" t="str">
        <f t="shared" si="10"/>
        <v>Primer dia</v>
      </c>
      <c r="C2764" s="202">
        <f t="shared" si="1"/>
        <v>24</v>
      </c>
      <c r="D2764" s="202" t="str">
        <f t="shared" si="2"/>
        <v> </v>
      </c>
      <c r="E2764" s="202" t="str">
        <f t="shared" si="9"/>
        <v> </v>
      </c>
      <c r="F2764" s="55" t="str">
        <f t="shared" si="4"/>
        <v/>
      </c>
      <c r="G2764" s="202" t="str">
        <f t="shared" si="5"/>
        <v/>
      </c>
      <c r="H2764" s="202" t="str">
        <f t="shared" si="11"/>
        <v> </v>
      </c>
      <c r="I2764" s="205" t="str">
        <f t="shared" si="7"/>
        <v/>
      </c>
      <c r="J2764" s="205"/>
      <c r="K2764" s="205"/>
    </row>
    <row r="2765" ht="14.25" customHeight="1">
      <c r="A2765" s="55">
        <v>48420.0</v>
      </c>
      <c r="B2765" s="55" t="str">
        <f t="shared" si="10"/>
        <v>Primer dia</v>
      </c>
      <c r="C2765" s="202">
        <f t="shared" si="1"/>
        <v>25</v>
      </c>
      <c r="D2765" s="202" t="str">
        <f t="shared" si="2"/>
        <v> </v>
      </c>
      <c r="E2765" s="202" t="str">
        <f t="shared" si="9"/>
        <v> </v>
      </c>
      <c r="F2765" s="55" t="str">
        <f t="shared" si="4"/>
        <v/>
      </c>
      <c r="G2765" s="202" t="str">
        <f t="shared" si="5"/>
        <v/>
      </c>
      <c r="H2765" s="202" t="str">
        <f t="shared" si="11"/>
        <v> </v>
      </c>
      <c r="I2765" s="205" t="str">
        <f t="shared" si="7"/>
        <v/>
      </c>
      <c r="J2765" s="205"/>
      <c r="K2765" s="205"/>
    </row>
    <row r="2766" ht="14.25" customHeight="1">
      <c r="A2766" s="55">
        <v>48421.0</v>
      </c>
      <c r="B2766" s="55" t="str">
        <f t="shared" si="10"/>
        <v>Primer dia</v>
      </c>
      <c r="C2766" s="202">
        <f t="shared" si="1"/>
        <v>26</v>
      </c>
      <c r="D2766" s="202" t="str">
        <f t="shared" si="2"/>
        <v> </v>
      </c>
      <c r="E2766" s="202" t="str">
        <f t="shared" si="9"/>
        <v> </v>
      </c>
      <c r="F2766" s="55" t="str">
        <f t="shared" si="4"/>
        <v/>
      </c>
      <c r="G2766" s="202" t="str">
        <f t="shared" si="5"/>
        <v/>
      </c>
      <c r="H2766" s="202" t="str">
        <f t="shared" si="11"/>
        <v> </v>
      </c>
      <c r="I2766" s="205" t="str">
        <f t="shared" si="7"/>
        <v/>
      </c>
      <c r="J2766" s="205"/>
      <c r="K2766" s="205"/>
    </row>
    <row r="2767" ht="14.25" customHeight="1">
      <c r="A2767" s="55">
        <v>48422.0</v>
      </c>
      <c r="B2767" s="55" t="str">
        <f t="shared" si="10"/>
        <v>Primer dia</v>
      </c>
      <c r="C2767" s="202">
        <f t="shared" si="1"/>
        <v>27</v>
      </c>
      <c r="D2767" s="202" t="str">
        <f t="shared" si="2"/>
        <v> </v>
      </c>
      <c r="E2767" s="202" t="str">
        <f t="shared" si="9"/>
        <v> </v>
      </c>
      <c r="F2767" s="55" t="str">
        <f t="shared" si="4"/>
        <v/>
      </c>
      <c r="G2767" s="202" t="str">
        <f t="shared" si="5"/>
        <v/>
      </c>
      <c r="H2767" s="202" t="str">
        <f t="shared" si="11"/>
        <v> </v>
      </c>
      <c r="I2767" s="205" t="str">
        <f t="shared" si="7"/>
        <v/>
      </c>
      <c r="J2767" s="205"/>
      <c r="K2767" s="205"/>
    </row>
    <row r="2768" ht="14.25" customHeight="1">
      <c r="A2768" s="55">
        <v>48423.0</v>
      </c>
      <c r="B2768" s="55" t="str">
        <f t="shared" si="10"/>
        <v>Primer dia</v>
      </c>
      <c r="C2768" s="202">
        <f t="shared" si="1"/>
        <v>28</v>
      </c>
      <c r="D2768" s="202" t="str">
        <f t="shared" si="2"/>
        <v> </v>
      </c>
      <c r="E2768" s="202" t="str">
        <f t="shared" si="9"/>
        <v> </v>
      </c>
      <c r="F2768" s="55" t="str">
        <f t="shared" si="4"/>
        <v/>
      </c>
      <c r="G2768" s="202" t="str">
        <f t="shared" si="5"/>
        <v/>
      </c>
      <c r="H2768" s="202" t="str">
        <f t="shared" si="11"/>
        <v> </v>
      </c>
      <c r="I2768" s="205" t="str">
        <f t="shared" si="7"/>
        <v/>
      </c>
      <c r="J2768" s="205"/>
      <c r="K2768" s="205"/>
    </row>
    <row r="2769" ht="14.25" customHeight="1">
      <c r="A2769" s="55">
        <v>48424.0</v>
      </c>
      <c r="B2769" s="55" t="str">
        <f t="shared" si="10"/>
        <v>Primer dia</v>
      </c>
      <c r="C2769" s="202">
        <f t="shared" si="1"/>
        <v>29</v>
      </c>
      <c r="D2769" s="202" t="str">
        <f t="shared" si="2"/>
        <v> </v>
      </c>
      <c r="E2769" s="202" t="str">
        <f t="shared" si="9"/>
        <v> </v>
      </c>
      <c r="F2769" s="55" t="str">
        <f t="shared" si="4"/>
        <v/>
      </c>
      <c r="G2769" s="202" t="str">
        <f t="shared" si="5"/>
        <v/>
      </c>
      <c r="H2769" s="202" t="str">
        <f t="shared" si="11"/>
        <v> </v>
      </c>
      <c r="I2769" s="205" t="str">
        <f t="shared" si="7"/>
        <v/>
      </c>
      <c r="J2769" s="205"/>
      <c r="K2769" s="205"/>
    </row>
    <row r="2770" ht="14.25" customHeight="1">
      <c r="A2770" s="55">
        <v>48425.0</v>
      </c>
      <c r="B2770" s="55" t="str">
        <f t="shared" si="10"/>
        <v>Primer dia</v>
      </c>
      <c r="C2770" s="202">
        <f t="shared" si="1"/>
        <v>30</v>
      </c>
      <c r="D2770" s="202" t="str">
        <f t="shared" si="2"/>
        <v> </v>
      </c>
      <c r="E2770" s="202" t="str">
        <f t="shared" si="9"/>
        <v> </v>
      </c>
      <c r="F2770" s="55" t="str">
        <f t="shared" si="4"/>
        <v/>
      </c>
      <c r="G2770" s="202" t="str">
        <f t="shared" si="5"/>
        <v/>
      </c>
      <c r="H2770" s="202" t="str">
        <f t="shared" si="11"/>
        <v> </v>
      </c>
      <c r="I2770" s="205" t="str">
        <f t="shared" si="7"/>
        <v/>
      </c>
      <c r="J2770" s="205"/>
      <c r="K2770" s="205"/>
    </row>
    <row r="2771" ht="14.25" customHeight="1">
      <c r="A2771" s="55">
        <v>48426.0</v>
      </c>
      <c r="B2771" s="55" t="str">
        <f t="shared" si="10"/>
        <v>Primer dia</v>
      </c>
      <c r="C2771" s="202">
        <f t="shared" si="1"/>
        <v>31</v>
      </c>
      <c r="D2771" s="202" t="str">
        <f t="shared" si="2"/>
        <v> </v>
      </c>
      <c r="E2771" s="202" t="str">
        <f t="shared" si="9"/>
        <v> </v>
      </c>
      <c r="F2771" s="55" t="str">
        <f t="shared" si="4"/>
        <v/>
      </c>
      <c r="G2771" s="202" t="str">
        <f t="shared" si="5"/>
        <v/>
      </c>
      <c r="H2771" s="202" t="str">
        <f t="shared" si="11"/>
        <v> </v>
      </c>
      <c r="I2771" s="205" t="str">
        <f t="shared" si="7"/>
        <v/>
      </c>
      <c r="J2771" s="205"/>
      <c r="K2771" s="205"/>
    </row>
    <row r="2772" ht="14.25" customHeight="1">
      <c r="A2772" s="55">
        <v>48427.0</v>
      </c>
      <c r="B2772" s="55" t="str">
        <f t="shared" si="10"/>
        <v>Primer dia</v>
      </c>
      <c r="C2772" s="202">
        <f t="shared" si="1"/>
        <v>1</v>
      </c>
      <c r="D2772" s="202" t="str">
        <f t="shared" si="2"/>
        <v> </v>
      </c>
      <c r="E2772" s="202" t="str">
        <f t="shared" si="9"/>
        <v> </v>
      </c>
      <c r="F2772" s="55" t="str">
        <f t="shared" si="4"/>
        <v/>
      </c>
      <c r="G2772" s="202" t="str">
        <f t="shared" si="5"/>
        <v/>
      </c>
      <c r="H2772" s="202" t="str">
        <f t="shared" si="11"/>
        <v> </v>
      </c>
      <c r="I2772" s="205" t="str">
        <f t="shared" si="7"/>
        <v/>
      </c>
      <c r="J2772" s="205"/>
      <c r="K2772" s="205"/>
    </row>
    <row r="2773" ht="14.25" customHeight="1">
      <c r="A2773" s="55">
        <v>48428.0</v>
      </c>
      <c r="B2773" s="55" t="str">
        <f t="shared" si="10"/>
        <v>Primer dia</v>
      </c>
      <c r="C2773" s="202">
        <f t="shared" si="1"/>
        <v>2</v>
      </c>
      <c r="D2773" s="202" t="str">
        <f t="shared" si="2"/>
        <v> </v>
      </c>
      <c r="E2773" s="202">
        <f t="shared" si="9"/>
        <v>2</v>
      </c>
      <c r="F2773" s="55">
        <f t="shared" si="4"/>
        <v>48428</v>
      </c>
      <c r="G2773" s="202">
        <f t="shared" si="5"/>
        <v>157</v>
      </c>
      <c r="H2773" s="202" t="str">
        <f t="shared" si="11"/>
        <v> </v>
      </c>
      <c r="I2773" s="205" t="str">
        <f t="shared" si="7"/>
        <v/>
      </c>
      <c r="J2773" s="205"/>
      <c r="K2773" s="205"/>
    </row>
    <row r="2774" ht="14.25" customHeight="1">
      <c r="A2774" s="55">
        <v>48429.0</v>
      </c>
      <c r="B2774" s="55" t="str">
        <f t="shared" si="10"/>
        <v>Primer dia</v>
      </c>
      <c r="C2774" s="202">
        <f t="shared" si="1"/>
        <v>3</v>
      </c>
      <c r="D2774" s="202" t="str">
        <f t="shared" si="2"/>
        <v> </v>
      </c>
      <c r="E2774" s="202" t="str">
        <f t="shared" si="9"/>
        <v> </v>
      </c>
      <c r="F2774" s="55" t="str">
        <f t="shared" si="4"/>
        <v/>
      </c>
      <c r="G2774" s="202" t="str">
        <f t="shared" si="5"/>
        <v/>
      </c>
      <c r="H2774" s="202" t="str">
        <f t="shared" si="11"/>
        <v> </v>
      </c>
      <c r="I2774" s="205" t="str">
        <f t="shared" si="7"/>
        <v/>
      </c>
      <c r="J2774" s="205"/>
      <c r="K2774" s="205"/>
    </row>
    <row r="2775" ht="14.25" customHeight="1">
      <c r="A2775" s="55">
        <v>48430.0</v>
      </c>
      <c r="B2775" s="55" t="str">
        <f t="shared" si="10"/>
        <v>Primer dia</v>
      </c>
      <c r="C2775" s="202">
        <f t="shared" si="1"/>
        <v>4</v>
      </c>
      <c r="D2775" s="202" t="str">
        <f t="shared" si="2"/>
        <v> </v>
      </c>
      <c r="E2775" s="202" t="str">
        <f t="shared" si="9"/>
        <v> </v>
      </c>
      <c r="F2775" s="55" t="str">
        <f t="shared" si="4"/>
        <v/>
      </c>
      <c r="G2775" s="202" t="str">
        <f t="shared" si="5"/>
        <v/>
      </c>
      <c r="H2775" s="202" t="str">
        <f t="shared" si="11"/>
        <v> </v>
      </c>
      <c r="I2775" s="205" t="str">
        <f t="shared" si="7"/>
        <v/>
      </c>
      <c r="J2775" s="205"/>
      <c r="K2775" s="205"/>
    </row>
    <row r="2776" ht="14.25" customHeight="1">
      <c r="A2776" s="55">
        <v>48431.0</v>
      </c>
      <c r="B2776" s="55" t="str">
        <f t="shared" si="10"/>
        <v>Primer dia</v>
      </c>
      <c r="C2776" s="202">
        <f t="shared" si="1"/>
        <v>5</v>
      </c>
      <c r="D2776" s="202" t="str">
        <f t="shared" si="2"/>
        <v> </v>
      </c>
      <c r="E2776" s="202" t="str">
        <f t="shared" si="9"/>
        <v> </v>
      </c>
      <c r="F2776" s="55" t="str">
        <f t="shared" si="4"/>
        <v/>
      </c>
      <c r="G2776" s="202" t="str">
        <f t="shared" si="5"/>
        <v/>
      </c>
      <c r="H2776" s="202" t="str">
        <f t="shared" si="11"/>
        <v> </v>
      </c>
      <c r="I2776" s="205" t="str">
        <f t="shared" si="7"/>
        <v/>
      </c>
      <c r="J2776" s="205"/>
      <c r="K2776" s="205"/>
    </row>
    <row r="2777" ht="14.25" customHeight="1">
      <c r="A2777" s="55">
        <v>48432.0</v>
      </c>
      <c r="B2777" s="55" t="str">
        <f t="shared" si="10"/>
        <v>Primer dia</v>
      </c>
      <c r="C2777" s="202">
        <f t="shared" si="1"/>
        <v>6</v>
      </c>
      <c r="D2777" s="202" t="str">
        <f t="shared" si="2"/>
        <v> </v>
      </c>
      <c r="E2777" s="202" t="str">
        <f t="shared" si="9"/>
        <v> </v>
      </c>
      <c r="F2777" s="55" t="str">
        <f t="shared" si="4"/>
        <v/>
      </c>
      <c r="G2777" s="202" t="str">
        <f t="shared" si="5"/>
        <v/>
      </c>
      <c r="H2777" s="202" t="str">
        <f t="shared" si="11"/>
        <v> </v>
      </c>
      <c r="I2777" s="205" t="str">
        <f t="shared" si="7"/>
        <v/>
      </c>
      <c r="J2777" s="205"/>
      <c r="K2777" s="205"/>
    </row>
    <row r="2778" ht="14.25" customHeight="1">
      <c r="A2778" s="55">
        <v>48433.0</v>
      </c>
      <c r="B2778" s="55" t="str">
        <f t="shared" si="10"/>
        <v>Primer dia</v>
      </c>
      <c r="C2778" s="202">
        <f t="shared" si="1"/>
        <v>7</v>
      </c>
      <c r="D2778" s="202" t="str">
        <f t="shared" si="2"/>
        <v> </v>
      </c>
      <c r="E2778" s="202" t="str">
        <f t="shared" si="9"/>
        <v> </v>
      </c>
      <c r="F2778" s="55" t="str">
        <f t="shared" si="4"/>
        <v/>
      </c>
      <c r="G2778" s="202" t="str">
        <f t="shared" si="5"/>
        <v/>
      </c>
      <c r="H2778" s="202" t="str">
        <f t="shared" si="11"/>
        <v> </v>
      </c>
      <c r="I2778" s="205" t="str">
        <f t="shared" si="7"/>
        <v/>
      </c>
      <c r="J2778" s="205"/>
      <c r="K2778" s="205"/>
    </row>
    <row r="2779" ht="14.25" customHeight="1">
      <c r="A2779" s="55">
        <v>48434.0</v>
      </c>
      <c r="B2779" s="55" t="str">
        <f t="shared" si="10"/>
        <v>Primer dia</v>
      </c>
      <c r="C2779" s="202">
        <f t="shared" si="1"/>
        <v>8</v>
      </c>
      <c r="D2779" s="202" t="str">
        <f t="shared" si="2"/>
        <v> </v>
      </c>
      <c r="E2779" s="202" t="str">
        <f t="shared" si="9"/>
        <v> </v>
      </c>
      <c r="F2779" s="55" t="str">
        <f t="shared" si="4"/>
        <v/>
      </c>
      <c r="G2779" s="202" t="str">
        <f t="shared" si="5"/>
        <v/>
      </c>
      <c r="H2779" s="202" t="str">
        <f t="shared" si="11"/>
        <v> </v>
      </c>
      <c r="I2779" s="205" t="str">
        <f t="shared" si="7"/>
        <v/>
      </c>
      <c r="J2779" s="205"/>
      <c r="K2779" s="205"/>
    </row>
    <row r="2780" ht="14.25" customHeight="1">
      <c r="A2780" s="55">
        <v>48435.0</v>
      </c>
      <c r="B2780" s="55" t="str">
        <f t="shared" si="10"/>
        <v>Primer dia</v>
      </c>
      <c r="C2780" s="202">
        <f t="shared" si="1"/>
        <v>9</v>
      </c>
      <c r="D2780" s="202" t="str">
        <f t="shared" si="2"/>
        <v> </v>
      </c>
      <c r="E2780" s="202" t="str">
        <f t="shared" si="9"/>
        <v> </v>
      </c>
      <c r="F2780" s="55" t="str">
        <f t="shared" si="4"/>
        <v/>
      </c>
      <c r="G2780" s="202" t="str">
        <f t="shared" si="5"/>
        <v/>
      </c>
      <c r="H2780" s="202" t="str">
        <f t="shared" si="11"/>
        <v> </v>
      </c>
      <c r="I2780" s="205" t="str">
        <f t="shared" si="7"/>
        <v/>
      </c>
      <c r="J2780" s="205"/>
      <c r="K2780" s="205"/>
    </row>
    <row r="2781" ht="14.25" customHeight="1">
      <c r="A2781" s="55">
        <v>48436.0</v>
      </c>
      <c r="B2781" s="55" t="str">
        <f t="shared" si="10"/>
        <v>Primer dia</v>
      </c>
      <c r="C2781" s="202">
        <f t="shared" si="1"/>
        <v>10</v>
      </c>
      <c r="D2781" s="202" t="str">
        <f t="shared" si="2"/>
        <v> </v>
      </c>
      <c r="E2781" s="202" t="str">
        <f t="shared" si="9"/>
        <v> </v>
      </c>
      <c r="F2781" s="55" t="str">
        <f t="shared" si="4"/>
        <v/>
      </c>
      <c r="G2781" s="202" t="str">
        <f t="shared" si="5"/>
        <v/>
      </c>
      <c r="H2781" s="202" t="str">
        <f t="shared" si="11"/>
        <v> </v>
      </c>
      <c r="I2781" s="205" t="str">
        <f t="shared" si="7"/>
        <v/>
      </c>
      <c r="J2781" s="205"/>
      <c r="K2781" s="205"/>
    </row>
    <row r="2782" ht="14.25" customHeight="1">
      <c r="A2782" s="55">
        <v>48437.0</v>
      </c>
      <c r="B2782" s="55" t="str">
        <f t="shared" si="10"/>
        <v>Primer dia</v>
      </c>
      <c r="C2782" s="202">
        <f t="shared" si="1"/>
        <v>11</v>
      </c>
      <c r="D2782" s="202" t="str">
        <f t="shared" si="2"/>
        <v> </v>
      </c>
      <c r="E2782" s="202" t="str">
        <f t="shared" si="9"/>
        <v> </v>
      </c>
      <c r="F2782" s="55" t="str">
        <f t="shared" si="4"/>
        <v/>
      </c>
      <c r="G2782" s="202" t="str">
        <f t="shared" si="5"/>
        <v/>
      </c>
      <c r="H2782" s="202" t="str">
        <f t="shared" si="11"/>
        <v> </v>
      </c>
      <c r="I2782" s="205" t="str">
        <f t="shared" si="7"/>
        <v/>
      </c>
      <c r="J2782" s="205"/>
      <c r="K2782" s="205"/>
    </row>
    <row r="2783" ht="14.25" customHeight="1">
      <c r="A2783" s="55">
        <v>48438.0</v>
      </c>
      <c r="B2783" s="55" t="str">
        <f t="shared" si="10"/>
        <v>Primer dia</v>
      </c>
      <c r="C2783" s="202">
        <f t="shared" si="1"/>
        <v>12</v>
      </c>
      <c r="D2783" s="202" t="str">
        <f t="shared" si="2"/>
        <v> </v>
      </c>
      <c r="E2783" s="202" t="str">
        <f t="shared" si="9"/>
        <v> </v>
      </c>
      <c r="F2783" s="55" t="str">
        <f t="shared" si="4"/>
        <v/>
      </c>
      <c r="G2783" s="202" t="str">
        <f t="shared" si="5"/>
        <v/>
      </c>
      <c r="H2783" s="202" t="str">
        <f t="shared" si="11"/>
        <v> </v>
      </c>
      <c r="I2783" s="205" t="str">
        <f t="shared" si="7"/>
        <v/>
      </c>
      <c r="J2783" s="205"/>
      <c r="K2783" s="205"/>
    </row>
    <row r="2784" ht="14.25" customHeight="1">
      <c r="A2784" s="55">
        <v>48439.0</v>
      </c>
      <c r="B2784" s="55" t="str">
        <f t="shared" si="10"/>
        <v>Primer dia</v>
      </c>
      <c r="C2784" s="202">
        <f t="shared" si="1"/>
        <v>13</v>
      </c>
      <c r="D2784" s="202" t="str">
        <f t="shared" si="2"/>
        <v> </v>
      </c>
      <c r="E2784" s="202" t="str">
        <f t="shared" si="9"/>
        <v> </v>
      </c>
      <c r="F2784" s="55" t="str">
        <f t="shared" si="4"/>
        <v/>
      </c>
      <c r="G2784" s="202" t="str">
        <f t="shared" si="5"/>
        <v/>
      </c>
      <c r="H2784" s="202" t="str">
        <f t="shared" si="11"/>
        <v> </v>
      </c>
      <c r="I2784" s="205" t="str">
        <f t="shared" si="7"/>
        <v/>
      </c>
      <c r="J2784" s="205"/>
      <c r="K2784" s="205"/>
    </row>
    <row r="2785" ht="14.25" customHeight="1">
      <c r="A2785" s="55">
        <v>48440.0</v>
      </c>
      <c r="B2785" s="55" t="str">
        <f t="shared" si="10"/>
        <v>Primer dia</v>
      </c>
      <c r="C2785" s="202">
        <f t="shared" si="1"/>
        <v>14</v>
      </c>
      <c r="D2785" s="202" t="str">
        <f t="shared" si="2"/>
        <v> </v>
      </c>
      <c r="E2785" s="202" t="str">
        <f t="shared" si="9"/>
        <v> </v>
      </c>
      <c r="F2785" s="55" t="str">
        <f t="shared" si="4"/>
        <v/>
      </c>
      <c r="G2785" s="202" t="str">
        <f t="shared" si="5"/>
        <v/>
      </c>
      <c r="H2785" s="202" t="str">
        <f t="shared" si="11"/>
        <v> </v>
      </c>
      <c r="I2785" s="205" t="str">
        <f t="shared" si="7"/>
        <v/>
      </c>
      <c r="J2785" s="205"/>
      <c r="K2785" s="205"/>
    </row>
    <row r="2786" ht="14.25" customHeight="1">
      <c r="A2786" s="55">
        <v>48441.0</v>
      </c>
      <c r="B2786" s="55" t="str">
        <f t="shared" si="10"/>
        <v>Primer dia</v>
      </c>
      <c r="C2786" s="202">
        <f t="shared" si="1"/>
        <v>15</v>
      </c>
      <c r="D2786" s="202" t="str">
        <f t="shared" si="2"/>
        <v> </v>
      </c>
      <c r="E2786" s="202" t="str">
        <f t="shared" si="9"/>
        <v> </v>
      </c>
      <c r="F2786" s="55" t="str">
        <f t="shared" si="4"/>
        <v/>
      </c>
      <c r="G2786" s="202" t="str">
        <f t="shared" si="5"/>
        <v/>
      </c>
      <c r="H2786" s="202" t="str">
        <f t="shared" si="11"/>
        <v> </v>
      </c>
      <c r="I2786" s="205" t="str">
        <f t="shared" si="7"/>
        <v/>
      </c>
      <c r="J2786" s="205"/>
      <c r="K2786" s="205"/>
    </row>
    <row r="2787" ht="14.25" customHeight="1">
      <c r="A2787" s="55">
        <v>48442.0</v>
      </c>
      <c r="B2787" s="55" t="str">
        <f t="shared" si="10"/>
        <v>Primer dia</v>
      </c>
      <c r="C2787" s="202">
        <f t="shared" si="1"/>
        <v>16</v>
      </c>
      <c r="D2787" s="202" t="str">
        <f t="shared" si="2"/>
        <v> </v>
      </c>
      <c r="E2787" s="202" t="str">
        <f t="shared" si="9"/>
        <v> </v>
      </c>
      <c r="F2787" s="55" t="str">
        <f t="shared" si="4"/>
        <v/>
      </c>
      <c r="G2787" s="202" t="str">
        <f t="shared" si="5"/>
        <v/>
      </c>
      <c r="H2787" s="202" t="str">
        <f t="shared" si="11"/>
        <v> </v>
      </c>
      <c r="I2787" s="205" t="str">
        <f t="shared" si="7"/>
        <v/>
      </c>
      <c r="J2787" s="205"/>
      <c r="K2787" s="205"/>
    </row>
    <row r="2788" ht="14.25" customHeight="1">
      <c r="A2788" s="55">
        <v>48443.0</v>
      </c>
      <c r="B2788" s="55" t="str">
        <f t="shared" si="10"/>
        <v>Primer dia</v>
      </c>
      <c r="C2788" s="202">
        <f t="shared" si="1"/>
        <v>17</v>
      </c>
      <c r="D2788" s="202" t="str">
        <f t="shared" si="2"/>
        <v> </v>
      </c>
      <c r="E2788" s="202">
        <f t="shared" si="9"/>
        <v>17</v>
      </c>
      <c r="F2788" s="55">
        <f t="shared" si="4"/>
        <v>48443</v>
      </c>
      <c r="G2788" s="202">
        <f t="shared" si="5"/>
        <v>158</v>
      </c>
      <c r="H2788" s="202" t="str">
        <f t="shared" si="11"/>
        <v> </v>
      </c>
      <c r="I2788" s="205" t="str">
        <f t="shared" si="7"/>
        <v/>
      </c>
      <c r="J2788" s="205"/>
      <c r="K2788" s="205"/>
    </row>
    <row r="2789" ht="14.25" customHeight="1">
      <c r="A2789" s="55">
        <v>48444.0</v>
      </c>
      <c r="B2789" s="55" t="str">
        <f t="shared" si="10"/>
        <v>Primer dia</v>
      </c>
      <c r="C2789" s="202">
        <f t="shared" si="1"/>
        <v>18</v>
      </c>
      <c r="D2789" s="202" t="str">
        <f t="shared" si="2"/>
        <v> </v>
      </c>
      <c r="E2789" s="202" t="str">
        <f t="shared" si="9"/>
        <v> </v>
      </c>
      <c r="F2789" s="55" t="str">
        <f t="shared" si="4"/>
        <v/>
      </c>
      <c r="G2789" s="202" t="str">
        <f t="shared" si="5"/>
        <v/>
      </c>
      <c r="H2789" s="202" t="str">
        <f t="shared" si="11"/>
        <v> </v>
      </c>
      <c r="I2789" s="205" t="str">
        <f t="shared" si="7"/>
        <v/>
      </c>
      <c r="J2789" s="205"/>
      <c r="K2789" s="205"/>
    </row>
    <row r="2790" ht="14.25" customHeight="1">
      <c r="A2790" s="55">
        <v>48445.0</v>
      </c>
      <c r="B2790" s="55" t="str">
        <f t="shared" si="10"/>
        <v>Primer dia</v>
      </c>
      <c r="C2790" s="202">
        <f t="shared" si="1"/>
        <v>19</v>
      </c>
      <c r="D2790" s="202" t="str">
        <f t="shared" si="2"/>
        <v> </v>
      </c>
      <c r="E2790" s="202" t="str">
        <f t="shared" si="9"/>
        <v> </v>
      </c>
      <c r="F2790" s="55" t="str">
        <f t="shared" si="4"/>
        <v/>
      </c>
      <c r="G2790" s="202" t="str">
        <f t="shared" si="5"/>
        <v/>
      </c>
      <c r="H2790" s="202" t="str">
        <f t="shared" si="11"/>
        <v> </v>
      </c>
      <c r="I2790" s="205" t="str">
        <f t="shared" si="7"/>
        <v/>
      </c>
      <c r="J2790" s="205"/>
      <c r="K2790" s="205"/>
    </row>
    <row r="2791" ht="14.25" customHeight="1">
      <c r="A2791" s="55">
        <v>48446.0</v>
      </c>
      <c r="B2791" s="55" t="str">
        <f t="shared" si="10"/>
        <v>Primer dia</v>
      </c>
      <c r="C2791" s="202">
        <f t="shared" si="1"/>
        <v>20</v>
      </c>
      <c r="D2791" s="202" t="str">
        <f t="shared" si="2"/>
        <v> </v>
      </c>
      <c r="E2791" s="202" t="str">
        <f t="shared" si="9"/>
        <v> </v>
      </c>
      <c r="F2791" s="55" t="str">
        <f t="shared" si="4"/>
        <v/>
      </c>
      <c r="G2791" s="202" t="str">
        <f t="shared" si="5"/>
        <v/>
      </c>
      <c r="H2791" s="202" t="str">
        <f t="shared" si="11"/>
        <v> </v>
      </c>
      <c r="I2791" s="205" t="str">
        <f t="shared" si="7"/>
        <v/>
      </c>
      <c r="J2791" s="205"/>
      <c r="K2791" s="205"/>
    </row>
    <row r="2792" ht="14.25" customHeight="1">
      <c r="A2792" s="55">
        <v>48447.0</v>
      </c>
      <c r="B2792" s="55" t="str">
        <f t="shared" si="10"/>
        <v>Primer dia</v>
      </c>
      <c r="C2792" s="202">
        <f t="shared" si="1"/>
        <v>21</v>
      </c>
      <c r="D2792" s="202" t="str">
        <f t="shared" si="2"/>
        <v> </v>
      </c>
      <c r="E2792" s="202" t="str">
        <f t="shared" si="9"/>
        <v> </v>
      </c>
      <c r="F2792" s="55" t="str">
        <f t="shared" si="4"/>
        <v/>
      </c>
      <c r="G2792" s="202" t="str">
        <f t="shared" si="5"/>
        <v/>
      </c>
      <c r="H2792" s="202" t="str">
        <f t="shared" si="11"/>
        <v> </v>
      </c>
      <c r="I2792" s="205" t="str">
        <f t="shared" si="7"/>
        <v/>
      </c>
      <c r="J2792" s="205"/>
      <c r="K2792" s="205"/>
    </row>
    <row r="2793" ht="14.25" customHeight="1">
      <c r="A2793" s="55">
        <v>48448.0</v>
      </c>
      <c r="B2793" s="55" t="str">
        <f t="shared" si="10"/>
        <v>Primer dia</v>
      </c>
      <c r="C2793" s="202">
        <f t="shared" si="1"/>
        <v>22</v>
      </c>
      <c r="D2793" s="202" t="str">
        <f t="shared" si="2"/>
        <v> </v>
      </c>
      <c r="E2793" s="202" t="str">
        <f t="shared" si="9"/>
        <v> </v>
      </c>
      <c r="F2793" s="55" t="str">
        <f t="shared" si="4"/>
        <v/>
      </c>
      <c r="G2793" s="202" t="str">
        <f t="shared" si="5"/>
        <v/>
      </c>
      <c r="H2793" s="202" t="str">
        <f t="shared" si="11"/>
        <v> </v>
      </c>
      <c r="I2793" s="205" t="str">
        <f t="shared" si="7"/>
        <v/>
      </c>
      <c r="J2793" s="205"/>
      <c r="K2793" s="205"/>
    </row>
    <row r="2794" ht="14.25" customHeight="1">
      <c r="A2794" s="55">
        <v>48449.0</v>
      </c>
      <c r="B2794" s="55" t="str">
        <f t="shared" si="10"/>
        <v>Primer dia</v>
      </c>
      <c r="C2794" s="202">
        <f t="shared" si="1"/>
        <v>23</v>
      </c>
      <c r="D2794" s="202" t="str">
        <f t="shared" si="2"/>
        <v> </v>
      </c>
      <c r="E2794" s="202" t="str">
        <f t="shared" si="9"/>
        <v> </v>
      </c>
      <c r="F2794" s="55" t="str">
        <f t="shared" si="4"/>
        <v/>
      </c>
      <c r="G2794" s="202" t="str">
        <f t="shared" si="5"/>
        <v/>
      </c>
      <c r="H2794" s="202" t="str">
        <f t="shared" si="11"/>
        <v> </v>
      </c>
      <c r="I2794" s="205" t="str">
        <f t="shared" si="7"/>
        <v/>
      </c>
      <c r="J2794" s="205"/>
      <c r="K2794" s="205"/>
    </row>
    <row r="2795" ht="14.25" customHeight="1">
      <c r="A2795" s="55">
        <v>48450.0</v>
      </c>
      <c r="B2795" s="55" t="str">
        <f t="shared" si="10"/>
        <v>Primer dia</v>
      </c>
      <c r="C2795" s="202">
        <f t="shared" si="1"/>
        <v>24</v>
      </c>
      <c r="D2795" s="202" t="str">
        <f t="shared" si="2"/>
        <v> </v>
      </c>
      <c r="E2795" s="202" t="str">
        <f t="shared" si="9"/>
        <v> </v>
      </c>
      <c r="F2795" s="55" t="str">
        <f t="shared" si="4"/>
        <v/>
      </c>
      <c r="G2795" s="202" t="str">
        <f t="shared" si="5"/>
        <v/>
      </c>
      <c r="H2795" s="202" t="str">
        <f t="shared" si="11"/>
        <v> </v>
      </c>
      <c r="I2795" s="205" t="str">
        <f t="shared" si="7"/>
        <v/>
      </c>
      <c r="J2795" s="205"/>
      <c r="K2795" s="205"/>
    </row>
    <row r="2796" ht="14.25" customHeight="1">
      <c r="A2796" s="55">
        <v>48451.0</v>
      </c>
      <c r="B2796" s="55" t="str">
        <f t="shared" si="10"/>
        <v>Primer dia</v>
      </c>
      <c r="C2796" s="202">
        <f t="shared" si="1"/>
        <v>25</v>
      </c>
      <c r="D2796" s="202" t="str">
        <f t="shared" si="2"/>
        <v> </v>
      </c>
      <c r="E2796" s="202" t="str">
        <f t="shared" si="9"/>
        <v> </v>
      </c>
      <c r="F2796" s="55" t="str">
        <f t="shared" si="4"/>
        <v/>
      </c>
      <c r="G2796" s="202" t="str">
        <f t="shared" si="5"/>
        <v/>
      </c>
      <c r="H2796" s="202" t="str">
        <f t="shared" si="11"/>
        <v> </v>
      </c>
      <c r="I2796" s="205" t="str">
        <f t="shared" si="7"/>
        <v/>
      </c>
      <c r="J2796" s="205"/>
      <c r="K2796" s="205"/>
    </row>
    <row r="2797" ht="14.25" customHeight="1">
      <c r="A2797" s="55">
        <v>48452.0</v>
      </c>
      <c r="B2797" s="55" t="str">
        <f t="shared" si="10"/>
        <v>Primer dia</v>
      </c>
      <c r="C2797" s="202">
        <f t="shared" si="1"/>
        <v>26</v>
      </c>
      <c r="D2797" s="202" t="str">
        <f t="shared" si="2"/>
        <v> </v>
      </c>
      <c r="E2797" s="202" t="str">
        <f t="shared" si="9"/>
        <v> </v>
      </c>
      <c r="F2797" s="55" t="str">
        <f t="shared" si="4"/>
        <v/>
      </c>
      <c r="G2797" s="202" t="str">
        <f t="shared" si="5"/>
        <v/>
      </c>
      <c r="H2797" s="202" t="str">
        <f t="shared" si="11"/>
        <v> </v>
      </c>
      <c r="I2797" s="205" t="str">
        <f t="shared" si="7"/>
        <v/>
      </c>
      <c r="J2797" s="205"/>
      <c r="K2797" s="205"/>
    </row>
    <row r="2798" ht="14.25" customHeight="1">
      <c r="A2798" s="55">
        <v>48453.0</v>
      </c>
      <c r="B2798" s="55" t="str">
        <f t="shared" si="10"/>
        <v>Primer dia</v>
      </c>
      <c r="C2798" s="202">
        <f t="shared" si="1"/>
        <v>27</v>
      </c>
      <c r="D2798" s="202" t="str">
        <f t="shared" si="2"/>
        <v> </v>
      </c>
      <c r="E2798" s="202" t="str">
        <f t="shared" si="9"/>
        <v> </v>
      </c>
      <c r="F2798" s="55" t="str">
        <f t="shared" si="4"/>
        <v/>
      </c>
      <c r="G2798" s="202" t="str">
        <f t="shared" si="5"/>
        <v/>
      </c>
      <c r="H2798" s="202" t="str">
        <f t="shared" si="11"/>
        <v> </v>
      </c>
      <c r="I2798" s="205" t="str">
        <f t="shared" si="7"/>
        <v/>
      </c>
      <c r="J2798" s="205"/>
      <c r="K2798" s="205"/>
    </row>
    <row r="2799" ht="14.25" customHeight="1">
      <c r="A2799" s="55">
        <v>48454.0</v>
      </c>
      <c r="B2799" s="55" t="str">
        <f t="shared" si="10"/>
        <v>Primer dia</v>
      </c>
      <c r="C2799" s="202">
        <f t="shared" si="1"/>
        <v>28</v>
      </c>
      <c r="D2799" s="202" t="str">
        <f t="shared" si="2"/>
        <v> </v>
      </c>
      <c r="E2799" s="202" t="str">
        <f t="shared" si="9"/>
        <v> </v>
      </c>
      <c r="F2799" s="55" t="str">
        <f t="shared" si="4"/>
        <v/>
      </c>
      <c r="G2799" s="202" t="str">
        <f t="shared" si="5"/>
        <v/>
      </c>
      <c r="H2799" s="202" t="str">
        <f t="shared" si="11"/>
        <v> </v>
      </c>
      <c r="I2799" s="205" t="str">
        <f t="shared" si="7"/>
        <v/>
      </c>
      <c r="J2799" s="205"/>
      <c r="K2799" s="205"/>
    </row>
    <row r="2800" ht="14.25" customHeight="1">
      <c r="A2800" s="55">
        <v>48455.0</v>
      </c>
      <c r="B2800" s="55" t="str">
        <f t="shared" si="10"/>
        <v>Primer dia</v>
      </c>
      <c r="C2800" s="202">
        <f t="shared" si="1"/>
        <v>29</v>
      </c>
      <c r="D2800" s="202" t="str">
        <f t="shared" si="2"/>
        <v> </v>
      </c>
      <c r="E2800" s="202" t="str">
        <f t="shared" si="9"/>
        <v> </v>
      </c>
      <c r="F2800" s="55" t="str">
        <f t="shared" si="4"/>
        <v/>
      </c>
      <c r="G2800" s="202" t="str">
        <f t="shared" si="5"/>
        <v/>
      </c>
      <c r="H2800" s="202" t="str">
        <f t="shared" si="11"/>
        <v> </v>
      </c>
      <c r="I2800" s="205" t="str">
        <f t="shared" si="7"/>
        <v/>
      </c>
      <c r="J2800" s="205"/>
      <c r="K2800" s="205"/>
    </row>
    <row r="2801" ht="14.25" customHeight="1">
      <c r="A2801" s="55">
        <v>48456.0</v>
      </c>
      <c r="B2801" s="55" t="str">
        <f t="shared" si="10"/>
        <v>Primer dia</v>
      </c>
      <c r="C2801" s="202">
        <f t="shared" si="1"/>
        <v>30</v>
      </c>
      <c r="D2801" s="202" t="str">
        <f t="shared" si="2"/>
        <v> </v>
      </c>
      <c r="E2801" s="202" t="str">
        <f t="shared" si="9"/>
        <v> </v>
      </c>
      <c r="F2801" s="55" t="str">
        <f t="shared" si="4"/>
        <v/>
      </c>
      <c r="G2801" s="202" t="str">
        <f t="shared" si="5"/>
        <v/>
      </c>
      <c r="H2801" s="202" t="str">
        <f t="shared" si="11"/>
        <v> </v>
      </c>
      <c r="I2801" s="205" t="str">
        <f t="shared" si="7"/>
        <v/>
      </c>
      <c r="J2801" s="205"/>
      <c r="K2801" s="205"/>
    </row>
    <row r="2802" ht="14.25" customHeight="1">
      <c r="A2802" s="55">
        <v>48457.0</v>
      </c>
      <c r="B2802" s="55" t="str">
        <f t="shared" si="10"/>
        <v>Primer dia</v>
      </c>
      <c r="C2802" s="202">
        <f t="shared" si="1"/>
        <v>31</v>
      </c>
      <c r="D2802" s="202" t="str">
        <f t="shared" si="2"/>
        <v> </v>
      </c>
      <c r="E2802" s="202" t="str">
        <f t="shared" si="9"/>
        <v> </v>
      </c>
      <c r="F2802" s="55" t="str">
        <f t="shared" si="4"/>
        <v/>
      </c>
      <c r="G2802" s="202" t="str">
        <f t="shared" si="5"/>
        <v/>
      </c>
      <c r="H2802" s="202" t="str">
        <f t="shared" si="11"/>
        <v> </v>
      </c>
      <c r="I2802" s="205" t="str">
        <f t="shared" si="7"/>
        <v/>
      </c>
      <c r="J2802" s="205"/>
      <c r="K2802" s="205"/>
    </row>
    <row r="2803" ht="14.25" customHeight="1">
      <c r="A2803" s="55">
        <v>48458.0</v>
      </c>
      <c r="B2803" s="55" t="str">
        <f t="shared" si="10"/>
        <v>Primer dia</v>
      </c>
      <c r="C2803" s="202">
        <f t="shared" si="1"/>
        <v>1</v>
      </c>
      <c r="D2803" s="202" t="str">
        <f t="shared" si="2"/>
        <v> </v>
      </c>
      <c r="E2803" s="202" t="str">
        <f t="shared" si="9"/>
        <v> </v>
      </c>
      <c r="F2803" s="55" t="str">
        <f t="shared" si="4"/>
        <v/>
      </c>
      <c r="G2803" s="202" t="str">
        <f t="shared" si="5"/>
        <v/>
      </c>
      <c r="H2803" s="202" t="str">
        <f t="shared" si="11"/>
        <v> </v>
      </c>
      <c r="I2803" s="205" t="str">
        <f t="shared" si="7"/>
        <v/>
      </c>
      <c r="J2803" s="205"/>
      <c r="K2803" s="205"/>
    </row>
    <row r="2804" ht="14.25" customHeight="1">
      <c r="A2804" s="55">
        <v>48459.0</v>
      </c>
      <c r="B2804" s="55" t="str">
        <f t="shared" si="10"/>
        <v>Primer dia</v>
      </c>
      <c r="C2804" s="202">
        <f t="shared" si="1"/>
        <v>2</v>
      </c>
      <c r="D2804" s="202" t="str">
        <f t="shared" si="2"/>
        <v> </v>
      </c>
      <c r="E2804" s="202">
        <f t="shared" si="9"/>
        <v>2</v>
      </c>
      <c r="F2804" s="55">
        <f t="shared" si="4"/>
        <v>48459</v>
      </c>
      <c r="G2804" s="202">
        <f t="shared" si="5"/>
        <v>159</v>
      </c>
      <c r="H2804" s="202" t="str">
        <f t="shared" si="11"/>
        <v> </v>
      </c>
      <c r="I2804" s="205" t="str">
        <f t="shared" si="7"/>
        <v/>
      </c>
      <c r="J2804" s="205"/>
      <c r="K2804" s="205"/>
    </row>
    <row r="2805" ht="14.25" customHeight="1">
      <c r="A2805" s="55">
        <v>48460.0</v>
      </c>
      <c r="B2805" s="55" t="str">
        <f t="shared" si="10"/>
        <v>Primer dia</v>
      </c>
      <c r="C2805" s="202">
        <f t="shared" si="1"/>
        <v>3</v>
      </c>
      <c r="D2805" s="202" t="str">
        <f t="shared" si="2"/>
        <v> </v>
      </c>
      <c r="E2805" s="202" t="str">
        <f t="shared" si="9"/>
        <v> </v>
      </c>
      <c r="F2805" s="55" t="str">
        <f t="shared" si="4"/>
        <v/>
      </c>
      <c r="G2805" s="202" t="str">
        <f t="shared" si="5"/>
        <v/>
      </c>
      <c r="H2805" s="202" t="str">
        <f t="shared" si="11"/>
        <v> </v>
      </c>
      <c r="I2805" s="205" t="str">
        <f t="shared" si="7"/>
        <v/>
      </c>
      <c r="J2805" s="205"/>
      <c r="K2805" s="205"/>
    </row>
    <row r="2806" ht="14.25" customHeight="1">
      <c r="A2806" s="55">
        <v>48461.0</v>
      </c>
      <c r="B2806" s="55" t="str">
        <f t="shared" si="10"/>
        <v>Primer dia</v>
      </c>
      <c r="C2806" s="202">
        <f t="shared" si="1"/>
        <v>4</v>
      </c>
      <c r="D2806" s="202" t="str">
        <f t="shared" si="2"/>
        <v> </v>
      </c>
      <c r="E2806" s="202" t="str">
        <f t="shared" si="9"/>
        <v> </v>
      </c>
      <c r="F2806" s="55" t="str">
        <f t="shared" si="4"/>
        <v/>
      </c>
      <c r="G2806" s="202" t="str">
        <f t="shared" si="5"/>
        <v/>
      </c>
      <c r="H2806" s="202" t="str">
        <f t="shared" si="11"/>
        <v> </v>
      </c>
      <c r="I2806" s="205" t="str">
        <f t="shared" si="7"/>
        <v/>
      </c>
      <c r="J2806" s="205"/>
      <c r="K2806" s="205"/>
    </row>
    <row r="2807" ht="14.25" customHeight="1">
      <c r="A2807" s="55">
        <v>48462.0</v>
      </c>
      <c r="B2807" s="55" t="str">
        <f t="shared" si="10"/>
        <v>Primer dia</v>
      </c>
      <c r="C2807" s="202">
        <f t="shared" si="1"/>
        <v>5</v>
      </c>
      <c r="D2807" s="202" t="str">
        <f t="shared" si="2"/>
        <v> </v>
      </c>
      <c r="E2807" s="202" t="str">
        <f t="shared" si="9"/>
        <v> </v>
      </c>
      <c r="F2807" s="55" t="str">
        <f t="shared" si="4"/>
        <v/>
      </c>
      <c r="G2807" s="202" t="str">
        <f t="shared" si="5"/>
        <v/>
      </c>
      <c r="H2807" s="202" t="str">
        <f t="shared" si="11"/>
        <v> </v>
      </c>
      <c r="I2807" s="205" t="str">
        <f t="shared" si="7"/>
        <v/>
      </c>
      <c r="J2807" s="205"/>
      <c r="K2807" s="205"/>
    </row>
    <row r="2808" ht="14.25" customHeight="1">
      <c r="A2808" s="55">
        <v>48463.0</v>
      </c>
      <c r="B2808" s="55" t="str">
        <f t="shared" si="10"/>
        <v>Primer dia</v>
      </c>
      <c r="C2808" s="202">
        <f t="shared" si="1"/>
        <v>6</v>
      </c>
      <c r="D2808" s="202" t="str">
        <f t="shared" si="2"/>
        <v> </v>
      </c>
      <c r="E2808" s="202" t="str">
        <f t="shared" si="9"/>
        <v> </v>
      </c>
      <c r="F2808" s="55" t="str">
        <f t="shared" si="4"/>
        <v/>
      </c>
      <c r="G2808" s="202" t="str">
        <f t="shared" si="5"/>
        <v/>
      </c>
      <c r="H2808" s="202" t="str">
        <f t="shared" si="11"/>
        <v> </v>
      </c>
      <c r="I2808" s="205" t="str">
        <f t="shared" si="7"/>
        <v/>
      </c>
      <c r="J2808" s="205"/>
      <c r="K2808" s="205"/>
    </row>
    <row r="2809" ht="14.25" customHeight="1">
      <c r="A2809" s="55">
        <v>48464.0</v>
      </c>
      <c r="B2809" s="55" t="str">
        <f t="shared" si="10"/>
        <v>Primer dia</v>
      </c>
      <c r="C2809" s="202">
        <f t="shared" si="1"/>
        <v>7</v>
      </c>
      <c r="D2809" s="202" t="str">
        <f t="shared" si="2"/>
        <v> </v>
      </c>
      <c r="E2809" s="202" t="str">
        <f t="shared" si="9"/>
        <v> </v>
      </c>
      <c r="F2809" s="55" t="str">
        <f t="shared" si="4"/>
        <v/>
      </c>
      <c r="G2809" s="202" t="str">
        <f t="shared" si="5"/>
        <v/>
      </c>
      <c r="H2809" s="202" t="str">
        <f t="shared" si="11"/>
        <v> </v>
      </c>
      <c r="I2809" s="205" t="str">
        <f t="shared" si="7"/>
        <v/>
      </c>
      <c r="J2809" s="205"/>
      <c r="K2809" s="205"/>
    </row>
    <row r="2810" ht="14.25" customHeight="1">
      <c r="A2810" s="55">
        <v>48465.0</v>
      </c>
      <c r="B2810" s="55" t="str">
        <f t="shared" si="10"/>
        <v>Primer dia</v>
      </c>
      <c r="C2810" s="202">
        <f t="shared" si="1"/>
        <v>8</v>
      </c>
      <c r="D2810" s="202" t="str">
        <f t="shared" si="2"/>
        <v> </v>
      </c>
      <c r="E2810" s="202" t="str">
        <f t="shared" si="9"/>
        <v> </v>
      </c>
      <c r="F2810" s="55" t="str">
        <f t="shared" si="4"/>
        <v/>
      </c>
      <c r="G2810" s="202" t="str">
        <f t="shared" si="5"/>
        <v/>
      </c>
      <c r="H2810" s="202" t="str">
        <f t="shared" si="11"/>
        <v> </v>
      </c>
      <c r="I2810" s="205" t="str">
        <f t="shared" si="7"/>
        <v/>
      </c>
      <c r="J2810" s="205"/>
      <c r="K2810" s="205"/>
    </row>
    <row r="2811" ht="14.25" customHeight="1">
      <c r="A2811" s="55">
        <v>48466.0</v>
      </c>
      <c r="B2811" s="55" t="str">
        <f t="shared" si="10"/>
        <v>Primer dia</v>
      </c>
      <c r="C2811" s="202">
        <f t="shared" si="1"/>
        <v>9</v>
      </c>
      <c r="D2811" s="202" t="str">
        <f t="shared" si="2"/>
        <v> </v>
      </c>
      <c r="E2811" s="202" t="str">
        <f t="shared" si="9"/>
        <v> </v>
      </c>
      <c r="F2811" s="55" t="str">
        <f t="shared" si="4"/>
        <v/>
      </c>
      <c r="G2811" s="202" t="str">
        <f t="shared" si="5"/>
        <v/>
      </c>
      <c r="H2811" s="202" t="str">
        <f t="shared" si="11"/>
        <v> </v>
      </c>
      <c r="I2811" s="205" t="str">
        <f t="shared" si="7"/>
        <v/>
      </c>
      <c r="J2811" s="205"/>
      <c r="K2811" s="205"/>
    </row>
    <row r="2812" ht="14.25" customHeight="1">
      <c r="A2812" s="55">
        <v>48467.0</v>
      </c>
      <c r="B2812" s="55" t="str">
        <f t="shared" si="10"/>
        <v>Primer dia</v>
      </c>
      <c r="C2812" s="202">
        <f t="shared" si="1"/>
        <v>10</v>
      </c>
      <c r="D2812" s="202" t="str">
        <f t="shared" si="2"/>
        <v> </v>
      </c>
      <c r="E2812" s="202" t="str">
        <f t="shared" si="9"/>
        <v> </v>
      </c>
      <c r="F2812" s="55" t="str">
        <f t="shared" si="4"/>
        <v/>
      </c>
      <c r="G2812" s="202" t="str">
        <f t="shared" si="5"/>
        <v/>
      </c>
      <c r="H2812" s="202" t="str">
        <f t="shared" si="11"/>
        <v> </v>
      </c>
      <c r="I2812" s="205" t="str">
        <f t="shared" si="7"/>
        <v/>
      </c>
      <c r="J2812" s="205"/>
      <c r="K2812" s="205"/>
    </row>
    <row r="2813" ht="14.25" customHeight="1">
      <c r="A2813" s="55">
        <v>48468.0</v>
      </c>
      <c r="B2813" s="55" t="str">
        <f t="shared" si="10"/>
        <v>Primer dia</v>
      </c>
      <c r="C2813" s="202">
        <f t="shared" si="1"/>
        <v>11</v>
      </c>
      <c r="D2813" s="202" t="str">
        <f t="shared" si="2"/>
        <v> </v>
      </c>
      <c r="E2813" s="202" t="str">
        <f t="shared" si="9"/>
        <v> </v>
      </c>
      <c r="F2813" s="55" t="str">
        <f t="shared" si="4"/>
        <v/>
      </c>
      <c r="G2813" s="202" t="str">
        <f t="shared" si="5"/>
        <v/>
      </c>
      <c r="H2813" s="202" t="str">
        <f t="shared" si="11"/>
        <v> </v>
      </c>
      <c r="I2813" s="205" t="str">
        <f t="shared" si="7"/>
        <v/>
      </c>
      <c r="J2813" s="205"/>
      <c r="K2813" s="205"/>
    </row>
    <row r="2814" ht="14.25" customHeight="1">
      <c r="A2814" s="55">
        <v>48469.0</v>
      </c>
      <c r="B2814" s="55" t="str">
        <f t="shared" si="10"/>
        <v>Primer dia</v>
      </c>
      <c r="C2814" s="202">
        <f t="shared" si="1"/>
        <v>12</v>
      </c>
      <c r="D2814" s="202" t="str">
        <f t="shared" si="2"/>
        <v> </v>
      </c>
      <c r="E2814" s="202" t="str">
        <f t="shared" si="9"/>
        <v> </v>
      </c>
      <c r="F2814" s="55" t="str">
        <f t="shared" si="4"/>
        <v/>
      </c>
      <c r="G2814" s="202" t="str">
        <f t="shared" si="5"/>
        <v/>
      </c>
      <c r="H2814" s="202" t="str">
        <f t="shared" si="11"/>
        <v> </v>
      </c>
      <c r="I2814" s="205" t="str">
        <f t="shared" si="7"/>
        <v/>
      </c>
      <c r="J2814" s="205"/>
      <c r="K2814" s="205"/>
    </row>
    <row r="2815" ht="14.25" customHeight="1">
      <c r="A2815" s="55">
        <v>48470.0</v>
      </c>
      <c r="B2815" s="55" t="str">
        <f t="shared" si="10"/>
        <v>Primer dia</v>
      </c>
      <c r="C2815" s="202">
        <f t="shared" si="1"/>
        <v>13</v>
      </c>
      <c r="D2815" s="202" t="str">
        <f t="shared" si="2"/>
        <v> </v>
      </c>
      <c r="E2815" s="202" t="str">
        <f t="shared" si="9"/>
        <v> </v>
      </c>
      <c r="F2815" s="55" t="str">
        <f t="shared" si="4"/>
        <v/>
      </c>
      <c r="G2815" s="202" t="str">
        <f t="shared" si="5"/>
        <v/>
      </c>
      <c r="H2815" s="202" t="str">
        <f t="shared" si="11"/>
        <v> </v>
      </c>
      <c r="I2815" s="205" t="str">
        <f t="shared" si="7"/>
        <v/>
      </c>
      <c r="J2815" s="205"/>
      <c r="K2815" s="205"/>
    </row>
    <row r="2816" ht="14.25" customHeight="1">
      <c r="A2816" s="55">
        <v>48471.0</v>
      </c>
      <c r="B2816" s="55" t="str">
        <f t="shared" si="10"/>
        <v>Primer dia</v>
      </c>
      <c r="C2816" s="202">
        <f t="shared" si="1"/>
        <v>14</v>
      </c>
      <c r="D2816" s="202" t="str">
        <f t="shared" si="2"/>
        <v> </v>
      </c>
      <c r="E2816" s="202" t="str">
        <f t="shared" si="9"/>
        <v> </v>
      </c>
      <c r="F2816" s="55" t="str">
        <f t="shared" si="4"/>
        <v/>
      </c>
      <c r="G2816" s="202" t="str">
        <f t="shared" si="5"/>
        <v/>
      </c>
      <c r="H2816" s="202" t="str">
        <f t="shared" si="11"/>
        <v> </v>
      </c>
      <c r="I2816" s="205" t="str">
        <f t="shared" si="7"/>
        <v/>
      </c>
      <c r="J2816" s="205"/>
      <c r="K2816" s="205"/>
    </row>
    <row r="2817" ht="14.25" customHeight="1">
      <c r="A2817" s="55">
        <v>48472.0</v>
      </c>
      <c r="B2817" s="55" t="str">
        <f t="shared" si="10"/>
        <v>Primer dia</v>
      </c>
      <c r="C2817" s="202">
        <f t="shared" si="1"/>
        <v>15</v>
      </c>
      <c r="D2817" s="202" t="str">
        <f t="shared" si="2"/>
        <v> </v>
      </c>
      <c r="E2817" s="202" t="str">
        <f t="shared" si="9"/>
        <v> </v>
      </c>
      <c r="F2817" s="55" t="str">
        <f t="shared" si="4"/>
        <v/>
      </c>
      <c r="G2817" s="202" t="str">
        <f t="shared" si="5"/>
        <v/>
      </c>
      <c r="H2817" s="202" t="str">
        <f t="shared" si="11"/>
        <v> </v>
      </c>
      <c r="I2817" s="205" t="str">
        <f t="shared" si="7"/>
        <v/>
      </c>
      <c r="J2817" s="205"/>
      <c r="K2817" s="205"/>
    </row>
    <row r="2818" ht="14.25" customHeight="1">
      <c r="A2818" s="55">
        <v>48473.0</v>
      </c>
      <c r="B2818" s="55" t="str">
        <f t="shared" si="10"/>
        <v>Primer dia</v>
      </c>
      <c r="C2818" s="202">
        <f t="shared" si="1"/>
        <v>16</v>
      </c>
      <c r="D2818" s="202" t="str">
        <f t="shared" si="2"/>
        <v> </v>
      </c>
      <c r="E2818" s="202" t="str">
        <f t="shared" si="9"/>
        <v> </v>
      </c>
      <c r="F2818" s="55" t="str">
        <f t="shared" si="4"/>
        <v/>
      </c>
      <c r="G2818" s="202" t="str">
        <f t="shared" si="5"/>
        <v/>
      </c>
      <c r="H2818" s="202" t="str">
        <f t="shared" si="11"/>
        <v> </v>
      </c>
      <c r="I2818" s="205" t="str">
        <f t="shared" si="7"/>
        <v/>
      </c>
      <c r="J2818" s="205"/>
      <c r="K2818" s="205"/>
    </row>
    <row r="2819" ht="14.25" customHeight="1">
      <c r="A2819" s="55">
        <v>48474.0</v>
      </c>
      <c r="B2819" s="55" t="str">
        <f t="shared" si="10"/>
        <v>Primer dia</v>
      </c>
      <c r="C2819" s="202">
        <f t="shared" si="1"/>
        <v>17</v>
      </c>
      <c r="D2819" s="202" t="str">
        <f t="shared" si="2"/>
        <v> </v>
      </c>
      <c r="E2819" s="202">
        <f t="shared" si="9"/>
        <v>17</v>
      </c>
      <c r="F2819" s="55">
        <f t="shared" si="4"/>
        <v>48474</v>
      </c>
      <c r="G2819" s="202">
        <f t="shared" si="5"/>
        <v>160</v>
      </c>
      <c r="H2819" s="202" t="str">
        <f t="shared" si="11"/>
        <v> </v>
      </c>
      <c r="I2819" s="205" t="str">
        <f t="shared" si="7"/>
        <v/>
      </c>
      <c r="J2819" s="205"/>
      <c r="K2819" s="205"/>
    </row>
    <row r="2820" ht="14.25" customHeight="1">
      <c r="A2820" s="55">
        <v>48475.0</v>
      </c>
      <c r="B2820" s="55" t="str">
        <f t="shared" si="10"/>
        <v>Primer dia</v>
      </c>
      <c r="C2820" s="202">
        <f t="shared" si="1"/>
        <v>18</v>
      </c>
      <c r="D2820" s="202" t="str">
        <f t="shared" si="2"/>
        <v> </v>
      </c>
      <c r="E2820" s="202" t="str">
        <f t="shared" si="9"/>
        <v> </v>
      </c>
      <c r="F2820" s="55" t="str">
        <f t="shared" si="4"/>
        <v/>
      </c>
      <c r="G2820" s="202" t="str">
        <f t="shared" si="5"/>
        <v/>
      </c>
      <c r="H2820" s="202" t="str">
        <f t="shared" si="11"/>
        <v> </v>
      </c>
      <c r="I2820" s="205" t="str">
        <f t="shared" si="7"/>
        <v/>
      </c>
      <c r="J2820" s="205"/>
      <c r="K2820" s="205"/>
    </row>
    <row r="2821" ht="14.25" customHeight="1">
      <c r="A2821" s="55">
        <v>48476.0</v>
      </c>
      <c r="B2821" s="55" t="str">
        <f t="shared" si="10"/>
        <v>Primer dia</v>
      </c>
      <c r="C2821" s="202">
        <f t="shared" si="1"/>
        <v>19</v>
      </c>
      <c r="D2821" s="202" t="str">
        <f t="shared" si="2"/>
        <v> </v>
      </c>
      <c r="E2821" s="202" t="str">
        <f t="shared" si="9"/>
        <v> </v>
      </c>
      <c r="F2821" s="55" t="str">
        <f t="shared" si="4"/>
        <v/>
      </c>
      <c r="G2821" s="202" t="str">
        <f t="shared" si="5"/>
        <v/>
      </c>
      <c r="H2821" s="202" t="str">
        <f t="shared" si="11"/>
        <v> </v>
      </c>
      <c r="I2821" s="205" t="str">
        <f t="shared" si="7"/>
        <v/>
      </c>
      <c r="J2821" s="205"/>
      <c r="K2821" s="205"/>
    </row>
    <row r="2822" ht="14.25" customHeight="1">
      <c r="A2822" s="55">
        <v>48477.0</v>
      </c>
      <c r="B2822" s="55" t="str">
        <f t="shared" si="10"/>
        <v>Primer dia</v>
      </c>
      <c r="C2822" s="202">
        <f t="shared" si="1"/>
        <v>20</v>
      </c>
      <c r="D2822" s="202" t="str">
        <f t="shared" si="2"/>
        <v> </v>
      </c>
      <c r="E2822" s="202" t="str">
        <f t="shared" si="9"/>
        <v> </v>
      </c>
      <c r="F2822" s="55" t="str">
        <f t="shared" si="4"/>
        <v/>
      </c>
      <c r="G2822" s="202" t="str">
        <f t="shared" si="5"/>
        <v/>
      </c>
      <c r="H2822" s="202" t="str">
        <f t="shared" si="11"/>
        <v> </v>
      </c>
      <c r="I2822" s="205" t="str">
        <f t="shared" si="7"/>
        <v/>
      </c>
      <c r="J2822" s="205"/>
      <c r="K2822" s="205"/>
    </row>
    <row r="2823" ht="14.25" customHeight="1">
      <c r="A2823" s="55">
        <v>48478.0</v>
      </c>
      <c r="B2823" s="55" t="str">
        <f t="shared" si="10"/>
        <v>Primer dia</v>
      </c>
      <c r="C2823" s="202">
        <f t="shared" si="1"/>
        <v>21</v>
      </c>
      <c r="D2823" s="202" t="str">
        <f t="shared" si="2"/>
        <v> </v>
      </c>
      <c r="E2823" s="202" t="str">
        <f t="shared" si="9"/>
        <v> </v>
      </c>
      <c r="F2823" s="55" t="str">
        <f t="shared" si="4"/>
        <v/>
      </c>
      <c r="G2823" s="202" t="str">
        <f t="shared" si="5"/>
        <v/>
      </c>
      <c r="H2823" s="202" t="str">
        <f t="shared" si="11"/>
        <v> </v>
      </c>
      <c r="I2823" s="205" t="str">
        <f t="shared" si="7"/>
        <v/>
      </c>
      <c r="J2823" s="205"/>
      <c r="K2823" s="205"/>
    </row>
    <row r="2824" ht="14.25" customHeight="1">
      <c r="A2824" s="55">
        <v>48479.0</v>
      </c>
      <c r="B2824" s="55" t="str">
        <f t="shared" si="10"/>
        <v>Primer dia</v>
      </c>
      <c r="C2824" s="202">
        <f t="shared" si="1"/>
        <v>22</v>
      </c>
      <c r="D2824" s="202" t="str">
        <f t="shared" si="2"/>
        <v> </v>
      </c>
      <c r="E2824" s="202" t="str">
        <f t="shared" si="9"/>
        <v> </v>
      </c>
      <c r="F2824" s="55" t="str">
        <f t="shared" si="4"/>
        <v/>
      </c>
      <c r="G2824" s="202" t="str">
        <f t="shared" si="5"/>
        <v/>
      </c>
      <c r="H2824" s="202" t="str">
        <f t="shared" si="11"/>
        <v> </v>
      </c>
      <c r="I2824" s="205" t="str">
        <f t="shared" si="7"/>
        <v/>
      </c>
      <c r="J2824" s="205"/>
      <c r="K2824" s="205"/>
    </row>
    <row r="2825" ht="14.25" customHeight="1">
      <c r="A2825" s="55">
        <v>48480.0</v>
      </c>
      <c r="B2825" s="55" t="str">
        <f t="shared" si="10"/>
        <v>Primer dia</v>
      </c>
      <c r="C2825" s="202">
        <f t="shared" si="1"/>
        <v>23</v>
      </c>
      <c r="D2825" s="202" t="str">
        <f t="shared" si="2"/>
        <v> </v>
      </c>
      <c r="E2825" s="202" t="str">
        <f t="shared" si="9"/>
        <v> </v>
      </c>
      <c r="F2825" s="55" t="str">
        <f t="shared" si="4"/>
        <v/>
      </c>
      <c r="G2825" s="202" t="str">
        <f t="shared" si="5"/>
        <v/>
      </c>
      <c r="H2825" s="202" t="str">
        <f t="shared" si="11"/>
        <v> </v>
      </c>
      <c r="I2825" s="205" t="str">
        <f t="shared" si="7"/>
        <v/>
      </c>
      <c r="J2825" s="205"/>
      <c r="K2825" s="205"/>
    </row>
    <row r="2826" ht="14.25" customHeight="1">
      <c r="A2826" s="55">
        <v>48481.0</v>
      </c>
      <c r="B2826" s="55" t="str">
        <f t="shared" si="10"/>
        <v>Primer dia</v>
      </c>
      <c r="C2826" s="202">
        <f t="shared" si="1"/>
        <v>24</v>
      </c>
      <c r="D2826" s="202" t="str">
        <f t="shared" si="2"/>
        <v> </v>
      </c>
      <c r="E2826" s="202" t="str">
        <f t="shared" si="9"/>
        <v> </v>
      </c>
      <c r="F2826" s="55" t="str">
        <f t="shared" si="4"/>
        <v/>
      </c>
      <c r="G2826" s="202" t="str">
        <f t="shared" si="5"/>
        <v/>
      </c>
      <c r="H2826" s="202" t="str">
        <f t="shared" si="11"/>
        <v> </v>
      </c>
      <c r="I2826" s="205" t="str">
        <f t="shared" si="7"/>
        <v/>
      </c>
      <c r="J2826" s="205"/>
      <c r="K2826" s="205"/>
    </row>
    <row r="2827" ht="14.25" customHeight="1">
      <c r="A2827" s="55">
        <v>48482.0</v>
      </c>
      <c r="B2827" s="55" t="str">
        <f t="shared" si="10"/>
        <v>Primer dia</v>
      </c>
      <c r="C2827" s="202">
        <f t="shared" si="1"/>
        <v>25</v>
      </c>
      <c r="D2827" s="202" t="str">
        <f t="shared" si="2"/>
        <v> </v>
      </c>
      <c r="E2827" s="202" t="str">
        <f t="shared" si="9"/>
        <v> </v>
      </c>
      <c r="F2827" s="55" t="str">
        <f t="shared" si="4"/>
        <v/>
      </c>
      <c r="G2827" s="202" t="str">
        <f t="shared" si="5"/>
        <v/>
      </c>
      <c r="H2827" s="202" t="str">
        <f t="shared" si="11"/>
        <v> </v>
      </c>
      <c r="I2827" s="205" t="str">
        <f t="shared" si="7"/>
        <v/>
      </c>
      <c r="J2827" s="205"/>
      <c r="K2827" s="205"/>
    </row>
    <row r="2828" ht="14.25" customHeight="1">
      <c r="A2828" s="55">
        <v>48483.0</v>
      </c>
      <c r="B2828" s="55" t="str">
        <f t="shared" si="10"/>
        <v>Primer dia</v>
      </c>
      <c r="C2828" s="202">
        <f t="shared" si="1"/>
        <v>26</v>
      </c>
      <c r="D2828" s="202" t="str">
        <f t="shared" si="2"/>
        <v> </v>
      </c>
      <c r="E2828" s="202" t="str">
        <f t="shared" si="9"/>
        <v> </v>
      </c>
      <c r="F2828" s="55" t="str">
        <f t="shared" si="4"/>
        <v/>
      </c>
      <c r="G2828" s="202" t="str">
        <f t="shared" si="5"/>
        <v/>
      </c>
      <c r="H2828" s="202" t="str">
        <f t="shared" si="11"/>
        <v> </v>
      </c>
      <c r="I2828" s="205" t="str">
        <f t="shared" si="7"/>
        <v/>
      </c>
      <c r="J2828" s="205"/>
      <c r="K2828" s="205"/>
    </row>
    <row r="2829" ht="14.25" customHeight="1">
      <c r="A2829" s="55">
        <v>48484.0</v>
      </c>
      <c r="B2829" s="55" t="str">
        <f t="shared" si="10"/>
        <v>Primer dia</v>
      </c>
      <c r="C2829" s="202">
        <f t="shared" si="1"/>
        <v>27</v>
      </c>
      <c r="D2829" s="202" t="str">
        <f t="shared" si="2"/>
        <v> </v>
      </c>
      <c r="E2829" s="202" t="str">
        <f t="shared" si="9"/>
        <v> </v>
      </c>
      <c r="F2829" s="55" t="str">
        <f t="shared" si="4"/>
        <v/>
      </c>
      <c r="G2829" s="202" t="str">
        <f t="shared" si="5"/>
        <v/>
      </c>
      <c r="H2829" s="202" t="str">
        <f t="shared" si="11"/>
        <v> </v>
      </c>
      <c r="I2829" s="205" t="str">
        <f t="shared" si="7"/>
        <v/>
      </c>
      <c r="J2829" s="205"/>
      <c r="K2829" s="205"/>
    </row>
    <row r="2830" ht="14.25" customHeight="1">
      <c r="A2830" s="55">
        <v>48485.0</v>
      </c>
      <c r="B2830" s="55" t="str">
        <f t="shared" si="10"/>
        <v>Primer dia</v>
      </c>
      <c r="C2830" s="202">
        <f t="shared" si="1"/>
        <v>28</v>
      </c>
      <c r="D2830" s="202" t="str">
        <f t="shared" si="2"/>
        <v> </v>
      </c>
      <c r="E2830" s="202" t="str">
        <f t="shared" si="9"/>
        <v> </v>
      </c>
      <c r="F2830" s="55" t="str">
        <f t="shared" si="4"/>
        <v/>
      </c>
      <c r="G2830" s="202" t="str">
        <f t="shared" si="5"/>
        <v/>
      </c>
      <c r="H2830" s="202" t="str">
        <f t="shared" si="11"/>
        <v> </v>
      </c>
      <c r="I2830" s="205" t="str">
        <f t="shared" si="7"/>
        <v/>
      </c>
      <c r="J2830" s="205"/>
      <c r="K2830" s="205"/>
    </row>
    <row r="2831" ht="14.25" customHeight="1">
      <c r="A2831" s="55">
        <v>48486.0</v>
      </c>
      <c r="B2831" s="55" t="str">
        <f t="shared" si="10"/>
        <v>Primer dia</v>
      </c>
      <c r="C2831" s="202">
        <f t="shared" si="1"/>
        <v>29</v>
      </c>
      <c r="D2831" s="202" t="str">
        <f t="shared" si="2"/>
        <v> </v>
      </c>
      <c r="E2831" s="202" t="str">
        <f t="shared" si="9"/>
        <v> </v>
      </c>
      <c r="F2831" s="55" t="str">
        <f t="shared" si="4"/>
        <v/>
      </c>
      <c r="G2831" s="202" t="str">
        <f t="shared" si="5"/>
        <v/>
      </c>
      <c r="H2831" s="202" t="str">
        <f t="shared" si="11"/>
        <v> </v>
      </c>
      <c r="I2831" s="205" t="str">
        <f t="shared" si="7"/>
        <v/>
      </c>
      <c r="J2831" s="205"/>
      <c r="K2831" s="205"/>
    </row>
    <row r="2832" ht="14.25" customHeight="1">
      <c r="A2832" s="55">
        <v>48487.0</v>
      </c>
      <c r="B2832" s="55" t="str">
        <f t="shared" si="10"/>
        <v>Primer dia</v>
      </c>
      <c r="C2832" s="202">
        <f t="shared" si="1"/>
        <v>30</v>
      </c>
      <c r="D2832" s="202" t="str">
        <f t="shared" si="2"/>
        <v> </v>
      </c>
      <c r="E2832" s="202" t="str">
        <f t="shared" si="9"/>
        <v> </v>
      </c>
      <c r="F2832" s="55" t="str">
        <f t="shared" si="4"/>
        <v/>
      </c>
      <c r="G2832" s="202" t="str">
        <f t="shared" si="5"/>
        <v/>
      </c>
      <c r="H2832" s="202" t="str">
        <f t="shared" si="11"/>
        <v> </v>
      </c>
      <c r="I2832" s="205" t="str">
        <f t="shared" si="7"/>
        <v/>
      </c>
      <c r="J2832" s="205"/>
      <c r="K2832" s="205"/>
    </row>
    <row r="2833" ht="14.25" customHeight="1">
      <c r="A2833" s="55">
        <v>48488.0</v>
      </c>
      <c r="B2833" s="55" t="str">
        <f t="shared" si="10"/>
        <v>Primer dia</v>
      </c>
      <c r="C2833" s="202">
        <f t="shared" si="1"/>
        <v>1</v>
      </c>
      <c r="D2833" s="202" t="str">
        <f t="shared" si="2"/>
        <v> </v>
      </c>
      <c r="E2833" s="202" t="str">
        <f t="shared" si="9"/>
        <v> </v>
      </c>
      <c r="F2833" s="55" t="str">
        <f t="shared" si="4"/>
        <v/>
      </c>
      <c r="G2833" s="202" t="str">
        <f t="shared" si="5"/>
        <v/>
      </c>
      <c r="H2833" s="202" t="str">
        <f t="shared" si="11"/>
        <v> </v>
      </c>
      <c r="I2833" s="205" t="str">
        <f t="shared" si="7"/>
        <v/>
      </c>
      <c r="J2833" s="205"/>
      <c r="K2833" s="205"/>
    </row>
    <row r="2834" ht="14.25" customHeight="1">
      <c r="A2834" s="55">
        <v>48489.0</v>
      </c>
      <c r="B2834" s="55" t="str">
        <f t="shared" si="10"/>
        <v>Primer dia</v>
      </c>
      <c r="C2834" s="202">
        <f t="shared" si="1"/>
        <v>2</v>
      </c>
      <c r="D2834" s="202" t="str">
        <f t="shared" si="2"/>
        <v> </v>
      </c>
      <c r="E2834" s="202">
        <f t="shared" si="9"/>
        <v>2</v>
      </c>
      <c r="F2834" s="55">
        <f t="shared" si="4"/>
        <v>48489</v>
      </c>
      <c r="G2834" s="202">
        <f t="shared" si="5"/>
        <v>161</v>
      </c>
      <c r="H2834" s="202" t="str">
        <f t="shared" si="11"/>
        <v> </v>
      </c>
      <c r="I2834" s="205" t="str">
        <f t="shared" si="7"/>
        <v/>
      </c>
      <c r="J2834" s="205"/>
      <c r="K2834" s="205"/>
    </row>
    <row r="2835" ht="14.25" customHeight="1">
      <c r="A2835" s="55">
        <v>48490.0</v>
      </c>
      <c r="B2835" s="55" t="str">
        <f t="shared" si="10"/>
        <v>Primer dia</v>
      </c>
      <c r="C2835" s="202">
        <f t="shared" si="1"/>
        <v>3</v>
      </c>
      <c r="D2835" s="202" t="str">
        <f t="shared" si="2"/>
        <v> </v>
      </c>
      <c r="E2835" s="202" t="str">
        <f t="shared" si="9"/>
        <v> </v>
      </c>
      <c r="F2835" s="55" t="str">
        <f t="shared" si="4"/>
        <v/>
      </c>
      <c r="G2835" s="202" t="str">
        <f t="shared" si="5"/>
        <v/>
      </c>
      <c r="H2835" s="202" t="str">
        <f t="shared" si="11"/>
        <v> </v>
      </c>
      <c r="I2835" s="205" t="str">
        <f t="shared" si="7"/>
        <v/>
      </c>
      <c r="J2835" s="205"/>
      <c r="K2835" s="205"/>
    </row>
    <row r="2836" ht="14.25" customHeight="1">
      <c r="A2836" s="55">
        <v>48491.0</v>
      </c>
      <c r="B2836" s="55" t="str">
        <f t="shared" si="10"/>
        <v>Primer dia</v>
      </c>
      <c r="C2836" s="202">
        <f t="shared" si="1"/>
        <v>4</v>
      </c>
      <c r="D2836" s="202" t="str">
        <f t="shared" si="2"/>
        <v> </v>
      </c>
      <c r="E2836" s="202" t="str">
        <f t="shared" si="9"/>
        <v> </v>
      </c>
      <c r="F2836" s="55" t="str">
        <f t="shared" si="4"/>
        <v/>
      </c>
      <c r="G2836" s="202" t="str">
        <f t="shared" si="5"/>
        <v/>
      </c>
      <c r="H2836" s="202" t="str">
        <f t="shared" si="11"/>
        <v> </v>
      </c>
      <c r="I2836" s="205" t="str">
        <f t="shared" si="7"/>
        <v/>
      </c>
      <c r="J2836" s="205"/>
      <c r="K2836" s="205"/>
    </row>
    <row r="2837" ht="14.25" customHeight="1">
      <c r="A2837" s="55">
        <v>48492.0</v>
      </c>
      <c r="B2837" s="55" t="str">
        <f t="shared" si="10"/>
        <v>Primer dia</v>
      </c>
      <c r="C2837" s="202">
        <f t="shared" si="1"/>
        <v>5</v>
      </c>
      <c r="D2837" s="202" t="str">
        <f t="shared" si="2"/>
        <v> </v>
      </c>
      <c r="E2837" s="202" t="str">
        <f t="shared" si="9"/>
        <v> </v>
      </c>
      <c r="F2837" s="55" t="str">
        <f t="shared" si="4"/>
        <v/>
      </c>
      <c r="G2837" s="202" t="str">
        <f t="shared" si="5"/>
        <v/>
      </c>
      <c r="H2837" s="202" t="str">
        <f t="shared" si="11"/>
        <v> </v>
      </c>
      <c r="I2837" s="205" t="str">
        <f t="shared" si="7"/>
        <v/>
      </c>
      <c r="J2837" s="205"/>
      <c r="K2837" s="205"/>
    </row>
    <row r="2838" ht="14.25" customHeight="1">
      <c r="A2838" s="55">
        <v>48493.0</v>
      </c>
      <c r="B2838" s="55" t="str">
        <f t="shared" si="10"/>
        <v>Primer dia</v>
      </c>
      <c r="C2838" s="202">
        <f t="shared" si="1"/>
        <v>6</v>
      </c>
      <c r="D2838" s="202" t="str">
        <f t="shared" si="2"/>
        <v> </v>
      </c>
      <c r="E2838" s="202" t="str">
        <f t="shared" si="9"/>
        <v> </v>
      </c>
      <c r="F2838" s="55" t="str">
        <f t="shared" si="4"/>
        <v/>
      </c>
      <c r="G2838" s="202" t="str">
        <f t="shared" si="5"/>
        <v/>
      </c>
      <c r="H2838" s="202" t="str">
        <f t="shared" si="11"/>
        <v> </v>
      </c>
      <c r="I2838" s="205" t="str">
        <f t="shared" si="7"/>
        <v/>
      </c>
      <c r="J2838" s="205"/>
      <c r="K2838" s="205"/>
    </row>
    <row r="2839" ht="14.25" customHeight="1">
      <c r="A2839" s="55">
        <v>48494.0</v>
      </c>
      <c r="B2839" s="55" t="str">
        <f t="shared" si="10"/>
        <v>Primer dia</v>
      </c>
      <c r="C2839" s="202">
        <f t="shared" si="1"/>
        <v>7</v>
      </c>
      <c r="D2839" s="202" t="str">
        <f t="shared" si="2"/>
        <v> </v>
      </c>
      <c r="E2839" s="202" t="str">
        <f t="shared" si="9"/>
        <v> </v>
      </c>
      <c r="F2839" s="55" t="str">
        <f t="shared" si="4"/>
        <v/>
      </c>
      <c r="G2839" s="202" t="str">
        <f t="shared" si="5"/>
        <v/>
      </c>
      <c r="H2839" s="202" t="str">
        <f t="shared" si="11"/>
        <v> </v>
      </c>
      <c r="I2839" s="205" t="str">
        <f t="shared" si="7"/>
        <v/>
      </c>
      <c r="J2839" s="205"/>
      <c r="K2839" s="205"/>
    </row>
    <row r="2840" ht="14.25" customHeight="1">
      <c r="A2840" s="55">
        <v>48495.0</v>
      </c>
      <c r="B2840" s="55" t="str">
        <f t="shared" si="10"/>
        <v>Primer dia</v>
      </c>
      <c r="C2840" s="202">
        <f t="shared" si="1"/>
        <v>8</v>
      </c>
      <c r="D2840" s="202" t="str">
        <f t="shared" si="2"/>
        <v> </v>
      </c>
      <c r="E2840" s="202" t="str">
        <f t="shared" si="9"/>
        <v> </v>
      </c>
      <c r="F2840" s="55" t="str">
        <f t="shared" si="4"/>
        <v/>
      </c>
      <c r="G2840" s="202" t="str">
        <f t="shared" si="5"/>
        <v/>
      </c>
      <c r="H2840" s="202" t="str">
        <f t="shared" si="11"/>
        <v> </v>
      </c>
      <c r="I2840" s="205" t="str">
        <f t="shared" si="7"/>
        <v/>
      </c>
      <c r="J2840" s="205"/>
      <c r="K2840" s="205"/>
    </row>
    <row r="2841" ht="14.25" customHeight="1">
      <c r="A2841" s="55">
        <v>48496.0</v>
      </c>
      <c r="B2841" s="55" t="str">
        <f t="shared" si="10"/>
        <v>Primer dia</v>
      </c>
      <c r="C2841" s="202">
        <f t="shared" si="1"/>
        <v>9</v>
      </c>
      <c r="D2841" s="202" t="str">
        <f t="shared" si="2"/>
        <v> </v>
      </c>
      <c r="E2841" s="202" t="str">
        <f t="shared" si="9"/>
        <v> </v>
      </c>
      <c r="F2841" s="55" t="str">
        <f t="shared" si="4"/>
        <v/>
      </c>
      <c r="G2841" s="202" t="str">
        <f t="shared" si="5"/>
        <v/>
      </c>
      <c r="H2841" s="202" t="str">
        <f t="shared" si="11"/>
        <v> </v>
      </c>
      <c r="I2841" s="205" t="str">
        <f t="shared" si="7"/>
        <v/>
      </c>
      <c r="J2841" s="205"/>
      <c r="K2841" s="205"/>
    </row>
    <row r="2842" ht="14.25" customHeight="1">
      <c r="A2842" s="55">
        <v>48497.0</v>
      </c>
      <c r="B2842" s="55" t="str">
        <f t="shared" si="10"/>
        <v>Primer dia</v>
      </c>
      <c r="C2842" s="202">
        <f t="shared" si="1"/>
        <v>10</v>
      </c>
      <c r="D2842" s="202" t="str">
        <f t="shared" si="2"/>
        <v> </v>
      </c>
      <c r="E2842" s="202" t="str">
        <f t="shared" si="9"/>
        <v> </v>
      </c>
      <c r="F2842" s="55" t="str">
        <f t="shared" si="4"/>
        <v/>
      </c>
      <c r="G2842" s="202" t="str">
        <f t="shared" si="5"/>
        <v/>
      </c>
      <c r="H2842" s="202" t="str">
        <f t="shared" si="11"/>
        <v> </v>
      </c>
      <c r="I2842" s="205" t="str">
        <f t="shared" si="7"/>
        <v/>
      </c>
      <c r="J2842" s="205"/>
      <c r="K2842" s="205"/>
    </row>
    <row r="2843" ht="14.25" customHeight="1">
      <c r="A2843" s="55">
        <v>48498.0</v>
      </c>
      <c r="B2843" s="55" t="str">
        <f t="shared" si="10"/>
        <v>Primer dia</v>
      </c>
      <c r="C2843" s="202">
        <f t="shared" si="1"/>
        <v>11</v>
      </c>
      <c r="D2843" s="202" t="str">
        <f t="shared" si="2"/>
        <v> </v>
      </c>
      <c r="E2843" s="202" t="str">
        <f t="shared" si="9"/>
        <v> </v>
      </c>
      <c r="F2843" s="55" t="str">
        <f t="shared" si="4"/>
        <v/>
      </c>
      <c r="G2843" s="202" t="str">
        <f t="shared" si="5"/>
        <v/>
      </c>
      <c r="H2843" s="202" t="str">
        <f t="shared" si="11"/>
        <v> </v>
      </c>
      <c r="I2843" s="205" t="str">
        <f t="shared" si="7"/>
        <v/>
      </c>
      <c r="J2843" s="205"/>
      <c r="K2843" s="205"/>
    </row>
    <row r="2844" ht="14.25" customHeight="1">
      <c r="A2844" s="55">
        <v>48499.0</v>
      </c>
      <c r="B2844" s="55" t="str">
        <f t="shared" si="10"/>
        <v>Primer dia</v>
      </c>
      <c r="C2844" s="202">
        <f t="shared" si="1"/>
        <v>12</v>
      </c>
      <c r="D2844" s="202" t="str">
        <f t="shared" si="2"/>
        <v> </v>
      </c>
      <c r="E2844" s="202" t="str">
        <f t="shared" si="9"/>
        <v> </v>
      </c>
      <c r="F2844" s="55" t="str">
        <f t="shared" si="4"/>
        <v/>
      </c>
      <c r="G2844" s="202" t="str">
        <f t="shared" si="5"/>
        <v/>
      </c>
      <c r="H2844" s="202" t="str">
        <f t="shared" si="11"/>
        <v> </v>
      </c>
      <c r="I2844" s="205" t="str">
        <f t="shared" si="7"/>
        <v/>
      </c>
      <c r="J2844" s="205"/>
      <c r="K2844" s="205"/>
    </row>
    <row r="2845" ht="14.25" customHeight="1">
      <c r="A2845" s="55">
        <v>48500.0</v>
      </c>
      <c r="B2845" s="55" t="str">
        <f t="shared" si="10"/>
        <v>Primer dia</v>
      </c>
      <c r="C2845" s="202">
        <f t="shared" si="1"/>
        <v>13</v>
      </c>
      <c r="D2845" s="202" t="str">
        <f t="shared" si="2"/>
        <v> </v>
      </c>
      <c r="E2845" s="202" t="str">
        <f t="shared" si="9"/>
        <v> </v>
      </c>
      <c r="F2845" s="55" t="str">
        <f t="shared" si="4"/>
        <v/>
      </c>
      <c r="G2845" s="202" t="str">
        <f t="shared" si="5"/>
        <v/>
      </c>
      <c r="H2845" s="202" t="str">
        <f t="shared" si="11"/>
        <v> </v>
      </c>
      <c r="I2845" s="205" t="str">
        <f t="shared" si="7"/>
        <v/>
      </c>
      <c r="J2845" s="205"/>
      <c r="K2845" s="205"/>
    </row>
    <row r="2846" ht="14.25" customHeight="1">
      <c r="A2846" s="55">
        <v>48501.0</v>
      </c>
      <c r="B2846" s="55" t="str">
        <f t="shared" si="10"/>
        <v>Primer dia</v>
      </c>
      <c r="C2846" s="202">
        <f t="shared" si="1"/>
        <v>14</v>
      </c>
      <c r="D2846" s="202" t="str">
        <f t="shared" si="2"/>
        <v> </v>
      </c>
      <c r="E2846" s="202" t="str">
        <f t="shared" si="9"/>
        <v> </v>
      </c>
      <c r="F2846" s="55" t="str">
        <f t="shared" si="4"/>
        <v/>
      </c>
      <c r="G2846" s="202" t="str">
        <f t="shared" si="5"/>
        <v/>
      </c>
      <c r="H2846" s="202" t="str">
        <f t="shared" si="11"/>
        <v> </v>
      </c>
      <c r="I2846" s="205" t="str">
        <f t="shared" si="7"/>
        <v/>
      </c>
      <c r="J2846" s="205"/>
      <c r="K2846" s="205"/>
    </row>
    <row r="2847" ht="14.25" customHeight="1">
      <c r="A2847" s="55">
        <v>48502.0</v>
      </c>
      <c r="B2847" s="55" t="str">
        <f t="shared" si="10"/>
        <v>Primer dia</v>
      </c>
      <c r="C2847" s="202">
        <f t="shared" si="1"/>
        <v>15</v>
      </c>
      <c r="D2847" s="202" t="str">
        <f t="shared" si="2"/>
        <v> </v>
      </c>
      <c r="E2847" s="202" t="str">
        <f t="shared" si="9"/>
        <v> </v>
      </c>
      <c r="F2847" s="55" t="str">
        <f t="shared" si="4"/>
        <v/>
      </c>
      <c r="G2847" s="202" t="str">
        <f t="shared" si="5"/>
        <v/>
      </c>
      <c r="H2847" s="202" t="str">
        <f t="shared" si="11"/>
        <v> </v>
      </c>
      <c r="I2847" s="205" t="str">
        <f t="shared" si="7"/>
        <v/>
      </c>
      <c r="J2847" s="205"/>
      <c r="K2847" s="205"/>
    </row>
    <row r="2848" ht="14.25" customHeight="1">
      <c r="A2848" s="55">
        <v>48503.0</v>
      </c>
      <c r="B2848" s="55" t="str">
        <f t="shared" si="10"/>
        <v>Primer dia</v>
      </c>
      <c r="C2848" s="202">
        <f t="shared" si="1"/>
        <v>16</v>
      </c>
      <c r="D2848" s="202" t="str">
        <f t="shared" si="2"/>
        <v> </v>
      </c>
      <c r="E2848" s="202" t="str">
        <f t="shared" si="9"/>
        <v> </v>
      </c>
      <c r="F2848" s="55" t="str">
        <f t="shared" si="4"/>
        <v/>
      </c>
      <c r="G2848" s="202" t="str">
        <f t="shared" si="5"/>
        <v/>
      </c>
      <c r="H2848" s="202" t="str">
        <f t="shared" si="11"/>
        <v> </v>
      </c>
      <c r="I2848" s="205" t="str">
        <f t="shared" si="7"/>
        <v/>
      </c>
      <c r="J2848" s="205"/>
      <c r="K2848" s="205"/>
    </row>
    <row r="2849" ht="14.25" customHeight="1">
      <c r="A2849" s="55">
        <v>48504.0</v>
      </c>
      <c r="B2849" s="55" t="str">
        <f t="shared" si="10"/>
        <v>Primer dia</v>
      </c>
      <c r="C2849" s="202">
        <f t="shared" si="1"/>
        <v>17</v>
      </c>
      <c r="D2849" s="202" t="str">
        <f t="shared" si="2"/>
        <v> </v>
      </c>
      <c r="E2849" s="202">
        <f t="shared" si="9"/>
        <v>17</v>
      </c>
      <c r="F2849" s="55">
        <f t="shared" si="4"/>
        <v>48504</v>
      </c>
      <c r="G2849" s="202">
        <f t="shared" si="5"/>
        <v>162</v>
      </c>
      <c r="H2849" s="202" t="str">
        <f t="shared" si="11"/>
        <v> </v>
      </c>
      <c r="I2849" s="205" t="str">
        <f t="shared" si="7"/>
        <v/>
      </c>
      <c r="J2849" s="205"/>
      <c r="K2849" s="205"/>
    </row>
    <row r="2850" ht="14.25" customHeight="1">
      <c r="A2850" s="55">
        <v>48505.0</v>
      </c>
      <c r="B2850" s="55" t="str">
        <f t="shared" si="10"/>
        <v>Primer dia</v>
      </c>
      <c r="C2850" s="202">
        <f t="shared" si="1"/>
        <v>18</v>
      </c>
      <c r="D2850" s="202" t="str">
        <f t="shared" si="2"/>
        <v> </v>
      </c>
      <c r="E2850" s="202" t="str">
        <f t="shared" si="9"/>
        <v> </v>
      </c>
      <c r="F2850" s="55" t="str">
        <f t="shared" si="4"/>
        <v/>
      </c>
      <c r="G2850" s="202" t="str">
        <f t="shared" si="5"/>
        <v/>
      </c>
      <c r="H2850" s="202" t="str">
        <f t="shared" si="11"/>
        <v> </v>
      </c>
      <c r="I2850" s="205" t="str">
        <f t="shared" si="7"/>
        <v/>
      </c>
      <c r="J2850" s="205"/>
      <c r="K2850" s="205"/>
    </row>
    <row r="2851" ht="14.25" customHeight="1">
      <c r="A2851" s="55">
        <v>48506.0</v>
      </c>
      <c r="B2851" s="55" t="str">
        <f t="shared" si="10"/>
        <v>Primer dia</v>
      </c>
      <c r="C2851" s="202">
        <f t="shared" si="1"/>
        <v>19</v>
      </c>
      <c r="D2851" s="202" t="str">
        <f t="shared" si="2"/>
        <v> </v>
      </c>
      <c r="E2851" s="202" t="str">
        <f t="shared" si="9"/>
        <v> </v>
      </c>
      <c r="F2851" s="55" t="str">
        <f t="shared" si="4"/>
        <v/>
      </c>
      <c r="G2851" s="202" t="str">
        <f t="shared" si="5"/>
        <v/>
      </c>
      <c r="H2851" s="202" t="str">
        <f t="shared" si="11"/>
        <v> </v>
      </c>
      <c r="I2851" s="205" t="str">
        <f t="shared" si="7"/>
        <v/>
      </c>
      <c r="J2851" s="205"/>
      <c r="K2851" s="205"/>
    </row>
    <row r="2852" ht="14.25" customHeight="1">
      <c r="A2852" s="55">
        <v>48507.0</v>
      </c>
      <c r="B2852" s="55" t="str">
        <f t="shared" si="10"/>
        <v>Primer dia</v>
      </c>
      <c r="C2852" s="202">
        <f t="shared" si="1"/>
        <v>20</v>
      </c>
      <c r="D2852" s="202" t="str">
        <f t="shared" si="2"/>
        <v> </v>
      </c>
      <c r="E2852" s="202" t="str">
        <f t="shared" si="9"/>
        <v> </v>
      </c>
      <c r="F2852" s="55" t="str">
        <f t="shared" si="4"/>
        <v/>
      </c>
      <c r="G2852" s="202" t="str">
        <f t="shared" si="5"/>
        <v/>
      </c>
      <c r="H2852" s="202" t="str">
        <f t="shared" si="11"/>
        <v> </v>
      </c>
      <c r="I2852" s="205" t="str">
        <f t="shared" si="7"/>
        <v/>
      </c>
      <c r="J2852" s="205"/>
      <c r="K2852" s="205"/>
    </row>
    <row r="2853" ht="14.25" customHeight="1">
      <c r="A2853" s="55">
        <v>48508.0</v>
      </c>
      <c r="B2853" s="55" t="str">
        <f t="shared" si="10"/>
        <v>Primer dia</v>
      </c>
      <c r="C2853" s="202">
        <f t="shared" si="1"/>
        <v>21</v>
      </c>
      <c r="D2853" s="202" t="str">
        <f t="shared" si="2"/>
        <v> </v>
      </c>
      <c r="E2853" s="202" t="str">
        <f t="shared" si="9"/>
        <v> </v>
      </c>
      <c r="F2853" s="55" t="str">
        <f t="shared" si="4"/>
        <v/>
      </c>
      <c r="G2853" s="202" t="str">
        <f t="shared" si="5"/>
        <v/>
      </c>
      <c r="H2853" s="202" t="str">
        <f t="shared" si="11"/>
        <v> </v>
      </c>
      <c r="I2853" s="205" t="str">
        <f t="shared" si="7"/>
        <v/>
      </c>
      <c r="J2853" s="205"/>
      <c r="K2853" s="205"/>
    </row>
    <row r="2854" ht="14.25" customHeight="1">
      <c r="A2854" s="55">
        <v>48509.0</v>
      </c>
      <c r="B2854" s="55" t="str">
        <f t="shared" si="10"/>
        <v>Primer dia</v>
      </c>
      <c r="C2854" s="202">
        <f t="shared" si="1"/>
        <v>22</v>
      </c>
      <c r="D2854" s="202" t="str">
        <f t="shared" si="2"/>
        <v> </v>
      </c>
      <c r="E2854" s="202" t="str">
        <f t="shared" si="9"/>
        <v> </v>
      </c>
      <c r="F2854" s="55" t="str">
        <f t="shared" si="4"/>
        <v/>
      </c>
      <c r="G2854" s="202" t="str">
        <f t="shared" si="5"/>
        <v/>
      </c>
      <c r="H2854" s="202" t="str">
        <f t="shared" si="11"/>
        <v> </v>
      </c>
      <c r="I2854" s="205" t="str">
        <f t="shared" si="7"/>
        <v/>
      </c>
      <c r="J2854" s="205"/>
      <c r="K2854" s="205"/>
    </row>
    <row r="2855" ht="14.25" customHeight="1">
      <c r="A2855" s="55">
        <v>48510.0</v>
      </c>
      <c r="B2855" s="55" t="str">
        <f t="shared" si="10"/>
        <v>Primer dia</v>
      </c>
      <c r="C2855" s="202">
        <f t="shared" si="1"/>
        <v>23</v>
      </c>
      <c r="D2855" s="202" t="str">
        <f t="shared" si="2"/>
        <v> </v>
      </c>
      <c r="E2855" s="202" t="str">
        <f t="shared" si="9"/>
        <v> </v>
      </c>
      <c r="F2855" s="55" t="str">
        <f t="shared" si="4"/>
        <v/>
      </c>
      <c r="G2855" s="202" t="str">
        <f t="shared" si="5"/>
        <v/>
      </c>
      <c r="H2855" s="202" t="str">
        <f t="shared" si="11"/>
        <v> </v>
      </c>
      <c r="I2855" s="205" t="str">
        <f t="shared" si="7"/>
        <v/>
      </c>
      <c r="J2855" s="205"/>
      <c r="K2855" s="205"/>
    </row>
    <row r="2856" ht="14.25" customHeight="1">
      <c r="A2856" s="55">
        <v>48511.0</v>
      </c>
      <c r="B2856" s="55" t="str">
        <f t="shared" si="10"/>
        <v>Primer dia</v>
      </c>
      <c r="C2856" s="202">
        <f t="shared" si="1"/>
        <v>24</v>
      </c>
      <c r="D2856" s="202" t="str">
        <f t="shared" si="2"/>
        <v> </v>
      </c>
      <c r="E2856" s="202" t="str">
        <f t="shared" si="9"/>
        <v> </v>
      </c>
      <c r="F2856" s="55" t="str">
        <f t="shared" si="4"/>
        <v/>
      </c>
      <c r="G2856" s="202" t="str">
        <f t="shared" si="5"/>
        <v/>
      </c>
      <c r="H2856" s="202" t="str">
        <f t="shared" si="11"/>
        <v> </v>
      </c>
      <c r="I2856" s="205" t="str">
        <f t="shared" si="7"/>
        <v/>
      </c>
      <c r="J2856" s="205"/>
      <c r="K2856" s="205"/>
    </row>
    <row r="2857" ht="14.25" customHeight="1">
      <c r="A2857" s="55">
        <v>48512.0</v>
      </c>
      <c r="B2857" s="55" t="str">
        <f t="shared" si="10"/>
        <v>Primer dia</v>
      </c>
      <c r="C2857" s="202">
        <f t="shared" si="1"/>
        <v>25</v>
      </c>
      <c r="D2857" s="202" t="str">
        <f t="shared" si="2"/>
        <v> </v>
      </c>
      <c r="E2857" s="202" t="str">
        <f t="shared" si="9"/>
        <v> </v>
      </c>
      <c r="F2857" s="55" t="str">
        <f t="shared" si="4"/>
        <v/>
      </c>
      <c r="G2857" s="202" t="str">
        <f t="shared" si="5"/>
        <v/>
      </c>
      <c r="H2857" s="202" t="str">
        <f t="shared" si="11"/>
        <v> </v>
      </c>
      <c r="I2857" s="205" t="str">
        <f t="shared" si="7"/>
        <v/>
      </c>
      <c r="J2857" s="205"/>
      <c r="K2857" s="205"/>
    </row>
    <row r="2858" ht="14.25" customHeight="1">
      <c r="A2858" s="55">
        <v>48513.0</v>
      </c>
      <c r="B2858" s="55" t="str">
        <f t="shared" si="10"/>
        <v>Primer dia</v>
      </c>
      <c r="C2858" s="202">
        <f t="shared" si="1"/>
        <v>26</v>
      </c>
      <c r="D2858" s="202" t="str">
        <f t="shared" si="2"/>
        <v> </v>
      </c>
      <c r="E2858" s="202" t="str">
        <f t="shared" si="9"/>
        <v> </v>
      </c>
      <c r="F2858" s="55" t="str">
        <f t="shared" si="4"/>
        <v/>
      </c>
      <c r="G2858" s="202" t="str">
        <f t="shared" si="5"/>
        <v/>
      </c>
      <c r="H2858" s="202" t="str">
        <f t="shared" si="11"/>
        <v> </v>
      </c>
      <c r="I2858" s="205" t="str">
        <f t="shared" si="7"/>
        <v/>
      </c>
      <c r="J2858" s="205"/>
      <c r="K2858" s="205"/>
    </row>
    <row r="2859" ht="14.25" customHeight="1">
      <c r="A2859" s="55">
        <v>48514.0</v>
      </c>
      <c r="B2859" s="55" t="str">
        <f t="shared" si="10"/>
        <v>Primer dia</v>
      </c>
      <c r="C2859" s="202">
        <f t="shared" si="1"/>
        <v>27</v>
      </c>
      <c r="D2859" s="202" t="str">
        <f t="shared" si="2"/>
        <v> </v>
      </c>
      <c r="E2859" s="202" t="str">
        <f t="shared" si="9"/>
        <v> </v>
      </c>
      <c r="F2859" s="55" t="str">
        <f t="shared" si="4"/>
        <v/>
      </c>
      <c r="G2859" s="202" t="str">
        <f t="shared" si="5"/>
        <v/>
      </c>
      <c r="H2859" s="202" t="str">
        <f t="shared" si="11"/>
        <v> </v>
      </c>
      <c r="I2859" s="205" t="str">
        <f t="shared" si="7"/>
        <v/>
      </c>
      <c r="J2859" s="205"/>
      <c r="K2859" s="205"/>
    </row>
    <row r="2860" ht="14.25" customHeight="1">
      <c r="A2860" s="55">
        <v>48515.0</v>
      </c>
      <c r="B2860" s="55" t="str">
        <f t="shared" si="10"/>
        <v>Primer dia</v>
      </c>
      <c r="C2860" s="202">
        <f t="shared" si="1"/>
        <v>28</v>
      </c>
      <c r="D2860" s="202" t="str">
        <f t="shared" si="2"/>
        <v> </v>
      </c>
      <c r="E2860" s="202" t="str">
        <f t="shared" si="9"/>
        <v> </v>
      </c>
      <c r="F2860" s="55" t="str">
        <f t="shared" si="4"/>
        <v/>
      </c>
      <c r="G2860" s="202" t="str">
        <f t="shared" si="5"/>
        <v/>
      </c>
      <c r="H2860" s="202" t="str">
        <f t="shared" si="11"/>
        <v> </v>
      </c>
      <c r="I2860" s="205" t="str">
        <f t="shared" si="7"/>
        <v/>
      </c>
      <c r="J2860" s="205"/>
      <c r="K2860" s="205"/>
    </row>
    <row r="2861" ht="14.25" customHeight="1">
      <c r="A2861" s="55">
        <v>48516.0</v>
      </c>
      <c r="B2861" s="55" t="str">
        <f t="shared" si="10"/>
        <v>Primer dia</v>
      </c>
      <c r="C2861" s="202">
        <f t="shared" si="1"/>
        <v>29</v>
      </c>
      <c r="D2861" s="202" t="str">
        <f t="shared" si="2"/>
        <v> </v>
      </c>
      <c r="E2861" s="202" t="str">
        <f t="shared" si="9"/>
        <v> </v>
      </c>
      <c r="F2861" s="55" t="str">
        <f t="shared" si="4"/>
        <v/>
      </c>
      <c r="G2861" s="202" t="str">
        <f t="shared" si="5"/>
        <v/>
      </c>
      <c r="H2861" s="202" t="str">
        <f t="shared" si="11"/>
        <v> </v>
      </c>
      <c r="I2861" s="205" t="str">
        <f t="shared" si="7"/>
        <v/>
      </c>
      <c r="J2861" s="205"/>
      <c r="K2861" s="205"/>
    </row>
    <row r="2862" ht="14.25" customHeight="1">
      <c r="A2862" s="55">
        <v>48517.0</v>
      </c>
      <c r="B2862" s="55" t="str">
        <f t="shared" si="10"/>
        <v>Primer dia</v>
      </c>
      <c r="C2862" s="202">
        <f t="shared" si="1"/>
        <v>30</v>
      </c>
      <c r="D2862" s="202" t="str">
        <f t="shared" si="2"/>
        <v> </v>
      </c>
      <c r="E2862" s="202" t="str">
        <f t="shared" si="9"/>
        <v> </v>
      </c>
      <c r="F2862" s="55" t="str">
        <f t="shared" si="4"/>
        <v/>
      </c>
      <c r="G2862" s="202" t="str">
        <f t="shared" si="5"/>
        <v/>
      </c>
      <c r="H2862" s="202" t="str">
        <f t="shared" si="11"/>
        <v> </v>
      </c>
      <c r="I2862" s="205" t="str">
        <f t="shared" si="7"/>
        <v/>
      </c>
      <c r="J2862" s="205"/>
      <c r="K2862" s="205"/>
    </row>
    <row r="2863" ht="14.25" customHeight="1">
      <c r="A2863" s="55">
        <v>48518.0</v>
      </c>
      <c r="B2863" s="55" t="str">
        <f t="shared" si="10"/>
        <v>Primer dia</v>
      </c>
      <c r="C2863" s="202">
        <f t="shared" si="1"/>
        <v>31</v>
      </c>
      <c r="D2863" s="202" t="str">
        <f t="shared" si="2"/>
        <v> </v>
      </c>
      <c r="E2863" s="202" t="str">
        <f t="shared" si="9"/>
        <v> </v>
      </c>
      <c r="F2863" s="55" t="str">
        <f t="shared" si="4"/>
        <v/>
      </c>
      <c r="G2863" s="202" t="str">
        <f t="shared" si="5"/>
        <v/>
      </c>
      <c r="H2863" s="202" t="str">
        <f t="shared" si="11"/>
        <v> </v>
      </c>
      <c r="I2863" s="205" t="str">
        <f t="shared" si="7"/>
        <v/>
      </c>
      <c r="J2863" s="205"/>
      <c r="K2863" s="205"/>
    </row>
    <row r="2864" ht="14.25" customHeight="1">
      <c r="A2864" s="55">
        <v>48519.0</v>
      </c>
      <c r="B2864" s="55" t="str">
        <f t="shared" si="10"/>
        <v>Primer dia</v>
      </c>
      <c r="C2864" s="202">
        <f t="shared" si="1"/>
        <v>1</v>
      </c>
      <c r="D2864" s="202" t="str">
        <f t="shared" si="2"/>
        <v> </v>
      </c>
      <c r="E2864" s="202" t="str">
        <f t="shared" si="9"/>
        <v> </v>
      </c>
      <c r="F2864" s="55" t="str">
        <f t="shared" si="4"/>
        <v/>
      </c>
      <c r="G2864" s="202" t="str">
        <f t="shared" si="5"/>
        <v/>
      </c>
      <c r="H2864" s="202" t="str">
        <f t="shared" si="11"/>
        <v> </v>
      </c>
      <c r="I2864" s="205" t="str">
        <f t="shared" si="7"/>
        <v/>
      </c>
      <c r="J2864" s="205"/>
      <c r="K2864" s="205"/>
    </row>
    <row r="2865" ht="14.25" customHeight="1">
      <c r="A2865" s="55">
        <v>48520.0</v>
      </c>
      <c r="B2865" s="55" t="str">
        <f t="shared" si="10"/>
        <v>Primer dia</v>
      </c>
      <c r="C2865" s="202">
        <f t="shared" si="1"/>
        <v>2</v>
      </c>
      <c r="D2865" s="202" t="str">
        <f t="shared" si="2"/>
        <v> </v>
      </c>
      <c r="E2865" s="202">
        <f t="shared" si="9"/>
        <v>2</v>
      </c>
      <c r="F2865" s="55">
        <f t="shared" si="4"/>
        <v>48520</v>
      </c>
      <c r="G2865" s="202">
        <f t="shared" si="5"/>
        <v>163</v>
      </c>
      <c r="H2865" s="202" t="str">
        <f t="shared" si="11"/>
        <v> </v>
      </c>
      <c r="I2865" s="205" t="str">
        <f t="shared" si="7"/>
        <v/>
      </c>
      <c r="J2865" s="205"/>
      <c r="K2865" s="205"/>
    </row>
    <row r="2866" ht="14.25" customHeight="1">
      <c r="A2866" s="55">
        <v>48521.0</v>
      </c>
      <c r="B2866" s="55" t="str">
        <f t="shared" si="10"/>
        <v>Primer dia</v>
      </c>
      <c r="C2866" s="202">
        <f t="shared" si="1"/>
        <v>3</v>
      </c>
      <c r="D2866" s="202" t="str">
        <f t="shared" si="2"/>
        <v> </v>
      </c>
      <c r="E2866" s="202" t="str">
        <f t="shared" si="9"/>
        <v> </v>
      </c>
      <c r="F2866" s="55" t="str">
        <f t="shared" si="4"/>
        <v/>
      </c>
      <c r="G2866" s="202" t="str">
        <f t="shared" si="5"/>
        <v/>
      </c>
      <c r="H2866" s="202" t="str">
        <f t="shared" si="11"/>
        <v> </v>
      </c>
      <c r="I2866" s="205" t="str">
        <f t="shared" si="7"/>
        <v/>
      </c>
      <c r="J2866" s="205"/>
      <c r="K2866" s="205"/>
    </row>
    <row r="2867" ht="14.25" customHeight="1">
      <c r="A2867" s="55">
        <v>48522.0</v>
      </c>
      <c r="B2867" s="55" t="str">
        <f t="shared" si="10"/>
        <v>Primer dia</v>
      </c>
      <c r="C2867" s="202">
        <f t="shared" si="1"/>
        <v>4</v>
      </c>
      <c r="D2867" s="202" t="str">
        <f t="shared" si="2"/>
        <v> </v>
      </c>
      <c r="E2867" s="202" t="str">
        <f t="shared" si="9"/>
        <v> </v>
      </c>
      <c r="F2867" s="55" t="str">
        <f t="shared" si="4"/>
        <v/>
      </c>
      <c r="G2867" s="202" t="str">
        <f t="shared" si="5"/>
        <v/>
      </c>
      <c r="H2867" s="202" t="str">
        <f t="shared" si="11"/>
        <v> </v>
      </c>
      <c r="I2867" s="205" t="str">
        <f t="shared" si="7"/>
        <v/>
      </c>
      <c r="J2867" s="205"/>
      <c r="K2867" s="205"/>
    </row>
    <row r="2868" ht="14.25" customHeight="1">
      <c r="A2868" s="55">
        <v>48523.0</v>
      </c>
      <c r="B2868" s="55" t="str">
        <f t="shared" si="10"/>
        <v>Primer dia</v>
      </c>
      <c r="C2868" s="202">
        <f t="shared" si="1"/>
        <v>5</v>
      </c>
      <c r="D2868" s="202" t="str">
        <f t="shared" si="2"/>
        <v> </v>
      </c>
      <c r="E2868" s="202" t="str">
        <f t="shared" si="9"/>
        <v> </v>
      </c>
      <c r="F2868" s="55" t="str">
        <f t="shared" si="4"/>
        <v/>
      </c>
      <c r="G2868" s="202" t="str">
        <f t="shared" si="5"/>
        <v/>
      </c>
      <c r="H2868" s="202" t="str">
        <f t="shared" si="11"/>
        <v> </v>
      </c>
      <c r="I2868" s="205" t="str">
        <f t="shared" si="7"/>
        <v/>
      </c>
      <c r="J2868" s="205"/>
      <c r="K2868" s="205"/>
    </row>
    <row r="2869" ht="14.25" customHeight="1">
      <c r="A2869" s="55">
        <v>48524.0</v>
      </c>
      <c r="B2869" s="55" t="str">
        <f t="shared" si="10"/>
        <v>Primer dia</v>
      </c>
      <c r="C2869" s="202">
        <f t="shared" si="1"/>
        <v>6</v>
      </c>
      <c r="D2869" s="202" t="str">
        <f t="shared" si="2"/>
        <v> </v>
      </c>
      <c r="E2869" s="202" t="str">
        <f t="shared" si="9"/>
        <v> </v>
      </c>
      <c r="F2869" s="55" t="str">
        <f t="shared" si="4"/>
        <v/>
      </c>
      <c r="G2869" s="202" t="str">
        <f t="shared" si="5"/>
        <v/>
      </c>
      <c r="H2869" s="202" t="str">
        <f t="shared" si="11"/>
        <v> </v>
      </c>
      <c r="I2869" s="205" t="str">
        <f t="shared" si="7"/>
        <v/>
      </c>
      <c r="J2869" s="205"/>
      <c r="K2869" s="205"/>
    </row>
    <row r="2870" ht="14.25" customHeight="1">
      <c r="A2870" s="55">
        <v>48525.0</v>
      </c>
      <c r="B2870" s="55" t="str">
        <f t="shared" si="10"/>
        <v>Primer dia</v>
      </c>
      <c r="C2870" s="202">
        <f t="shared" si="1"/>
        <v>7</v>
      </c>
      <c r="D2870" s="202" t="str">
        <f t="shared" si="2"/>
        <v> </v>
      </c>
      <c r="E2870" s="202" t="str">
        <f t="shared" si="9"/>
        <v> </v>
      </c>
      <c r="F2870" s="55" t="str">
        <f t="shared" si="4"/>
        <v/>
      </c>
      <c r="G2870" s="202" t="str">
        <f t="shared" si="5"/>
        <v/>
      </c>
      <c r="H2870" s="202" t="str">
        <f t="shared" si="11"/>
        <v> </v>
      </c>
      <c r="I2870" s="205" t="str">
        <f t="shared" si="7"/>
        <v/>
      </c>
      <c r="J2870" s="205"/>
      <c r="K2870" s="205"/>
    </row>
    <row r="2871" ht="14.25" customHeight="1">
      <c r="A2871" s="55">
        <v>48526.0</v>
      </c>
      <c r="B2871" s="55" t="str">
        <f t="shared" si="10"/>
        <v>Primer dia</v>
      </c>
      <c r="C2871" s="202">
        <f t="shared" si="1"/>
        <v>8</v>
      </c>
      <c r="D2871" s="202" t="str">
        <f t="shared" si="2"/>
        <v> </v>
      </c>
      <c r="E2871" s="202" t="str">
        <f t="shared" si="9"/>
        <v> </v>
      </c>
      <c r="F2871" s="55" t="str">
        <f t="shared" si="4"/>
        <v/>
      </c>
      <c r="G2871" s="202" t="str">
        <f t="shared" si="5"/>
        <v/>
      </c>
      <c r="H2871" s="202" t="str">
        <f t="shared" si="11"/>
        <v> </v>
      </c>
      <c r="I2871" s="205" t="str">
        <f t="shared" si="7"/>
        <v/>
      </c>
      <c r="J2871" s="205"/>
      <c r="K2871" s="205"/>
    </row>
    <row r="2872" ht="14.25" customHeight="1">
      <c r="A2872" s="55">
        <v>48527.0</v>
      </c>
      <c r="B2872" s="55" t="str">
        <f t="shared" si="10"/>
        <v>Primer dia</v>
      </c>
      <c r="C2872" s="202">
        <f t="shared" si="1"/>
        <v>9</v>
      </c>
      <c r="D2872" s="202" t="str">
        <f t="shared" si="2"/>
        <v> </v>
      </c>
      <c r="E2872" s="202" t="str">
        <f t="shared" si="9"/>
        <v> </v>
      </c>
      <c r="F2872" s="55" t="str">
        <f t="shared" si="4"/>
        <v/>
      </c>
      <c r="G2872" s="202" t="str">
        <f t="shared" si="5"/>
        <v/>
      </c>
      <c r="H2872" s="202" t="str">
        <f t="shared" si="11"/>
        <v> </v>
      </c>
      <c r="I2872" s="205" t="str">
        <f t="shared" si="7"/>
        <v/>
      </c>
      <c r="J2872" s="205"/>
      <c r="K2872" s="205"/>
    </row>
    <row r="2873" ht="14.25" customHeight="1">
      <c r="A2873" s="55">
        <v>48528.0</v>
      </c>
      <c r="B2873" s="55" t="str">
        <f t="shared" si="10"/>
        <v>Primer dia</v>
      </c>
      <c r="C2873" s="202">
        <f t="shared" si="1"/>
        <v>10</v>
      </c>
      <c r="D2873" s="202" t="str">
        <f t="shared" si="2"/>
        <v> </v>
      </c>
      <c r="E2873" s="202" t="str">
        <f t="shared" si="9"/>
        <v> </v>
      </c>
      <c r="F2873" s="55" t="str">
        <f t="shared" si="4"/>
        <v/>
      </c>
      <c r="G2873" s="202" t="str">
        <f t="shared" si="5"/>
        <v/>
      </c>
      <c r="H2873" s="202" t="str">
        <f t="shared" si="11"/>
        <v> </v>
      </c>
      <c r="I2873" s="205" t="str">
        <f t="shared" si="7"/>
        <v/>
      </c>
      <c r="J2873" s="205"/>
      <c r="K2873" s="205"/>
    </row>
    <row r="2874" ht="14.25" customHeight="1">
      <c r="A2874" s="55">
        <v>48529.0</v>
      </c>
      <c r="B2874" s="55" t="str">
        <f t="shared" si="10"/>
        <v>Primer dia</v>
      </c>
      <c r="C2874" s="202">
        <f t="shared" si="1"/>
        <v>11</v>
      </c>
      <c r="D2874" s="202" t="str">
        <f t="shared" si="2"/>
        <v> </v>
      </c>
      <c r="E2874" s="202" t="str">
        <f t="shared" si="9"/>
        <v> </v>
      </c>
      <c r="F2874" s="55" t="str">
        <f t="shared" si="4"/>
        <v/>
      </c>
      <c r="G2874" s="202" t="str">
        <f t="shared" si="5"/>
        <v/>
      </c>
      <c r="H2874" s="202" t="str">
        <f t="shared" si="11"/>
        <v> </v>
      </c>
      <c r="I2874" s="205" t="str">
        <f t="shared" si="7"/>
        <v/>
      </c>
      <c r="J2874" s="205"/>
      <c r="K2874" s="205"/>
    </row>
    <row r="2875" ht="14.25" customHeight="1">
      <c r="A2875" s="55">
        <v>48530.0</v>
      </c>
      <c r="B2875" s="55" t="str">
        <f t="shared" si="10"/>
        <v>Primer dia</v>
      </c>
      <c r="C2875" s="202">
        <f t="shared" si="1"/>
        <v>12</v>
      </c>
      <c r="D2875" s="202" t="str">
        <f t="shared" si="2"/>
        <v> </v>
      </c>
      <c r="E2875" s="202" t="str">
        <f t="shared" si="9"/>
        <v> </v>
      </c>
      <c r="F2875" s="55" t="str">
        <f t="shared" si="4"/>
        <v/>
      </c>
      <c r="G2875" s="202" t="str">
        <f t="shared" si="5"/>
        <v/>
      </c>
      <c r="H2875" s="202" t="str">
        <f t="shared" si="11"/>
        <v> </v>
      </c>
      <c r="I2875" s="205" t="str">
        <f t="shared" si="7"/>
        <v/>
      </c>
      <c r="J2875" s="205"/>
      <c r="K2875" s="205"/>
    </row>
    <row r="2876" ht="14.25" customHeight="1">
      <c r="A2876" s="55">
        <v>48531.0</v>
      </c>
      <c r="B2876" s="55" t="str">
        <f t="shared" si="10"/>
        <v>Primer dia</v>
      </c>
      <c r="C2876" s="202">
        <f t="shared" si="1"/>
        <v>13</v>
      </c>
      <c r="D2876" s="202" t="str">
        <f t="shared" si="2"/>
        <v> </v>
      </c>
      <c r="E2876" s="202" t="str">
        <f t="shared" si="9"/>
        <v> </v>
      </c>
      <c r="F2876" s="55" t="str">
        <f t="shared" si="4"/>
        <v/>
      </c>
      <c r="G2876" s="202" t="str">
        <f t="shared" si="5"/>
        <v/>
      </c>
      <c r="H2876" s="202" t="str">
        <f t="shared" si="11"/>
        <v> </v>
      </c>
      <c r="I2876" s="205" t="str">
        <f t="shared" si="7"/>
        <v/>
      </c>
      <c r="J2876" s="205"/>
      <c r="K2876" s="205"/>
    </row>
    <row r="2877" ht="14.25" customHeight="1">
      <c r="A2877" s="55">
        <v>48532.0</v>
      </c>
      <c r="B2877" s="55" t="str">
        <f t="shared" si="10"/>
        <v>Primer dia</v>
      </c>
      <c r="C2877" s="202">
        <f t="shared" si="1"/>
        <v>14</v>
      </c>
      <c r="D2877" s="202" t="str">
        <f t="shared" si="2"/>
        <v> </v>
      </c>
      <c r="E2877" s="202" t="str">
        <f t="shared" si="9"/>
        <v> </v>
      </c>
      <c r="F2877" s="55" t="str">
        <f t="shared" si="4"/>
        <v/>
      </c>
      <c r="G2877" s="202" t="str">
        <f t="shared" si="5"/>
        <v/>
      </c>
      <c r="H2877" s="202" t="str">
        <f t="shared" si="11"/>
        <v> </v>
      </c>
      <c r="I2877" s="205" t="str">
        <f t="shared" si="7"/>
        <v/>
      </c>
      <c r="J2877" s="205"/>
      <c r="K2877" s="205"/>
    </row>
    <row r="2878" ht="14.25" customHeight="1">
      <c r="A2878" s="55">
        <v>48533.0</v>
      </c>
      <c r="B2878" s="55" t="str">
        <f t="shared" si="10"/>
        <v>Primer dia</v>
      </c>
      <c r="C2878" s="202">
        <f t="shared" si="1"/>
        <v>15</v>
      </c>
      <c r="D2878" s="202" t="str">
        <f t="shared" si="2"/>
        <v> </v>
      </c>
      <c r="E2878" s="202" t="str">
        <f t="shared" si="9"/>
        <v> </v>
      </c>
      <c r="F2878" s="55" t="str">
        <f t="shared" si="4"/>
        <v/>
      </c>
      <c r="G2878" s="202" t="str">
        <f t="shared" si="5"/>
        <v/>
      </c>
      <c r="H2878" s="202" t="str">
        <f t="shared" si="11"/>
        <v> </v>
      </c>
      <c r="I2878" s="205" t="str">
        <f t="shared" si="7"/>
        <v/>
      </c>
      <c r="J2878" s="205"/>
      <c r="K2878" s="205"/>
    </row>
    <row r="2879" ht="14.25" customHeight="1">
      <c r="A2879" s="55">
        <v>48534.0</v>
      </c>
      <c r="B2879" s="55" t="str">
        <f t="shared" si="10"/>
        <v>Primer dia</v>
      </c>
      <c r="C2879" s="202">
        <f t="shared" si="1"/>
        <v>16</v>
      </c>
      <c r="D2879" s="202" t="str">
        <f t="shared" si="2"/>
        <v> </v>
      </c>
      <c r="E2879" s="202" t="str">
        <f t="shared" si="9"/>
        <v> </v>
      </c>
      <c r="F2879" s="55" t="str">
        <f t="shared" si="4"/>
        <v/>
      </c>
      <c r="G2879" s="202" t="str">
        <f t="shared" si="5"/>
        <v/>
      </c>
      <c r="H2879" s="202" t="str">
        <f t="shared" si="11"/>
        <v> </v>
      </c>
      <c r="I2879" s="205" t="str">
        <f t="shared" si="7"/>
        <v/>
      </c>
      <c r="J2879" s="205"/>
      <c r="K2879" s="205"/>
    </row>
    <row r="2880" ht="14.25" customHeight="1">
      <c r="A2880" s="55">
        <v>48535.0</v>
      </c>
      <c r="B2880" s="55" t="str">
        <f t="shared" si="10"/>
        <v>Primer dia</v>
      </c>
      <c r="C2880" s="202">
        <f t="shared" si="1"/>
        <v>17</v>
      </c>
      <c r="D2880" s="202" t="str">
        <f t="shared" si="2"/>
        <v> </v>
      </c>
      <c r="E2880" s="202">
        <f t="shared" si="9"/>
        <v>17</v>
      </c>
      <c r="F2880" s="55">
        <f t="shared" si="4"/>
        <v>48535</v>
      </c>
      <c r="G2880" s="202">
        <f t="shared" si="5"/>
        <v>164</v>
      </c>
      <c r="H2880" s="202" t="str">
        <f t="shared" si="11"/>
        <v> </v>
      </c>
      <c r="I2880" s="205" t="str">
        <f t="shared" si="7"/>
        <v/>
      </c>
      <c r="J2880" s="205"/>
      <c r="K2880" s="205"/>
    </row>
    <row r="2881" ht="14.25" customHeight="1">
      <c r="A2881" s="55">
        <v>48536.0</v>
      </c>
      <c r="B2881" s="55" t="str">
        <f t="shared" si="10"/>
        <v>Primer dia</v>
      </c>
      <c r="C2881" s="202">
        <f t="shared" si="1"/>
        <v>18</v>
      </c>
      <c r="D2881" s="202" t="str">
        <f t="shared" si="2"/>
        <v> </v>
      </c>
      <c r="E2881" s="202" t="str">
        <f t="shared" si="9"/>
        <v> </v>
      </c>
      <c r="F2881" s="55" t="str">
        <f t="shared" si="4"/>
        <v/>
      </c>
      <c r="G2881" s="202" t="str">
        <f t="shared" si="5"/>
        <v/>
      </c>
      <c r="H2881" s="202" t="str">
        <f t="shared" si="11"/>
        <v> </v>
      </c>
      <c r="I2881" s="205" t="str">
        <f t="shared" si="7"/>
        <v/>
      </c>
      <c r="J2881" s="205"/>
      <c r="K2881" s="205"/>
    </row>
    <row r="2882" ht="14.25" customHeight="1">
      <c r="A2882" s="55">
        <v>48537.0</v>
      </c>
      <c r="B2882" s="55" t="str">
        <f t="shared" si="10"/>
        <v>Primer dia</v>
      </c>
      <c r="C2882" s="202">
        <f t="shared" si="1"/>
        <v>19</v>
      </c>
      <c r="D2882" s="202" t="str">
        <f t="shared" si="2"/>
        <v> </v>
      </c>
      <c r="E2882" s="202" t="str">
        <f t="shared" si="9"/>
        <v> </v>
      </c>
      <c r="F2882" s="55" t="str">
        <f t="shared" si="4"/>
        <v/>
      </c>
      <c r="G2882" s="202" t="str">
        <f t="shared" si="5"/>
        <v/>
      </c>
      <c r="H2882" s="202" t="str">
        <f t="shared" si="11"/>
        <v> </v>
      </c>
      <c r="I2882" s="205" t="str">
        <f t="shared" si="7"/>
        <v/>
      </c>
      <c r="J2882" s="205"/>
      <c r="K2882" s="205"/>
    </row>
    <row r="2883" ht="14.25" customHeight="1">
      <c r="A2883" s="55">
        <v>48538.0</v>
      </c>
      <c r="B2883" s="55" t="str">
        <f t="shared" si="10"/>
        <v>Primer dia</v>
      </c>
      <c r="C2883" s="202">
        <f t="shared" si="1"/>
        <v>20</v>
      </c>
      <c r="D2883" s="202" t="str">
        <f t="shared" si="2"/>
        <v> </v>
      </c>
      <c r="E2883" s="202" t="str">
        <f t="shared" si="9"/>
        <v> </v>
      </c>
      <c r="F2883" s="55" t="str">
        <f t="shared" si="4"/>
        <v/>
      </c>
      <c r="G2883" s="202" t="str">
        <f t="shared" si="5"/>
        <v/>
      </c>
      <c r="H2883" s="202" t="str">
        <f t="shared" si="11"/>
        <v> </v>
      </c>
      <c r="I2883" s="205" t="str">
        <f t="shared" si="7"/>
        <v/>
      </c>
      <c r="J2883" s="205"/>
      <c r="K2883" s="205"/>
    </row>
    <row r="2884" ht="14.25" customHeight="1">
      <c r="A2884" s="55">
        <v>48539.0</v>
      </c>
      <c r="B2884" s="55" t="str">
        <f t="shared" si="10"/>
        <v>Primer dia</v>
      </c>
      <c r="C2884" s="202">
        <f t="shared" si="1"/>
        <v>21</v>
      </c>
      <c r="D2884" s="202" t="str">
        <f t="shared" si="2"/>
        <v> </v>
      </c>
      <c r="E2884" s="202" t="str">
        <f t="shared" si="9"/>
        <v> </v>
      </c>
      <c r="F2884" s="55" t="str">
        <f t="shared" si="4"/>
        <v/>
      </c>
      <c r="G2884" s="202" t="str">
        <f t="shared" si="5"/>
        <v/>
      </c>
      <c r="H2884" s="202" t="str">
        <f t="shared" si="11"/>
        <v> </v>
      </c>
      <c r="I2884" s="205" t="str">
        <f t="shared" si="7"/>
        <v/>
      </c>
      <c r="J2884" s="205"/>
      <c r="K2884" s="205"/>
    </row>
    <row r="2885" ht="14.25" customHeight="1">
      <c r="A2885" s="55">
        <v>48540.0</v>
      </c>
      <c r="B2885" s="55" t="str">
        <f t="shared" si="10"/>
        <v>Primer dia</v>
      </c>
      <c r="C2885" s="202">
        <f t="shared" si="1"/>
        <v>22</v>
      </c>
      <c r="D2885" s="202" t="str">
        <f t="shared" si="2"/>
        <v> </v>
      </c>
      <c r="E2885" s="202" t="str">
        <f t="shared" si="9"/>
        <v> </v>
      </c>
      <c r="F2885" s="55" t="str">
        <f t="shared" si="4"/>
        <v/>
      </c>
      <c r="G2885" s="202" t="str">
        <f t="shared" si="5"/>
        <v/>
      </c>
      <c r="H2885" s="202" t="str">
        <f t="shared" si="11"/>
        <v> </v>
      </c>
      <c r="I2885" s="205" t="str">
        <f t="shared" si="7"/>
        <v/>
      </c>
      <c r="J2885" s="205"/>
      <c r="K2885" s="205"/>
    </row>
    <row r="2886" ht="14.25" customHeight="1">
      <c r="A2886" s="55">
        <v>48541.0</v>
      </c>
      <c r="B2886" s="55" t="str">
        <f t="shared" si="10"/>
        <v>Primer dia</v>
      </c>
      <c r="C2886" s="202">
        <f t="shared" si="1"/>
        <v>23</v>
      </c>
      <c r="D2886" s="202" t="str">
        <f t="shared" si="2"/>
        <v> </v>
      </c>
      <c r="E2886" s="202" t="str">
        <f t="shared" si="9"/>
        <v> </v>
      </c>
      <c r="F2886" s="55" t="str">
        <f t="shared" si="4"/>
        <v/>
      </c>
      <c r="G2886" s="202" t="str">
        <f t="shared" si="5"/>
        <v/>
      </c>
      <c r="H2886" s="202" t="str">
        <f t="shared" si="11"/>
        <v> </v>
      </c>
      <c r="I2886" s="205" t="str">
        <f t="shared" si="7"/>
        <v/>
      </c>
      <c r="J2886" s="205"/>
      <c r="K2886" s="205"/>
    </row>
    <row r="2887" ht="14.25" customHeight="1">
      <c r="A2887" s="55">
        <v>48542.0</v>
      </c>
      <c r="B2887" s="55" t="str">
        <f t="shared" si="10"/>
        <v>Primer dia</v>
      </c>
      <c r="C2887" s="202">
        <f t="shared" si="1"/>
        <v>24</v>
      </c>
      <c r="D2887" s="202" t="str">
        <f t="shared" si="2"/>
        <v> </v>
      </c>
      <c r="E2887" s="202" t="str">
        <f t="shared" si="9"/>
        <v> </v>
      </c>
      <c r="F2887" s="55" t="str">
        <f t="shared" si="4"/>
        <v/>
      </c>
      <c r="G2887" s="202" t="str">
        <f t="shared" si="5"/>
        <v/>
      </c>
      <c r="H2887" s="202" t="str">
        <f t="shared" si="11"/>
        <v> </v>
      </c>
      <c r="I2887" s="205" t="str">
        <f t="shared" si="7"/>
        <v/>
      </c>
      <c r="J2887" s="205"/>
      <c r="K2887" s="205"/>
    </row>
    <row r="2888" ht="14.25" customHeight="1">
      <c r="A2888" s="55">
        <v>48543.0</v>
      </c>
      <c r="B2888" s="55" t="str">
        <f t="shared" si="10"/>
        <v>Primer dia</v>
      </c>
      <c r="C2888" s="202">
        <f t="shared" si="1"/>
        <v>25</v>
      </c>
      <c r="D2888" s="202" t="str">
        <f t="shared" si="2"/>
        <v> </v>
      </c>
      <c r="E2888" s="202" t="str">
        <f t="shared" si="9"/>
        <v> </v>
      </c>
      <c r="F2888" s="55" t="str">
        <f t="shared" si="4"/>
        <v/>
      </c>
      <c r="G2888" s="202" t="str">
        <f t="shared" si="5"/>
        <v/>
      </c>
      <c r="H2888" s="202" t="str">
        <f t="shared" si="11"/>
        <v> </v>
      </c>
      <c r="I2888" s="205" t="str">
        <f t="shared" si="7"/>
        <v/>
      </c>
      <c r="J2888" s="205"/>
      <c r="K2888" s="205"/>
    </row>
    <row r="2889" ht="14.25" customHeight="1">
      <c r="A2889" s="55">
        <v>48544.0</v>
      </c>
      <c r="B2889" s="55" t="str">
        <f t="shared" si="10"/>
        <v>Primer dia</v>
      </c>
      <c r="C2889" s="202">
        <f t="shared" si="1"/>
        <v>26</v>
      </c>
      <c r="D2889" s="202" t="str">
        <f t="shared" si="2"/>
        <v> </v>
      </c>
      <c r="E2889" s="202" t="str">
        <f t="shared" si="9"/>
        <v> </v>
      </c>
      <c r="F2889" s="55" t="str">
        <f t="shared" si="4"/>
        <v/>
      </c>
      <c r="G2889" s="202" t="str">
        <f t="shared" si="5"/>
        <v/>
      </c>
      <c r="H2889" s="202" t="str">
        <f t="shared" si="11"/>
        <v> </v>
      </c>
      <c r="I2889" s="205" t="str">
        <f t="shared" si="7"/>
        <v/>
      </c>
      <c r="J2889" s="205"/>
      <c r="K2889" s="205"/>
    </row>
    <row r="2890" ht="14.25" customHeight="1">
      <c r="A2890" s="55">
        <v>48545.0</v>
      </c>
      <c r="B2890" s="55" t="str">
        <f t="shared" si="10"/>
        <v>Primer dia</v>
      </c>
      <c r="C2890" s="202">
        <f t="shared" si="1"/>
        <v>27</v>
      </c>
      <c r="D2890" s="202" t="str">
        <f t="shared" si="2"/>
        <v> </v>
      </c>
      <c r="E2890" s="202" t="str">
        <f t="shared" si="9"/>
        <v> </v>
      </c>
      <c r="F2890" s="55" t="str">
        <f t="shared" si="4"/>
        <v/>
      </c>
      <c r="G2890" s="202" t="str">
        <f t="shared" si="5"/>
        <v/>
      </c>
      <c r="H2890" s="202" t="str">
        <f t="shared" si="11"/>
        <v> </v>
      </c>
      <c r="I2890" s="205" t="str">
        <f t="shared" si="7"/>
        <v/>
      </c>
      <c r="J2890" s="205"/>
      <c r="K2890" s="205"/>
    </row>
    <row r="2891" ht="14.25" customHeight="1">
      <c r="A2891" s="55">
        <v>48546.0</v>
      </c>
      <c r="B2891" s="55" t="str">
        <f t="shared" si="10"/>
        <v>Primer dia</v>
      </c>
      <c r="C2891" s="202">
        <f t="shared" si="1"/>
        <v>28</v>
      </c>
      <c r="D2891" s="202" t="str">
        <f t="shared" si="2"/>
        <v> </v>
      </c>
      <c r="E2891" s="202" t="str">
        <f t="shared" si="9"/>
        <v> </v>
      </c>
      <c r="F2891" s="55" t="str">
        <f t="shared" si="4"/>
        <v/>
      </c>
      <c r="G2891" s="202" t="str">
        <f t="shared" si="5"/>
        <v/>
      </c>
      <c r="H2891" s="202" t="str">
        <f t="shared" si="11"/>
        <v> </v>
      </c>
      <c r="I2891" s="205" t="str">
        <f t="shared" si="7"/>
        <v/>
      </c>
      <c r="J2891" s="205"/>
      <c r="K2891" s="205"/>
    </row>
    <row r="2892" ht="14.25" customHeight="1">
      <c r="A2892" s="55">
        <v>48547.0</v>
      </c>
      <c r="B2892" s="55" t="str">
        <f t="shared" si="10"/>
        <v>Primer dia</v>
      </c>
      <c r="C2892" s="202">
        <f t="shared" si="1"/>
        <v>29</v>
      </c>
      <c r="D2892" s="202" t="str">
        <f t="shared" si="2"/>
        <v> </v>
      </c>
      <c r="E2892" s="202" t="str">
        <f t="shared" si="9"/>
        <v> </v>
      </c>
      <c r="F2892" s="55" t="str">
        <f t="shared" si="4"/>
        <v/>
      </c>
      <c r="G2892" s="202" t="str">
        <f t="shared" si="5"/>
        <v/>
      </c>
      <c r="H2892" s="202" t="str">
        <f t="shared" si="11"/>
        <v> </v>
      </c>
      <c r="I2892" s="205" t="str">
        <f t="shared" si="7"/>
        <v/>
      </c>
      <c r="J2892" s="205"/>
      <c r="K2892" s="205"/>
    </row>
    <row r="2893" ht="14.25" customHeight="1">
      <c r="A2893" s="55">
        <v>48548.0</v>
      </c>
      <c r="B2893" s="55" t="str">
        <f t="shared" si="10"/>
        <v>Primer dia</v>
      </c>
      <c r="C2893" s="202">
        <f t="shared" si="1"/>
        <v>30</v>
      </c>
      <c r="D2893" s="202" t="str">
        <f t="shared" si="2"/>
        <v> </v>
      </c>
      <c r="E2893" s="202" t="str">
        <f t="shared" si="9"/>
        <v> </v>
      </c>
      <c r="F2893" s="55" t="str">
        <f t="shared" si="4"/>
        <v/>
      </c>
      <c r="G2893" s="202" t="str">
        <f t="shared" si="5"/>
        <v/>
      </c>
      <c r="H2893" s="202" t="str">
        <f t="shared" si="11"/>
        <v> </v>
      </c>
      <c r="I2893" s="205" t="str">
        <f t="shared" si="7"/>
        <v/>
      </c>
      <c r="J2893" s="205"/>
      <c r="K2893" s="205"/>
    </row>
    <row r="2894" ht="14.25" customHeight="1">
      <c r="A2894" s="55">
        <v>48549.0</v>
      </c>
      <c r="B2894" s="55" t="str">
        <f t="shared" si="10"/>
        <v>Primer dia</v>
      </c>
      <c r="C2894" s="202">
        <f t="shared" si="1"/>
        <v>1</v>
      </c>
      <c r="D2894" s="202" t="str">
        <f t="shared" si="2"/>
        <v> </v>
      </c>
      <c r="E2894" s="202" t="str">
        <f t="shared" si="9"/>
        <v> </v>
      </c>
      <c r="F2894" s="55" t="str">
        <f t="shared" si="4"/>
        <v/>
      </c>
      <c r="G2894" s="202" t="str">
        <f t="shared" si="5"/>
        <v/>
      </c>
      <c r="H2894" s="202" t="str">
        <f t="shared" si="11"/>
        <v> </v>
      </c>
      <c r="I2894" s="205" t="str">
        <f t="shared" si="7"/>
        <v/>
      </c>
      <c r="J2894" s="205"/>
      <c r="K2894" s="205"/>
    </row>
    <row r="2895" ht="14.25" customHeight="1">
      <c r="A2895" s="55">
        <v>48550.0</v>
      </c>
      <c r="B2895" s="55" t="str">
        <f t="shared" si="10"/>
        <v>Primer dia</v>
      </c>
      <c r="C2895" s="202">
        <f t="shared" si="1"/>
        <v>2</v>
      </c>
      <c r="D2895" s="202" t="str">
        <f t="shared" si="2"/>
        <v> </v>
      </c>
      <c r="E2895" s="202">
        <f t="shared" si="9"/>
        <v>2</v>
      </c>
      <c r="F2895" s="55">
        <f t="shared" si="4"/>
        <v>48550</v>
      </c>
      <c r="G2895" s="202">
        <f t="shared" si="5"/>
        <v>165</v>
      </c>
      <c r="H2895" s="202" t="str">
        <f t="shared" si="11"/>
        <v> </v>
      </c>
      <c r="I2895" s="205" t="str">
        <f t="shared" si="7"/>
        <v/>
      </c>
      <c r="J2895" s="205"/>
      <c r="K2895" s="205"/>
    </row>
    <row r="2896" ht="14.25" customHeight="1">
      <c r="A2896" s="55">
        <v>48551.0</v>
      </c>
      <c r="B2896" s="55" t="str">
        <f t="shared" si="10"/>
        <v>Primer dia</v>
      </c>
      <c r="C2896" s="202">
        <f t="shared" si="1"/>
        <v>3</v>
      </c>
      <c r="D2896" s="202" t="str">
        <f t="shared" si="2"/>
        <v> </v>
      </c>
      <c r="E2896" s="202" t="str">
        <f t="shared" si="9"/>
        <v> </v>
      </c>
      <c r="F2896" s="55" t="str">
        <f t="shared" si="4"/>
        <v/>
      </c>
      <c r="G2896" s="202" t="str">
        <f t="shared" si="5"/>
        <v/>
      </c>
      <c r="H2896" s="202" t="str">
        <f t="shared" si="11"/>
        <v> </v>
      </c>
      <c r="I2896" s="205" t="str">
        <f t="shared" si="7"/>
        <v/>
      </c>
      <c r="J2896" s="205"/>
      <c r="K2896" s="205"/>
    </row>
    <row r="2897" ht="14.25" customHeight="1">
      <c r="A2897" s="55">
        <v>48552.0</v>
      </c>
      <c r="B2897" s="55" t="str">
        <f t="shared" si="10"/>
        <v>Primer dia</v>
      </c>
      <c r="C2897" s="202">
        <f t="shared" si="1"/>
        <v>4</v>
      </c>
      <c r="D2897" s="202" t="str">
        <f t="shared" si="2"/>
        <v> </v>
      </c>
      <c r="E2897" s="202" t="str">
        <f t="shared" si="9"/>
        <v> </v>
      </c>
      <c r="F2897" s="55" t="str">
        <f t="shared" si="4"/>
        <v/>
      </c>
      <c r="G2897" s="202" t="str">
        <f t="shared" si="5"/>
        <v/>
      </c>
      <c r="H2897" s="202" t="str">
        <f t="shared" si="11"/>
        <v> </v>
      </c>
      <c r="I2897" s="205" t="str">
        <f t="shared" si="7"/>
        <v/>
      </c>
      <c r="J2897" s="205"/>
      <c r="K2897" s="205"/>
    </row>
    <row r="2898" ht="14.25" customHeight="1">
      <c r="A2898" s="55">
        <v>48553.0</v>
      </c>
      <c r="B2898" s="55" t="str">
        <f t="shared" si="10"/>
        <v>Primer dia</v>
      </c>
      <c r="C2898" s="202">
        <f t="shared" si="1"/>
        <v>5</v>
      </c>
      <c r="D2898" s="202" t="str">
        <f t="shared" si="2"/>
        <v> </v>
      </c>
      <c r="E2898" s="202" t="str">
        <f t="shared" si="9"/>
        <v> </v>
      </c>
      <c r="F2898" s="55" t="str">
        <f t="shared" si="4"/>
        <v/>
      </c>
      <c r="G2898" s="202" t="str">
        <f t="shared" si="5"/>
        <v/>
      </c>
      <c r="H2898" s="202" t="str">
        <f t="shared" si="11"/>
        <v> </v>
      </c>
      <c r="I2898" s="205" t="str">
        <f t="shared" si="7"/>
        <v/>
      </c>
      <c r="J2898" s="205"/>
      <c r="K2898" s="205"/>
    </row>
    <row r="2899" ht="14.25" customHeight="1">
      <c r="A2899" s="55">
        <v>48554.0</v>
      </c>
      <c r="B2899" s="55" t="str">
        <f t="shared" si="10"/>
        <v>Primer dia</v>
      </c>
      <c r="C2899" s="202">
        <f t="shared" si="1"/>
        <v>6</v>
      </c>
      <c r="D2899" s="202" t="str">
        <f t="shared" si="2"/>
        <v> </v>
      </c>
      <c r="E2899" s="202" t="str">
        <f t="shared" si="9"/>
        <v> </v>
      </c>
      <c r="F2899" s="55" t="str">
        <f t="shared" si="4"/>
        <v/>
      </c>
      <c r="G2899" s="202" t="str">
        <f t="shared" si="5"/>
        <v/>
      </c>
      <c r="H2899" s="202" t="str">
        <f t="shared" si="11"/>
        <v> </v>
      </c>
      <c r="I2899" s="205" t="str">
        <f t="shared" si="7"/>
        <v/>
      </c>
      <c r="J2899" s="205"/>
      <c r="K2899" s="205"/>
    </row>
    <row r="2900" ht="14.25" customHeight="1">
      <c r="A2900" s="55">
        <v>48555.0</v>
      </c>
      <c r="B2900" s="55" t="str">
        <f t="shared" si="10"/>
        <v>Primer dia</v>
      </c>
      <c r="C2900" s="202">
        <f t="shared" si="1"/>
        <v>7</v>
      </c>
      <c r="D2900" s="202" t="str">
        <f t="shared" si="2"/>
        <v> </v>
      </c>
      <c r="E2900" s="202" t="str">
        <f t="shared" si="9"/>
        <v> </v>
      </c>
      <c r="F2900" s="55" t="str">
        <f t="shared" si="4"/>
        <v/>
      </c>
      <c r="G2900" s="202" t="str">
        <f t="shared" si="5"/>
        <v/>
      </c>
      <c r="H2900" s="202" t="str">
        <f t="shared" si="11"/>
        <v> </v>
      </c>
      <c r="I2900" s="205" t="str">
        <f t="shared" si="7"/>
        <v/>
      </c>
      <c r="J2900" s="205"/>
      <c r="K2900" s="205"/>
    </row>
    <row r="2901" ht="14.25" customHeight="1">
      <c r="A2901" s="55">
        <v>48556.0</v>
      </c>
      <c r="B2901" s="55" t="str">
        <f t="shared" si="10"/>
        <v>Primer dia</v>
      </c>
      <c r="C2901" s="202">
        <f t="shared" si="1"/>
        <v>8</v>
      </c>
      <c r="D2901" s="202" t="str">
        <f t="shared" si="2"/>
        <v> </v>
      </c>
      <c r="E2901" s="202" t="str">
        <f t="shared" si="9"/>
        <v> </v>
      </c>
      <c r="F2901" s="55" t="str">
        <f t="shared" si="4"/>
        <v/>
      </c>
      <c r="G2901" s="202" t="str">
        <f t="shared" si="5"/>
        <v/>
      </c>
      <c r="H2901" s="202" t="str">
        <f t="shared" si="11"/>
        <v> </v>
      </c>
      <c r="I2901" s="205" t="str">
        <f t="shared" si="7"/>
        <v/>
      </c>
      <c r="J2901" s="205"/>
      <c r="K2901" s="205"/>
    </row>
    <row r="2902" ht="14.25" customHeight="1">
      <c r="A2902" s="55">
        <v>48557.0</v>
      </c>
      <c r="B2902" s="55" t="str">
        <f t="shared" si="10"/>
        <v>Primer dia</v>
      </c>
      <c r="C2902" s="202">
        <f t="shared" si="1"/>
        <v>9</v>
      </c>
      <c r="D2902" s="202" t="str">
        <f t="shared" si="2"/>
        <v> </v>
      </c>
      <c r="E2902" s="202" t="str">
        <f t="shared" si="9"/>
        <v> </v>
      </c>
      <c r="F2902" s="55" t="str">
        <f t="shared" si="4"/>
        <v/>
      </c>
      <c r="G2902" s="202" t="str">
        <f t="shared" si="5"/>
        <v/>
      </c>
      <c r="H2902" s="202" t="str">
        <f t="shared" si="11"/>
        <v> </v>
      </c>
      <c r="I2902" s="205" t="str">
        <f t="shared" si="7"/>
        <v/>
      </c>
      <c r="J2902" s="205"/>
      <c r="K2902" s="205"/>
    </row>
    <row r="2903" ht="14.25" customHeight="1">
      <c r="A2903" s="55">
        <v>48558.0</v>
      </c>
      <c r="B2903" s="55" t="str">
        <f t="shared" si="10"/>
        <v>Primer dia</v>
      </c>
      <c r="C2903" s="202">
        <f t="shared" si="1"/>
        <v>10</v>
      </c>
      <c r="D2903" s="202" t="str">
        <f t="shared" si="2"/>
        <v> </v>
      </c>
      <c r="E2903" s="202" t="str">
        <f t="shared" si="9"/>
        <v> </v>
      </c>
      <c r="F2903" s="55" t="str">
        <f t="shared" si="4"/>
        <v/>
      </c>
      <c r="G2903" s="202" t="str">
        <f t="shared" si="5"/>
        <v/>
      </c>
      <c r="H2903" s="202" t="str">
        <f t="shared" si="11"/>
        <v> </v>
      </c>
      <c r="I2903" s="205" t="str">
        <f t="shared" si="7"/>
        <v/>
      </c>
      <c r="J2903" s="205"/>
      <c r="K2903" s="205"/>
    </row>
    <row r="2904" ht="14.25" customHeight="1">
      <c r="A2904" s="55">
        <v>48559.0</v>
      </c>
      <c r="B2904" s="55" t="str">
        <f t="shared" si="10"/>
        <v>Primer dia</v>
      </c>
      <c r="C2904" s="202">
        <f t="shared" si="1"/>
        <v>11</v>
      </c>
      <c r="D2904" s="202" t="str">
        <f t="shared" si="2"/>
        <v> </v>
      </c>
      <c r="E2904" s="202" t="str">
        <f t="shared" si="9"/>
        <v> </v>
      </c>
      <c r="F2904" s="55" t="str">
        <f t="shared" si="4"/>
        <v/>
      </c>
      <c r="G2904" s="202" t="str">
        <f t="shared" si="5"/>
        <v/>
      </c>
      <c r="H2904" s="202" t="str">
        <f t="shared" si="11"/>
        <v> </v>
      </c>
      <c r="I2904" s="205" t="str">
        <f t="shared" si="7"/>
        <v/>
      </c>
      <c r="J2904" s="205"/>
      <c r="K2904" s="205"/>
    </row>
    <row r="2905" ht="14.25" customHeight="1">
      <c r="A2905" s="55">
        <v>48560.0</v>
      </c>
      <c r="B2905" s="55" t="str">
        <f t="shared" si="10"/>
        <v>Primer dia</v>
      </c>
      <c r="C2905" s="202">
        <f t="shared" si="1"/>
        <v>12</v>
      </c>
      <c r="D2905" s="202" t="str">
        <f t="shared" si="2"/>
        <v> </v>
      </c>
      <c r="E2905" s="202" t="str">
        <f t="shared" si="9"/>
        <v> </v>
      </c>
      <c r="F2905" s="55" t="str">
        <f t="shared" si="4"/>
        <v/>
      </c>
      <c r="G2905" s="202" t="str">
        <f t="shared" si="5"/>
        <v/>
      </c>
      <c r="H2905" s="202" t="str">
        <f t="shared" si="11"/>
        <v> </v>
      </c>
      <c r="I2905" s="205" t="str">
        <f t="shared" si="7"/>
        <v/>
      </c>
      <c r="J2905" s="205"/>
      <c r="K2905" s="205"/>
    </row>
    <row r="2906" ht="14.25" customHeight="1">
      <c r="A2906" s="55">
        <v>48561.0</v>
      </c>
      <c r="B2906" s="55" t="str">
        <f t="shared" si="10"/>
        <v>Primer dia</v>
      </c>
      <c r="C2906" s="202">
        <f t="shared" si="1"/>
        <v>13</v>
      </c>
      <c r="D2906" s="202" t="str">
        <f t="shared" si="2"/>
        <v> </v>
      </c>
      <c r="E2906" s="202" t="str">
        <f t="shared" si="9"/>
        <v> </v>
      </c>
      <c r="F2906" s="55" t="str">
        <f t="shared" si="4"/>
        <v/>
      </c>
      <c r="G2906" s="202" t="str">
        <f t="shared" si="5"/>
        <v/>
      </c>
      <c r="H2906" s="202" t="str">
        <f t="shared" si="11"/>
        <v> </v>
      </c>
      <c r="I2906" s="205" t="str">
        <f t="shared" si="7"/>
        <v/>
      </c>
      <c r="J2906" s="205"/>
      <c r="K2906" s="205"/>
    </row>
    <row r="2907" ht="14.25" customHeight="1">
      <c r="A2907" s="55">
        <v>48562.0</v>
      </c>
      <c r="B2907" s="55" t="str">
        <f t="shared" si="10"/>
        <v>Primer dia</v>
      </c>
      <c r="C2907" s="202">
        <f t="shared" si="1"/>
        <v>14</v>
      </c>
      <c r="D2907" s="202" t="str">
        <f t="shared" si="2"/>
        <v> </v>
      </c>
      <c r="E2907" s="202" t="str">
        <f t="shared" si="9"/>
        <v> </v>
      </c>
      <c r="F2907" s="55" t="str">
        <f t="shared" si="4"/>
        <v/>
      </c>
      <c r="G2907" s="202" t="str">
        <f t="shared" si="5"/>
        <v/>
      </c>
      <c r="H2907" s="202" t="str">
        <f t="shared" si="11"/>
        <v> </v>
      </c>
      <c r="I2907" s="205" t="str">
        <f t="shared" si="7"/>
        <v/>
      </c>
      <c r="J2907" s="205"/>
      <c r="K2907" s="205"/>
    </row>
    <row r="2908" ht="14.25" customHeight="1">
      <c r="A2908" s="55">
        <v>48563.0</v>
      </c>
      <c r="B2908" s="55" t="str">
        <f t="shared" si="10"/>
        <v>Primer dia</v>
      </c>
      <c r="C2908" s="202">
        <f t="shared" si="1"/>
        <v>15</v>
      </c>
      <c r="D2908" s="202" t="str">
        <f t="shared" si="2"/>
        <v> </v>
      </c>
      <c r="E2908" s="202" t="str">
        <f t="shared" si="9"/>
        <v> </v>
      </c>
      <c r="F2908" s="55" t="str">
        <f t="shared" si="4"/>
        <v/>
      </c>
      <c r="G2908" s="202" t="str">
        <f t="shared" si="5"/>
        <v/>
      </c>
      <c r="H2908" s="202" t="str">
        <f t="shared" si="11"/>
        <v> </v>
      </c>
      <c r="I2908" s="205" t="str">
        <f t="shared" si="7"/>
        <v/>
      </c>
      <c r="J2908" s="205"/>
      <c r="K2908" s="205"/>
    </row>
    <row r="2909" ht="14.25" customHeight="1">
      <c r="A2909" s="55">
        <v>48564.0</v>
      </c>
      <c r="B2909" s="55" t="str">
        <f t="shared" si="10"/>
        <v>Primer dia</v>
      </c>
      <c r="C2909" s="202">
        <f t="shared" si="1"/>
        <v>16</v>
      </c>
      <c r="D2909" s="202" t="str">
        <f t="shared" si="2"/>
        <v> </v>
      </c>
      <c r="E2909" s="202" t="str">
        <f t="shared" si="9"/>
        <v> </v>
      </c>
      <c r="F2909" s="55" t="str">
        <f t="shared" si="4"/>
        <v/>
      </c>
      <c r="G2909" s="202" t="str">
        <f t="shared" si="5"/>
        <v/>
      </c>
      <c r="H2909" s="202" t="str">
        <f t="shared" si="11"/>
        <v> </v>
      </c>
      <c r="I2909" s="205" t="str">
        <f t="shared" si="7"/>
        <v/>
      </c>
      <c r="J2909" s="205"/>
      <c r="K2909" s="205"/>
    </row>
    <row r="2910" ht="14.25" customHeight="1">
      <c r="A2910" s="55">
        <v>48565.0</v>
      </c>
      <c r="B2910" s="55" t="str">
        <f t="shared" si="10"/>
        <v>Primer dia</v>
      </c>
      <c r="C2910" s="202">
        <f t="shared" si="1"/>
        <v>17</v>
      </c>
      <c r="D2910" s="202" t="str">
        <f t="shared" si="2"/>
        <v> </v>
      </c>
      <c r="E2910" s="202">
        <f t="shared" si="9"/>
        <v>17</v>
      </c>
      <c r="F2910" s="55">
        <f t="shared" si="4"/>
        <v>48565</v>
      </c>
      <c r="G2910" s="202">
        <f t="shared" si="5"/>
        <v>166</v>
      </c>
      <c r="H2910" s="202" t="str">
        <f t="shared" si="11"/>
        <v> </v>
      </c>
      <c r="I2910" s="205" t="str">
        <f t="shared" si="7"/>
        <v/>
      </c>
      <c r="J2910" s="205"/>
      <c r="K2910" s="205"/>
    </row>
    <row r="2911" ht="14.25" customHeight="1">
      <c r="A2911" s="55">
        <v>48566.0</v>
      </c>
      <c r="B2911" s="55" t="str">
        <f t="shared" si="10"/>
        <v>Primer dia</v>
      </c>
      <c r="C2911" s="202">
        <f t="shared" si="1"/>
        <v>18</v>
      </c>
      <c r="D2911" s="202" t="str">
        <f t="shared" si="2"/>
        <v> </v>
      </c>
      <c r="E2911" s="202" t="str">
        <f t="shared" si="9"/>
        <v> </v>
      </c>
      <c r="F2911" s="55" t="str">
        <f t="shared" si="4"/>
        <v/>
      </c>
      <c r="G2911" s="202" t="str">
        <f t="shared" si="5"/>
        <v/>
      </c>
      <c r="H2911" s="202" t="str">
        <f t="shared" si="11"/>
        <v> </v>
      </c>
      <c r="I2911" s="205" t="str">
        <f t="shared" si="7"/>
        <v/>
      </c>
      <c r="J2911" s="205"/>
      <c r="K2911" s="205"/>
    </row>
    <row r="2912" ht="14.25" customHeight="1">
      <c r="A2912" s="55">
        <v>48567.0</v>
      </c>
      <c r="B2912" s="55" t="str">
        <f t="shared" si="10"/>
        <v>Primer dia</v>
      </c>
      <c r="C2912" s="202">
        <f t="shared" si="1"/>
        <v>19</v>
      </c>
      <c r="D2912" s="202" t="str">
        <f t="shared" si="2"/>
        <v> </v>
      </c>
      <c r="E2912" s="202" t="str">
        <f t="shared" si="9"/>
        <v> </v>
      </c>
      <c r="F2912" s="55" t="str">
        <f t="shared" si="4"/>
        <v/>
      </c>
      <c r="G2912" s="202" t="str">
        <f t="shared" si="5"/>
        <v/>
      </c>
      <c r="H2912" s="202" t="str">
        <f t="shared" si="11"/>
        <v> </v>
      </c>
      <c r="I2912" s="205" t="str">
        <f t="shared" si="7"/>
        <v/>
      </c>
      <c r="J2912" s="205"/>
      <c r="K2912" s="205"/>
    </row>
    <row r="2913" ht="14.25" customHeight="1">
      <c r="A2913" s="55">
        <v>48568.0</v>
      </c>
      <c r="B2913" s="55" t="str">
        <f t="shared" si="10"/>
        <v>Primer dia</v>
      </c>
      <c r="C2913" s="202">
        <f t="shared" si="1"/>
        <v>20</v>
      </c>
      <c r="D2913" s="202" t="str">
        <f t="shared" si="2"/>
        <v> </v>
      </c>
      <c r="E2913" s="202" t="str">
        <f t="shared" si="9"/>
        <v> </v>
      </c>
      <c r="F2913" s="55" t="str">
        <f t="shared" si="4"/>
        <v/>
      </c>
      <c r="G2913" s="202" t="str">
        <f t="shared" si="5"/>
        <v/>
      </c>
      <c r="H2913" s="202" t="str">
        <f t="shared" si="11"/>
        <v> </v>
      </c>
      <c r="I2913" s="205" t="str">
        <f t="shared" si="7"/>
        <v/>
      </c>
      <c r="J2913" s="205"/>
      <c r="K2913" s="205"/>
    </row>
    <row r="2914" ht="14.25" customHeight="1">
      <c r="A2914" s="55">
        <v>48569.0</v>
      </c>
      <c r="B2914" s="55" t="str">
        <f t="shared" si="10"/>
        <v>Primer dia</v>
      </c>
      <c r="C2914" s="202">
        <f t="shared" si="1"/>
        <v>21</v>
      </c>
      <c r="D2914" s="202" t="str">
        <f t="shared" si="2"/>
        <v> </v>
      </c>
      <c r="E2914" s="202" t="str">
        <f t="shared" si="9"/>
        <v> </v>
      </c>
      <c r="F2914" s="55" t="str">
        <f t="shared" si="4"/>
        <v/>
      </c>
      <c r="G2914" s="202" t="str">
        <f t="shared" si="5"/>
        <v/>
      </c>
      <c r="H2914" s="202" t="str">
        <f t="shared" si="11"/>
        <v> </v>
      </c>
      <c r="I2914" s="205" t="str">
        <f t="shared" si="7"/>
        <v/>
      </c>
      <c r="J2914" s="205"/>
      <c r="K2914" s="205"/>
    </row>
    <row r="2915" ht="14.25" customHeight="1">
      <c r="A2915" s="55">
        <v>48570.0</v>
      </c>
      <c r="B2915" s="55" t="str">
        <f t="shared" si="10"/>
        <v>Primer dia</v>
      </c>
      <c r="C2915" s="202">
        <f t="shared" si="1"/>
        <v>22</v>
      </c>
      <c r="D2915" s="202" t="str">
        <f t="shared" si="2"/>
        <v> </v>
      </c>
      <c r="E2915" s="202" t="str">
        <f t="shared" si="9"/>
        <v> </v>
      </c>
      <c r="F2915" s="55" t="str">
        <f t="shared" si="4"/>
        <v/>
      </c>
      <c r="G2915" s="202" t="str">
        <f t="shared" si="5"/>
        <v/>
      </c>
      <c r="H2915" s="202" t="str">
        <f t="shared" si="11"/>
        <v> </v>
      </c>
      <c r="I2915" s="205" t="str">
        <f t="shared" si="7"/>
        <v/>
      </c>
      <c r="J2915" s="205"/>
      <c r="K2915" s="205"/>
    </row>
    <row r="2916" ht="14.25" customHeight="1">
      <c r="A2916" s="55">
        <v>48571.0</v>
      </c>
      <c r="B2916" s="55" t="str">
        <f t="shared" si="10"/>
        <v>Primer dia</v>
      </c>
      <c r="C2916" s="202">
        <f t="shared" si="1"/>
        <v>23</v>
      </c>
      <c r="D2916" s="202" t="str">
        <f t="shared" si="2"/>
        <v> </v>
      </c>
      <c r="E2916" s="202" t="str">
        <f t="shared" si="9"/>
        <v> </v>
      </c>
      <c r="F2916" s="55" t="str">
        <f t="shared" si="4"/>
        <v/>
      </c>
      <c r="G2916" s="202" t="str">
        <f t="shared" si="5"/>
        <v/>
      </c>
      <c r="H2916" s="202" t="str">
        <f t="shared" si="11"/>
        <v> </v>
      </c>
      <c r="I2916" s="205" t="str">
        <f t="shared" si="7"/>
        <v/>
      </c>
      <c r="J2916" s="205"/>
      <c r="K2916" s="205"/>
    </row>
    <row r="2917" ht="14.25" customHeight="1">
      <c r="A2917" s="55">
        <v>48572.0</v>
      </c>
      <c r="B2917" s="55" t="str">
        <f t="shared" si="10"/>
        <v>Primer dia</v>
      </c>
      <c r="C2917" s="202">
        <f t="shared" si="1"/>
        <v>24</v>
      </c>
      <c r="D2917" s="202" t="str">
        <f t="shared" si="2"/>
        <v> </v>
      </c>
      <c r="E2917" s="202" t="str">
        <f t="shared" si="9"/>
        <v> </v>
      </c>
      <c r="F2917" s="55" t="str">
        <f t="shared" si="4"/>
        <v/>
      </c>
      <c r="G2917" s="202" t="str">
        <f t="shared" si="5"/>
        <v/>
      </c>
      <c r="H2917" s="202" t="str">
        <f t="shared" si="11"/>
        <v> </v>
      </c>
      <c r="I2917" s="205" t="str">
        <f t="shared" si="7"/>
        <v/>
      </c>
      <c r="J2917" s="205"/>
      <c r="K2917" s="205"/>
    </row>
    <row r="2918" ht="14.25" customHeight="1">
      <c r="A2918" s="55">
        <v>48573.0</v>
      </c>
      <c r="B2918" s="55" t="str">
        <f t="shared" si="10"/>
        <v>Primer dia</v>
      </c>
      <c r="C2918" s="202">
        <f t="shared" si="1"/>
        <v>25</v>
      </c>
      <c r="D2918" s="202" t="str">
        <f t="shared" si="2"/>
        <v> </v>
      </c>
      <c r="E2918" s="202" t="str">
        <f t="shared" si="9"/>
        <v> </v>
      </c>
      <c r="F2918" s="55" t="str">
        <f t="shared" si="4"/>
        <v/>
      </c>
      <c r="G2918" s="202" t="str">
        <f t="shared" si="5"/>
        <v/>
      </c>
      <c r="H2918" s="202" t="str">
        <f t="shared" si="11"/>
        <v> </v>
      </c>
      <c r="I2918" s="205" t="str">
        <f t="shared" si="7"/>
        <v/>
      </c>
      <c r="J2918" s="205"/>
      <c r="K2918" s="205"/>
    </row>
    <row r="2919" ht="14.25" customHeight="1">
      <c r="A2919" s="55">
        <v>48574.0</v>
      </c>
      <c r="B2919" s="55" t="str">
        <f t="shared" si="10"/>
        <v>Primer dia</v>
      </c>
      <c r="C2919" s="202">
        <f t="shared" si="1"/>
        <v>26</v>
      </c>
      <c r="D2919" s="202" t="str">
        <f t="shared" si="2"/>
        <v> </v>
      </c>
      <c r="E2919" s="202" t="str">
        <f t="shared" si="9"/>
        <v> </v>
      </c>
      <c r="F2919" s="55" t="str">
        <f t="shared" si="4"/>
        <v/>
      </c>
      <c r="G2919" s="202" t="str">
        <f t="shared" si="5"/>
        <v/>
      </c>
      <c r="H2919" s="202" t="str">
        <f t="shared" si="11"/>
        <v> </v>
      </c>
      <c r="I2919" s="205" t="str">
        <f t="shared" si="7"/>
        <v/>
      </c>
      <c r="J2919" s="205"/>
      <c r="K2919" s="205"/>
    </row>
    <row r="2920" ht="14.25" customHeight="1">
      <c r="A2920" s="55">
        <v>48575.0</v>
      </c>
      <c r="B2920" s="55" t="str">
        <f t="shared" si="10"/>
        <v>Primer dia</v>
      </c>
      <c r="C2920" s="202">
        <f t="shared" si="1"/>
        <v>27</v>
      </c>
      <c r="D2920" s="202" t="str">
        <f t="shared" si="2"/>
        <v> </v>
      </c>
      <c r="E2920" s="202" t="str">
        <f t="shared" si="9"/>
        <v> </v>
      </c>
      <c r="F2920" s="55" t="str">
        <f t="shared" si="4"/>
        <v/>
      </c>
      <c r="G2920" s="202" t="str">
        <f t="shared" si="5"/>
        <v/>
      </c>
      <c r="H2920" s="202" t="str">
        <f t="shared" si="11"/>
        <v> </v>
      </c>
      <c r="I2920" s="205" t="str">
        <f t="shared" si="7"/>
        <v/>
      </c>
      <c r="J2920" s="205"/>
      <c r="K2920" s="205"/>
    </row>
    <row r="2921" ht="14.25" customHeight="1">
      <c r="A2921" s="55">
        <v>48576.0</v>
      </c>
      <c r="B2921" s="55" t="str">
        <f t="shared" si="10"/>
        <v>Primer dia</v>
      </c>
      <c r="C2921" s="202">
        <f t="shared" si="1"/>
        <v>28</v>
      </c>
      <c r="D2921" s="202" t="str">
        <f t="shared" si="2"/>
        <v> </v>
      </c>
      <c r="E2921" s="202" t="str">
        <f t="shared" si="9"/>
        <v> </v>
      </c>
      <c r="F2921" s="55" t="str">
        <f t="shared" si="4"/>
        <v/>
      </c>
      <c r="G2921" s="202" t="str">
        <f t="shared" si="5"/>
        <v/>
      </c>
      <c r="H2921" s="202" t="str">
        <f t="shared" si="11"/>
        <v> </v>
      </c>
      <c r="I2921" s="205" t="str">
        <f t="shared" si="7"/>
        <v/>
      </c>
      <c r="J2921" s="205"/>
      <c r="K2921" s="205"/>
    </row>
    <row r="2922" ht="14.25" customHeight="1">
      <c r="A2922" s="55">
        <v>48577.0</v>
      </c>
      <c r="B2922" s="55" t="str">
        <f t="shared" si="10"/>
        <v>Primer dia</v>
      </c>
      <c r="C2922" s="202">
        <f t="shared" si="1"/>
        <v>29</v>
      </c>
      <c r="D2922" s="202" t="str">
        <f t="shared" si="2"/>
        <v> </v>
      </c>
      <c r="E2922" s="202" t="str">
        <f t="shared" si="9"/>
        <v> </v>
      </c>
      <c r="F2922" s="55" t="str">
        <f t="shared" si="4"/>
        <v/>
      </c>
      <c r="G2922" s="202" t="str">
        <f t="shared" si="5"/>
        <v/>
      </c>
      <c r="H2922" s="202" t="str">
        <f t="shared" si="11"/>
        <v> </v>
      </c>
      <c r="I2922" s="205" t="str">
        <f t="shared" si="7"/>
        <v/>
      </c>
      <c r="J2922" s="205"/>
      <c r="K2922" s="205"/>
    </row>
    <row r="2923" ht="14.25" customHeight="1">
      <c r="A2923" s="55">
        <v>48578.0</v>
      </c>
      <c r="B2923" s="55" t="str">
        <f t="shared" si="10"/>
        <v>Primer dia</v>
      </c>
      <c r="C2923" s="202">
        <f t="shared" si="1"/>
        <v>30</v>
      </c>
      <c r="D2923" s="202" t="str">
        <f t="shared" si="2"/>
        <v> </v>
      </c>
      <c r="E2923" s="202" t="str">
        <f t="shared" si="9"/>
        <v> </v>
      </c>
      <c r="F2923" s="55" t="str">
        <f t="shared" si="4"/>
        <v/>
      </c>
      <c r="G2923" s="202" t="str">
        <f t="shared" si="5"/>
        <v/>
      </c>
      <c r="H2923" s="202" t="str">
        <f t="shared" si="11"/>
        <v> </v>
      </c>
      <c r="I2923" s="205" t="str">
        <f t="shared" si="7"/>
        <v/>
      </c>
      <c r="J2923" s="205"/>
      <c r="K2923" s="205"/>
    </row>
    <row r="2924" ht="14.25" customHeight="1">
      <c r="A2924" s="55">
        <v>48579.0</v>
      </c>
      <c r="B2924" s="55" t="str">
        <f t="shared" si="10"/>
        <v>Primer dia</v>
      </c>
      <c r="C2924" s="202">
        <f t="shared" si="1"/>
        <v>31</v>
      </c>
      <c r="D2924" s="202" t="str">
        <f t="shared" si="2"/>
        <v> </v>
      </c>
      <c r="E2924" s="202" t="str">
        <f t="shared" si="9"/>
        <v> </v>
      </c>
      <c r="F2924" s="55" t="str">
        <f t="shared" si="4"/>
        <v/>
      </c>
      <c r="G2924" s="202" t="str">
        <f t="shared" si="5"/>
        <v/>
      </c>
      <c r="H2924" s="202" t="str">
        <f t="shared" si="11"/>
        <v> </v>
      </c>
      <c r="I2924" s="205" t="str">
        <f t="shared" si="7"/>
        <v/>
      </c>
      <c r="J2924" s="205"/>
      <c r="K2924" s="205"/>
    </row>
    <row r="2925" ht="14.25" customHeight="1">
      <c r="A2925" s="55">
        <v>48580.0</v>
      </c>
      <c r="B2925" s="55" t="str">
        <f t="shared" si="10"/>
        <v>Primer dia</v>
      </c>
      <c r="C2925" s="202">
        <f t="shared" si="1"/>
        <v>1</v>
      </c>
      <c r="D2925" s="202" t="str">
        <f t="shared" si="2"/>
        <v> </v>
      </c>
      <c r="E2925" s="202" t="str">
        <f t="shared" si="9"/>
        <v> </v>
      </c>
      <c r="F2925" s="55" t="str">
        <f t="shared" si="4"/>
        <v/>
      </c>
      <c r="G2925" s="202" t="str">
        <f t="shared" si="5"/>
        <v/>
      </c>
      <c r="H2925" s="202" t="str">
        <f t="shared" si="11"/>
        <v> </v>
      </c>
      <c r="I2925" s="205" t="str">
        <f t="shared" si="7"/>
        <v/>
      </c>
      <c r="J2925" s="205"/>
      <c r="K2925" s="205"/>
    </row>
    <row r="2926" ht="14.25" customHeight="1">
      <c r="A2926" s="55">
        <v>48581.0</v>
      </c>
      <c r="B2926" s="55" t="str">
        <f t="shared" si="10"/>
        <v>Primer dia</v>
      </c>
      <c r="C2926" s="202">
        <f t="shared" si="1"/>
        <v>2</v>
      </c>
      <c r="D2926" s="202" t="str">
        <f t="shared" si="2"/>
        <v> </v>
      </c>
      <c r="E2926" s="202">
        <f t="shared" si="9"/>
        <v>2</v>
      </c>
      <c r="F2926" s="55">
        <f t="shared" si="4"/>
        <v>48581</v>
      </c>
      <c r="G2926" s="202">
        <f t="shared" si="5"/>
        <v>167</v>
      </c>
      <c r="H2926" s="202" t="str">
        <f t="shared" si="11"/>
        <v> </v>
      </c>
      <c r="I2926" s="205" t="str">
        <f t="shared" si="7"/>
        <v/>
      </c>
      <c r="J2926" s="205"/>
      <c r="K2926" s="205"/>
    </row>
    <row r="2927" ht="14.25" customHeight="1">
      <c r="A2927" s="55">
        <v>48582.0</v>
      </c>
      <c r="B2927" s="55" t="str">
        <f t="shared" si="10"/>
        <v>Primer dia</v>
      </c>
      <c r="C2927" s="202">
        <f t="shared" si="1"/>
        <v>3</v>
      </c>
      <c r="D2927" s="202" t="str">
        <f t="shared" si="2"/>
        <v> </v>
      </c>
      <c r="E2927" s="202" t="str">
        <f t="shared" si="9"/>
        <v> </v>
      </c>
      <c r="F2927" s="55" t="str">
        <f t="shared" si="4"/>
        <v/>
      </c>
      <c r="G2927" s="202" t="str">
        <f t="shared" si="5"/>
        <v/>
      </c>
      <c r="H2927" s="202" t="str">
        <f t="shared" si="11"/>
        <v> </v>
      </c>
      <c r="I2927" s="205" t="str">
        <f t="shared" si="7"/>
        <v/>
      </c>
      <c r="J2927" s="205"/>
      <c r="K2927" s="205"/>
    </row>
    <row r="2928" ht="14.25" customHeight="1">
      <c r="A2928" s="55">
        <v>48583.0</v>
      </c>
      <c r="B2928" s="55" t="str">
        <f t="shared" si="10"/>
        <v>Primer dia</v>
      </c>
      <c r="C2928" s="202">
        <f t="shared" si="1"/>
        <v>4</v>
      </c>
      <c r="D2928" s="202" t="str">
        <f t="shared" si="2"/>
        <v> </v>
      </c>
      <c r="E2928" s="202" t="str">
        <f t="shared" si="9"/>
        <v> </v>
      </c>
      <c r="F2928" s="55" t="str">
        <f t="shared" si="4"/>
        <v/>
      </c>
      <c r="G2928" s="202" t="str">
        <f t="shared" si="5"/>
        <v/>
      </c>
      <c r="H2928" s="202" t="str">
        <f t="shared" si="11"/>
        <v> </v>
      </c>
      <c r="I2928" s="205" t="str">
        <f t="shared" si="7"/>
        <v/>
      </c>
      <c r="J2928" s="205"/>
      <c r="K2928" s="205"/>
    </row>
    <row r="2929" ht="14.25" customHeight="1">
      <c r="A2929" s="55">
        <v>48584.0</v>
      </c>
      <c r="B2929" s="55" t="str">
        <f t="shared" si="10"/>
        <v>Primer dia</v>
      </c>
      <c r="C2929" s="202">
        <f t="shared" si="1"/>
        <v>5</v>
      </c>
      <c r="D2929" s="202" t="str">
        <f t="shared" si="2"/>
        <v> </v>
      </c>
      <c r="E2929" s="202" t="str">
        <f t="shared" si="9"/>
        <v> </v>
      </c>
      <c r="F2929" s="55" t="str">
        <f t="shared" si="4"/>
        <v/>
      </c>
      <c r="G2929" s="202" t="str">
        <f t="shared" si="5"/>
        <v/>
      </c>
      <c r="H2929" s="202" t="str">
        <f t="shared" si="11"/>
        <v> </v>
      </c>
      <c r="I2929" s="205" t="str">
        <f t="shared" si="7"/>
        <v/>
      </c>
      <c r="J2929" s="205"/>
      <c r="K2929" s="205"/>
    </row>
    <row r="2930" ht="14.25" customHeight="1">
      <c r="A2930" s="55">
        <v>48585.0</v>
      </c>
      <c r="B2930" s="55" t="str">
        <f t="shared" si="10"/>
        <v>Primer dia</v>
      </c>
      <c r="C2930" s="202">
        <f t="shared" si="1"/>
        <v>6</v>
      </c>
      <c r="D2930" s="202" t="str">
        <f t="shared" si="2"/>
        <v> </v>
      </c>
      <c r="E2930" s="202" t="str">
        <f t="shared" si="9"/>
        <v> </v>
      </c>
      <c r="F2930" s="55" t="str">
        <f t="shared" si="4"/>
        <v/>
      </c>
      <c r="G2930" s="202" t="str">
        <f t="shared" si="5"/>
        <v/>
      </c>
      <c r="H2930" s="202" t="str">
        <f t="shared" si="11"/>
        <v> </v>
      </c>
      <c r="I2930" s="205" t="str">
        <f t="shared" si="7"/>
        <v/>
      </c>
      <c r="J2930" s="205"/>
      <c r="K2930" s="205"/>
    </row>
    <row r="2931" ht="14.25" customHeight="1">
      <c r="A2931" s="55">
        <v>48586.0</v>
      </c>
      <c r="B2931" s="55" t="str">
        <f t="shared" si="10"/>
        <v>Primer dia</v>
      </c>
      <c r="C2931" s="202">
        <f t="shared" si="1"/>
        <v>7</v>
      </c>
      <c r="D2931" s="202" t="str">
        <f t="shared" si="2"/>
        <v> </v>
      </c>
      <c r="E2931" s="202" t="str">
        <f t="shared" si="9"/>
        <v> </v>
      </c>
      <c r="F2931" s="55" t="str">
        <f t="shared" si="4"/>
        <v/>
      </c>
      <c r="G2931" s="202" t="str">
        <f t="shared" si="5"/>
        <v/>
      </c>
      <c r="H2931" s="202" t="str">
        <f t="shared" si="11"/>
        <v> </v>
      </c>
      <c r="I2931" s="205" t="str">
        <f t="shared" si="7"/>
        <v/>
      </c>
      <c r="J2931" s="205"/>
      <c r="K2931" s="205"/>
    </row>
    <row r="2932" ht="14.25" customHeight="1">
      <c r="A2932" s="55">
        <v>48587.0</v>
      </c>
      <c r="B2932" s="55" t="str">
        <f t="shared" si="10"/>
        <v>Primer dia</v>
      </c>
      <c r="C2932" s="202">
        <f t="shared" si="1"/>
        <v>8</v>
      </c>
      <c r="D2932" s="202" t="str">
        <f t="shared" si="2"/>
        <v> </v>
      </c>
      <c r="E2932" s="202" t="str">
        <f t="shared" si="9"/>
        <v> </v>
      </c>
      <c r="F2932" s="55" t="str">
        <f t="shared" si="4"/>
        <v/>
      </c>
      <c r="G2932" s="202" t="str">
        <f t="shared" si="5"/>
        <v/>
      </c>
      <c r="H2932" s="202" t="str">
        <f t="shared" si="11"/>
        <v> </v>
      </c>
      <c r="I2932" s="205" t="str">
        <f t="shared" si="7"/>
        <v/>
      </c>
      <c r="J2932" s="205"/>
      <c r="K2932" s="205"/>
    </row>
    <row r="2933" ht="14.25" customHeight="1">
      <c r="A2933" s="55">
        <v>48588.0</v>
      </c>
      <c r="B2933" s="55" t="str">
        <f t="shared" si="10"/>
        <v>Primer dia</v>
      </c>
      <c r="C2933" s="202">
        <f t="shared" si="1"/>
        <v>9</v>
      </c>
      <c r="D2933" s="202" t="str">
        <f t="shared" si="2"/>
        <v> </v>
      </c>
      <c r="E2933" s="202" t="str">
        <f t="shared" si="9"/>
        <v> </v>
      </c>
      <c r="F2933" s="55" t="str">
        <f t="shared" si="4"/>
        <v/>
      </c>
      <c r="G2933" s="202" t="str">
        <f t="shared" si="5"/>
        <v/>
      </c>
      <c r="H2933" s="202" t="str">
        <f t="shared" si="11"/>
        <v> </v>
      </c>
      <c r="I2933" s="205" t="str">
        <f t="shared" si="7"/>
        <v/>
      </c>
      <c r="J2933" s="205"/>
      <c r="K2933" s="205"/>
    </row>
    <row r="2934" ht="14.25" customHeight="1">
      <c r="A2934" s="55">
        <v>48589.0</v>
      </c>
      <c r="B2934" s="55" t="str">
        <f t="shared" si="10"/>
        <v>Primer dia</v>
      </c>
      <c r="C2934" s="202">
        <f t="shared" si="1"/>
        <v>10</v>
      </c>
      <c r="D2934" s="202" t="str">
        <f t="shared" si="2"/>
        <v> </v>
      </c>
      <c r="E2934" s="202" t="str">
        <f t="shared" si="9"/>
        <v> </v>
      </c>
      <c r="F2934" s="55" t="str">
        <f t="shared" si="4"/>
        <v/>
      </c>
      <c r="G2934" s="202" t="str">
        <f t="shared" si="5"/>
        <v/>
      </c>
      <c r="H2934" s="202" t="str">
        <f t="shared" si="11"/>
        <v> </v>
      </c>
      <c r="I2934" s="205" t="str">
        <f t="shared" si="7"/>
        <v/>
      </c>
      <c r="J2934" s="205"/>
      <c r="K2934" s="205"/>
    </row>
    <row r="2935" ht="14.25" customHeight="1">
      <c r="A2935" s="55">
        <v>48590.0</v>
      </c>
      <c r="B2935" s="55" t="str">
        <f t="shared" si="10"/>
        <v>Primer dia</v>
      </c>
      <c r="C2935" s="202">
        <f t="shared" si="1"/>
        <v>11</v>
      </c>
      <c r="D2935" s="202" t="str">
        <f t="shared" si="2"/>
        <v> </v>
      </c>
      <c r="E2935" s="202" t="str">
        <f t="shared" si="9"/>
        <v> </v>
      </c>
      <c r="F2935" s="55" t="str">
        <f t="shared" si="4"/>
        <v/>
      </c>
      <c r="G2935" s="202" t="str">
        <f t="shared" si="5"/>
        <v/>
      </c>
      <c r="H2935" s="202" t="str">
        <f t="shared" si="11"/>
        <v> </v>
      </c>
      <c r="I2935" s="205" t="str">
        <f t="shared" si="7"/>
        <v/>
      </c>
      <c r="J2935" s="205"/>
      <c r="K2935" s="205"/>
    </row>
    <row r="2936" ht="14.25" customHeight="1">
      <c r="A2936" s="55">
        <v>48591.0</v>
      </c>
      <c r="B2936" s="55" t="str">
        <f t="shared" si="10"/>
        <v>Primer dia</v>
      </c>
      <c r="C2936" s="202">
        <f t="shared" si="1"/>
        <v>12</v>
      </c>
      <c r="D2936" s="202" t="str">
        <f t="shared" si="2"/>
        <v> </v>
      </c>
      <c r="E2936" s="202" t="str">
        <f t="shared" si="9"/>
        <v> </v>
      </c>
      <c r="F2936" s="55" t="str">
        <f t="shared" si="4"/>
        <v/>
      </c>
      <c r="G2936" s="202" t="str">
        <f t="shared" si="5"/>
        <v/>
      </c>
      <c r="H2936" s="202" t="str">
        <f t="shared" si="11"/>
        <v> </v>
      </c>
      <c r="I2936" s="205" t="str">
        <f t="shared" si="7"/>
        <v/>
      </c>
      <c r="J2936" s="205"/>
      <c r="K2936" s="205"/>
    </row>
    <row r="2937" ht="14.25" customHeight="1">
      <c r="A2937" s="55">
        <v>48592.0</v>
      </c>
      <c r="B2937" s="55" t="str">
        <f t="shared" si="10"/>
        <v>Primer dia</v>
      </c>
      <c r="C2937" s="202">
        <f t="shared" si="1"/>
        <v>13</v>
      </c>
      <c r="D2937" s="202" t="str">
        <f t="shared" si="2"/>
        <v> </v>
      </c>
      <c r="E2937" s="202" t="str">
        <f t="shared" si="9"/>
        <v> </v>
      </c>
      <c r="F2937" s="55" t="str">
        <f t="shared" si="4"/>
        <v/>
      </c>
      <c r="G2937" s="202" t="str">
        <f t="shared" si="5"/>
        <v/>
      </c>
      <c r="H2937" s="202" t="str">
        <f t="shared" si="11"/>
        <v> </v>
      </c>
      <c r="I2937" s="205" t="str">
        <f t="shared" si="7"/>
        <v/>
      </c>
      <c r="J2937" s="205"/>
      <c r="K2937" s="205"/>
    </row>
    <row r="2938" ht="14.25" customHeight="1">
      <c r="A2938" s="55">
        <v>48593.0</v>
      </c>
      <c r="B2938" s="55" t="str">
        <f t="shared" si="10"/>
        <v>Primer dia</v>
      </c>
      <c r="C2938" s="202">
        <f t="shared" si="1"/>
        <v>14</v>
      </c>
      <c r="D2938" s="202" t="str">
        <f t="shared" si="2"/>
        <v> </v>
      </c>
      <c r="E2938" s="202" t="str">
        <f t="shared" si="9"/>
        <v> </v>
      </c>
      <c r="F2938" s="55" t="str">
        <f t="shared" si="4"/>
        <v/>
      </c>
      <c r="G2938" s="202" t="str">
        <f t="shared" si="5"/>
        <v/>
      </c>
      <c r="H2938" s="202" t="str">
        <f t="shared" si="11"/>
        <v> </v>
      </c>
      <c r="I2938" s="205" t="str">
        <f t="shared" si="7"/>
        <v/>
      </c>
      <c r="J2938" s="205"/>
      <c r="K2938" s="205"/>
    </row>
    <row r="2939" ht="14.25" customHeight="1">
      <c r="A2939" s="55">
        <v>48594.0</v>
      </c>
      <c r="B2939" s="55" t="str">
        <f t="shared" si="10"/>
        <v>Primer dia</v>
      </c>
      <c r="C2939" s="202">
        <f t="shared" si="1"/>
        <v>15</v>
      </c>
      <c r="D2939" s="202" t="str">
        <f t="shared" si="2"/>
        <v> </v>
      </c>
      <c r="E2939" s="202" t="str">
        <f t="shared" si="9"/>
        <v> </v>
      </c>
      <c r="F2939" s="55" t="str">
        <f t="shared" si="4"/>
        <v/>
      </c>
      <c r="G2939" s="202" t="str">
        <f t="shared" si="5"/>
        <v/>
      </c>
      <c r="H2939" s="202" t="str">
        <f t="shared" si="11"/>
        <v> </v>
      </c>
      <c r="I2939" s="205" t="str">
        <f t="shared" si="7"/>
        <v/>
      </c>
      <c r="J2939" s="205"/>
      <c r="K2939" s="205"/>
    </row>
    <row r="2940" ht="14.25" customHeight="1">
      <c r="A2940" s="55">
        <v>48595.0</v>
      </c>
      <c r="B2940" s="55" t="str">
        <f t="shared" si="10"/>
        <v>Primer dia</v>
      </c>
      <c r="C2940" s="202">
        <f t="shared" si="1"/>
        <v>16</v>
      </c>
      <c r="D2940" s="202" t="str">
        <f t="shared" si="2"/>
        <v> </v>
      </c>
      <c r="E2940" s="202" t="str">
        <f t="shared" si="9"/>
        <v> </v>
      </c>
      <c r="F2940" s="55" t="str">
        <f t="shared" si="4"/>
        <v/>
      </c>
      <c r="G2940" s="202" t="str">
        <f t="shared" si="5"/>
        <v/>
      </c>
      <c r="H2940" s="202" t="str">
        <f t="shared" si="11"/>
        <v> </v>
      </c>
      <c r="I2940" s="205" t="str">
        <f t="shared" si="7"/>
        <v/>
      </c>
      <c r="J2940" s="205"/>
      <c r="K2940" s="205"/>
    </row>
    <row r="2941" ht="14.25" customHeight="1">
      <c r="A2941" s="55">
        <v>48596.0</v>
      </c>
      <c r="B2941" s="55" t="str">
        <f t="shared" si="10"/>
        <v>Primer dia</v>
      </c>
      <c r="C2941" s="202">
        <f t="shared" si="1"/>
        <v>17</v>
      </c>
      <c r="D2941" s="202" t="str">
        <f t="shared" si="2"/>
        <v> </v>
      </c>
      <c r="E2941" s="202">
        <f t="shared" si="9"/>
        <v>17</v>
      </c>
      <c r="F2941" s="55">
        <f t="shared" si="4"/>
        <v>48596</v>
      </c>
      <c r="G2941" s="202">
        <f t="shared" si="5"/>
        <v>168</v>
      </c>
      <c r="H2941" s="202" t="str">
        <f t="shared" si="11"/>
        <v> </v>
      </c>
      <c r="I2941" s="205" t="str">
        <f t="shared" si="7"/>
        <v/>
      </c>
      <c r="J2941" s="205"/>
      <c r="K2941" s="205"/>
    </row>
    <row r="2942" ht="14.25" customHeight="1">
      <c r="A2942" s="55">
        <v>48597.0</v>
      </c>
      <c r="B2942" s="55" t="str">
        <f t="shared" si="10"/>
        <v>Primer dia</v>
      </c>
      <c r="C2942" s="202">
        <f t="shared" si="1"/>
        <v>18</v>
      </c>
      <c r="D2942" s="202" t="str">
        <f t="shared" si="2"/>
        <v> </v>
      </c>
      <c r="E2942" s="202" t="str">
        <f t="shared" si="9"/>
        <v> </v>
      </c>
      <c r="F2942" s="55" t="str">
        <f t="shared" si="4"/>
        <v/>
      </c>
      <c r="G2942" s="202" t="str">
        <f t="shared" si="5"/>
        <v/>
      </c>
      <c r="H2942" s="202" t="str">
        <f t="shared" si="11"/>
        <v> </v>
      </c>
      <c r="I2942" s="205" t="str">
        <f t="shared" si="7"/>
        <v/>
      </c>
      <c r="J2942" s="205"/>
      <c r="K2942" s="205"/>
    </row>
    <row r="2943" ht="14.25" customHeight="1">
      <c r="A2943" s="55">
        <v>48598.0</v>
      </c>
      <c r="B2943" s="55" t="str">
        <f t="shared" si="10"/>
        <v>Primer dia</v>
      </c>
      <c r="C2943" s="202">
        <f t="shared" si="1"/>
        <v>19</v>
      </c>
      <c r="D2943" s="202" t="str">
        <f t="shared" si="2"/>
        <v> </v>
      </c>
      <c r="E2943" s="202" t="str">
        <f t="shared" si="9"/>
        <v> </v>
      </c>
      <c r="F2943" s="55" t="str">
        <f t="shared" si="4"/>
        <v/>
      </c>
      <c r="G2943" s="202" t="str">
        <f t="shared" si="5"/>
        <v/>
      </c>
      <c r="H2943" s="202" t="str">
        <f t="shared" si="11"/>
        <v> </v>
      </c>
      <c r="I2943" s="205" t="str">
        <f t="shared" si="7"/>
        <v/>
      </c>
      <c r="J2943" s="205"/>
      <c r="K2943" s="205"/>
    </row>
    <row r="2944" ht="14.25" customHeight="1">
      <c r="A2944" s="55">
        <v>48599.0</v>
      </c>
      <c r="B2944" s="55" t="str">
        <f t="shared" si="10"/>
        <v>Primer dia</v>
      </c>
      <c r="C2944" s="202">
        <f t="shared" si="1"/>
        <v>20</v>
      </c>
      <c r="D2944" s="202" t="str">
        <f t="shared" si="2"/>
        <v> </v>
      </c>
      <c r="E2944" s="202" t="str">
        <f t="shared" si="9"/>
        <v> </v>
      </c>
      <c r="F2944" s="55" t="str">
        <f t="shared" si="4"/>
        <v/>
      </c>
      <c r="G2944" s="202" t="str">
        <f t="shared" si="5"/>
        <v/>
      </c>
      <c r="H2944" s="202" t="str">
        <f t="shared" si="11"/>
        <v> </v>
      </c>
      <c r="I2944" s="205" t="str">
        <f t="shared" si="7"/>
        <v/>
      </c>
      <c r="J2944" s="205"/>
      <c r="K2944" s="205"/>
    </row>
    <row r="2945" ht="14.25" customHeight="1">
      <c r="A2945" s="55">
        <v>48600.0</v>
      </c>
      <c r="B2945" s="55" t="str">
        <f t="shared" si="10"/>
        <v>Primer dia</v>
      </c>
      <c r="C2945" s="202">
        <f t="shared" si="1"/>
        <v>21</v>
      </c>
      <c r="D2945" s="202" t="str">
        <f t="shared" si="2"/>
        <v> </v>
      </c>
      <c r="E2945" s="202" t="str">
        <f t="shared" si="9"/>
        <v> </v>
      </c>
      <c r="F2945" s="55" t="str">
        <f t="shared" si="4"/>
        <v/>
      </c>
      <c r="G2945" s="202" t="str">
        <f t="shared" si="5"/>
        <v/>
      </c>
      <c r="H2945" s="202" t="str">
        <f t="shared" si="11"/>
        <v> </v>
      </c>
      <c r="I2945" s="205" t="str">
        <f t="shared" si="7"/>
        <v/>
      </c>
      <c r="J2945" s="205"/>
      <c r="K2945" s="205"/>
    </row>
    <row r="2946" ht="14.25" customHeight="1">
      <c r="A2946" s="55">
        <v>48601.0</v>
      </c>
      <c r="B2946" s="55" t="str">
        <f t="shared" si="10"/>
        <v>Primer dia</v>
      </c>
      <c r="C2946" s="202">
        <f t="shared" si="1"/>
        <v>22</v>
      </c>
      <c r="D2946" s="202" t="str">
        <f t="shared" si="2"/>
        <v> </v>
      </c>
      <c r="E2946" s="202" t="str">
        <f t="shared" si="9"/>
        <v> </v>
      </c>
      <c r="F2946" s="55" t="str">
        <f t="shared" si="4"/>
        <v/>
      </c>
      <c r="G2946" s="202" t="str">
        <f t="shared" si="5"/>
        <v/>
      </c>
      <c r="H2946" s="202" t="str">
        <f t="shared" si="11"/>
        <v> </v>
      </c>
      <c r="I2946" s="205" t="str">
        <f t="shared" si="7"/>
        <v/>
      </c>
      <c r="J2946" s="205"/>
      <c r="K2946" s="205"/>
    </row>
    <row r="2947" ht="14.25" customHeight="1">
      <c r="A2947" s="55">
        <v>48602.0</v>
      </c>
      <c r="B2947" s="55" t="str">
        <f t="shared" si="10"/>
        <v>Primer dia</v>
      </c>
      <c r="C2947" s="202">
        <f t="shared" si="1"/>
        <v>23</v>
      </c>
      <c r="D2947" s="202" t="str">
        <f t="shared" si="2"/>
        <v> </v>
      </c>
      <c r="E2947" s="202" t="str">
        <f t="shared" si="9"/>
        <v> </v>
      </c>
      <c r="F2947" s="55" t="str">
        <f t="shared" si="4"/>
        <v/>
      </c>
      <c r="G2947" s="202" t="str">
        <f t="shared" si="5"/>
        <v/>
      </c>
      <c r="H2947" s="202" t="str">
        <f t="shared" si="11"/>
        <v> </v>
      </c>
      <c r="I2947" s="205" t="str">
        <f t="shared" si="7"/>
        <v/>
      </c>
      <c r="J2947" s="205"/>
      <c r="K2947" s="205"/>
    </row>
    <row r="2948" ht="14.25" customHeight="1">
      <c r="A2948" s="55">
        <v>48603.0</v>
      </c>
      <c r="B2948" s="55" t="str">
        <f t="shared" si="10"/>
        <v>Primer dia</v>
      </c>
      <c r="C2948" s="202">
        <f t="shared" si="1"/>
        <v>24</v>
      </c>
      <c r="D2948" s="202" t="str">
        <f t="shared" si="2"/>
        <v> </v>
      </c>
      <c r="E2948" s="202" t="str">
        <f t="shared" si="9"/>
        <v> </v>
      </c>
      <c r="F2948" s="55" t="str">
        <f t="shared" si="4"/>
        <v/>
      </c>
      <c r="G2948" s="202" t="str">
        <f t="shared" si="5"/>
        <v/>
      </c>
      <c r="H2948" s="202" t="str">
        <f t="shared" si="11"/>
        <v> </v>
      </c>
      <c r="I2948" s="205" t="str">
        <f t="shared" si="7"/>
        <v/>
      </c>
      <c r="J2948" s="205"/>
      <c r="K2948" s="205"/>
    </row>
    <row r="2949" ht="14.25" customHeight="1">
      <c r="A2949" s="55">
        <v>48604.0</v>
      </c>
      <c r="B2949" s="55" t="str">
        <f t="shared" si="10"/>
        <v>Primer dia</v>
      </c>
      <c r="C2949" s="202">
        <f t="shared" si="1"/>
        <v>25</v>
      </c>
      <c r="D2949" s="202" t="str">
        <f t="shared" si="2"/>
        <v> </v>
      </c>
      <c r="E2949" s="202" t="str">
        <f t="shared" si="9"/>
        <v> </v>
      </c>
      <c r="F2949" s="55" t="str">
        <f t="shared" si="4"/>
        <v/>
      </c>
      <c r="G2949" s="202" t="str">
        <f t="shared" si="5"/>
        <v/>
      </c>
      <c r="H2949" s="202" t="str">
        <f t="shared" si="11"/>
        <v> </v>
      </c>
      <c r="I2949" s="205" t="str">
        <f t="shared" si="7"/>
        <v/>
      </c>
      <c r="J2949" s="205"/>
      <c r="K2949" s="205"/>
    </row>
    <row r="2950" ht="14.25" customHeight="1">
      <c r="A2950" s="55">
        <v>48605.0</v>
      </c>
      <c r="B2950" s="55" t="str">
        <f t="shared" si="10"/>
        <v>Primer dia</v>
      </c>
      <c r="C2950" s="202">
        <f t="shared" si="1"/>
        <v>26</v>
      </c>
      <c r="D2950" s="202" t="str">
        <f t="shared" si="2"/>
        <v> </v>
      </c>
      <c r="E2950" s="202" t="str">
        <f t="shared" si="9"/>
        <v> </v>
      </c>
      <c r="F2950" s="55" t="str">
        <f t="shared" si="4"/>
        <v/>
      </c>
      <c r="G2950" s="202" t="str">
        <f t="shared" si="5"/>
        <v/>
      </c>
      <c r="H2950" s="202" t="str">
        <f t="shared" si="11"/>
        <v> </v>
      </c>
      <c r="I2950" s="205" t="str">
        <f t="shared" si="7"/>
        <v/>
      </c>
      <c r="J2950" s="205"/>
      <c r="K2950" s="205"/>
    </row>
    <row r="2951" ht="14.25" customHeight="1">
      <c r="A2951" s="55">
        <v>48606.0</v>
      </c>
      <c r="B2951" s="55" t="str">
        <f t="shared" si="10"/>
        <v>Primer dia</v>
      </c>
      <c r="C2951" s="202">
        <f t="shared" si="1"/>
        <v>27</v>
      </c>
      <c r="D2951" s="202" t="str">
        <f t="shared" si="2"/>
        <v> </v>
      </c>
      <c r="E2951" s="202" t="str">
        <f t="shared" si="9"/>
        <v> </v>
      </c>
      <c r="F2951" s="55" t="str">
        <f t="shared" si="4"/>
        <v/>
      </c>
      <c r="G2951" s="202" t="str">
        <f t="shared" si="5"/>
        <v/>
      </c>
      <c r="H2951" s="202" t="str">
        <f t="shared" si="11"/>
        <v> </v>
      </c>
      <c r="I2951" s="205" t="str">
        <f t="shared" si="7"/>
        <v/>
      </c>
      <c r="J2951" s="205"/>
      <c r="K2951" s="205"/>
    </row>
    <row r="2952" ht="14.25" customHeight="1">
      <c r="A2952" s="55">
        <v>48607.0</v>
      </c>
      <c r="B2952" s="55" t="str">
        <f t="shared" si="10"/>
        <v>Primer dia</v>
      </c>
      <c r="C2952" s="202">
        <f t="shared" si="1"/>
        <v>28</v>
      </c>
      <c r="D2952" s="202" t="str">
        <f t="shared" si="2"/>
        <v> </v>
      </c>
      <c r="E2952" s="202" t="str">
        <f t="shared" si="9"/>
        <v> </v>
      </c>
      <c r="F2952" s="55" t="str">
        <f t="shared" si="4"/>
        <v/>
      </c>
      <c r="G2952" s="202" t="str">
        <f t="shared" si="5"/>
        <v/>
      </c>
      <c r="H2952" s="202" t="str">
        <f t="shared" si="11"/>
        <v> </v>
      </c>
      <c r="I2952" s="205" t="str">
        <f t="shared" si="7"/>
        <v/>
      </c>
      <c r="J2952" s="205"/>
      <c r="K2952" s="205"/>
    </row>
    <row r="2953" ht="14.25" customHeight="1">
      <c r="A2953" s="55">
        <v>48608.0</v>
      </c>
      <c r="B2953" s="55" t="str">
        <f t="shared" si="10"/>
        <v>Primer dia</v>
      </c>
      <c r="C2953" s="202">
        <f t="shared" si="1"/>
        <v>29</v>
      </c>
      <c r="D2953" s="202" t="str">
        <f t="shared" si="2"/>
        <v> </v>
      </c>
      <c r="E2953" s="202" t="str">
        <f t="shared" si="9"/>
        <v> </v>
      </c>
      <c r="F2953" s="55" t="str">
        <f t="shared" si="4"/>
        <v/>
      </c>
      <c r="G2953" s="202" t="str">
        <f t="shared" si="5"/>
        <v/>
      </c>
      <c r="H2953" s="202" t="str">
        <f t="shared" si="11"/>
        <v> </v>
      </c>
      <c r="I2953" s="205" t="str">
        <f t="shared" si="7"/>
        <v/>
      </c>
      <c r="J2953" s="205"/>
      <c r="K2953" s="205"/>
    </row>
    <row r="2954" ht="14.25" customHeight="1">
      <c r="A2954" s="55">
        <v>48609.0</v>
      </c>
      <c r="B2954" s="55" t="str">
        <f t="shared" si="10"/>
        <v>Primer dia</v>
      </c>
      <c r="C2954" s="202">
        <f t="shared" si="1"/>
        <v>30</v>
      </c>
      <c r="D2954" s="202" t="str">
        <f t="shared" si="2"/>
        <v> </v>
      </c>
      <c r="E2954" s="202" t="str">
        <f t="shared" si="9"/>
        <v> </v>
      </c>
      <c r="F2954" s="55" t="str">
        <f t="shared" si="4"/>
        <v/>
      </c>
      <c r="G2954" s="202" t="str">
        <f t="shared" si="5"/>
        <v/>
      </c>
      <c r="H2954" s="202" t="str">
        <f t="shared" si="11"/>
        <v> </v>
      </c>
      <c r="I2954" s="205" t="str">
        <f t="shared" si="7"/>
        <v/>
      </c>
      <c r="J2954" s="205"/>
      <c r="K2954" s="205"/>
    </row>
    <row r="2955" ht="14.25" customHeight="1">
      <c r="A2955" s="55">
        <v>48610.0</v>
      </c>
      <c r="B2955" s="55" t="str">
        <f t="shared" si="10"/>
        <v>Primer dia</v>
      </c>
      <c r="C2955" s="202">
        <f t="shared" si="1"/>
        <v>31</v>
      </c>
      <c r="D2955" s="202" t="str">
        <f t="shared" si="2"/>
        <v> </v>
      </c>
      <c r="E2955" s="202" t="str">
        <f t="shared" si="9"/>
        <v> </v>
      </c>
      <c r="F2955" s="55" t="str">
        <f t="shared" si="4"/>
        <v/>
      </c>
      <c r="G2955" s="202" t="str">
        <f t="shared" si="5"/>
        <v/>
      </c>
      <c r="H2955" s="202" t="str">
        <f t="shared" si="11"/>
        <v> </v>
      </c>
      <c r="I2955" s="205" t="str">
        <f t="shared" si="7"/>
        <v/>
      </c>
      <c r="J2955" s="205"/>
      <c r="K2955" s="205"/>
    </row>
    <row r="2956" ht="14.25" customHeight="1">
      <c r="A2956" s="55">
        <v>48611.0</v>
      </c>
      <c r="B2956" s="55" t="str">
        <f t="shared" si="10"/>
        <v>Primer dia</v>
      </c>
      <c r="C2956" s="202">
        <f t="shared" si="1"/>
        <v>1</v>
      </c>
      <c r="D2956" s="202" t="str">
        <f t="shared" si="2"/>
        <v> </v>
      </c>
      <c r="E2956" s="202" t="str">
        <f t="shared" si="9"/>
        <v> </v>
      </c>
      <c r="F2956" s="55" t="str">
        <f t="shared" si="4"/>
        <v/>
      </c>
      <c r="G2956" s="202" t="str">
        <f t="shared" si="5"/>
        <v/>
      </c>
      <c r="H2956" s="202" t="str">
        <f t="shared" si="11"/>
        <v> </v>
      </c>
      <c r="I2956" s="205" t="str">
        <f t="shared" si="7"/>
        <v/>
      </c>
      <c r="J2956" s="205"/>
      <c r="K2956" s="205"/>
    </row>
    <row r="2957" ht="14.25" customHeight="1">
      <c r="A2957" s="55">
        <v>48612.0</v>
      </c>
      <c r="B2957" s="55" t="str">
        <f t="shared" si="10"/>
        <v>Primer dia</v>
      </c>
      <c r="C2957" s="202">
        <f t="shared" si="1"/>
        <v>2</v>
      </c>
      <c r="D2957" s="202" t="str">
        <f t="shared" si="2"/>
        <v> </v>
      </c>
      <c r="E2957" s="202">
        <f t="shared" si="9"/>
        <v>2</v>
      </c>
      <c r="F2957" s="55">
        <f t="shared" si="4"/>
        <v>48612</v>
      </c>
      <c r="G2957" s="202">
        <f t="shared" si="5"/>
        <v>169</v>
      </c>
      <c r="H2957" s="202" t="str">
        <f t="shared" si="11"/>
        <v> </v>
      </c>
      <c r="I2957" s="205" t="str">
        <f t="shared" si="7"/>
        <v/>
      </c>
      <c r="J2957" s="205"/>
      <c r="K2957" s="205"/>
    </row>
    <row r="2958" ht="14.25" customHeight="1">
      <c r="A2958" s="55">
        <v>48613.0</v>
      </c>
      <c r="B2958" s="55" t="str">
        <f t="shared" si="10"/>
        <v>Primer dia</v>
      </c>
      <c r="C2958" s="202">
        <f t="shared" si="1"/>
        <v>3</v>
      </c>
      <c r="D2958" s="202" t="str">
        <f t="shared" si="2"/>
        <v> </v>
      </c>
      <c r="E2958" s="202" t="str">
        <f t="shared" si="9"/>
        <v> </v>
      </c>
      <c r="F2958" s="55" t="str">
        <f t="shared" si="4"/>
        <v/>
      </c>
      <c r="G2958" s="202" t="str">
        <f t="shared" si="5"/>
        <v/>
      </c>
      <c r="H2958" s="202" t="str">
        <f t="shared" si="11"/>
        <v> </v>
      </c>
      <c r="I2958" s="205" t="str">
        <f t="shared" si="7"/>
        <v/>
      </c>
      <c r="J2958" s="205"/>
      <c r="K2958" s="205"/>
    </row>
    <row r="2959" ht="14.25" customHeight="1">
      <c r="A2959" s="55">
        <v>48614.0</v>
      </c>
      <c r="B2959" s="55" t="str">
        <f t="shared" si="10"/>
        <v>Primer dia</v>
      </c>
      <c r="C2959" s="202">
        <f t="shared" si="1"/>
        <v>4</v>
      </c>
      <c r="D2959" s="202" t="str">
        <f t="shared" si="2"/>
        <v> </v>
      </c>
      <c r="E2959" s="202" t="str">
        <f t="shared" si="9"/>
        <v> </v>
      </c>
      <c r="F2959" s="55" t="str">
        <f t="shared" si="4"/>
        <v/>
      </c>
      <c r="G2959" s="202" t="str">
        <f t="shared" si="5"/>
        <v/>
      </c>
      <c r="H2959" s="202" t="str">
        <f t="shared" si="11"/>
        <v> </v>
      </c>
      <c r="I2959" s="205" t="str">
        <f t="shared" si="7"/>
        <v/>
      </c>
      <c r="J2959" s="205"/>
      <c r="K2959" s="205"/>
    </row>
    <row r="2960" ht="14.25" customHeight="1">
      <c r="A2960" s="55">
        <v>48615.0</v>
      </c>
      <c r="B2960" s="55" t="str">
        <f t="shared" si="10"/>
        <v>Primer dia</v>
      </c>
      <c r="C2960" s="202">
        <f t="shared" si="1"/>
        <v>5</v>
      </c>
      <c r="D2960" s="202" t="str">
        <f t="shared" si="2"/>
        <v> </v>
      </c>
      <c r="E2960" s="202" t="str">
        <f t="shared" si="9"/>
        <v> </v>
      </c>
      <c r="F2960" s="55" t="str">
        <f t="shared" si="4"/>
        <v/>
      </c>
      <c r="G2960" s="202" t="str">
        <f t="shared" si="5"/>
        <v/>
      </c>
      <c r="H2960" s="202" t="str">
        <f t="shared" si="11"/>
        <v> </v>
      </c>
      <c r="I2960" s="205" t="str">
        <f t="shared" si="7"/>
        <v/>
      </c>
      <c r="J2960" s="205"/>
      <c r="K2960" s="205"/>
    </row>
    <row r="2961" ht="14.25" customHeight="1">
      <c r="A2961" s="55">
        <v>48616.0</v>
      </c>
      <c r="B2961" s="55" t="str">
        <f t="shared" si="10"/>
        <v>Primer dia</v>
      </c>
      <c r="C2961" s="202">
        <f t="shared" si="1"/>
        <v>6</v>
      </c>
      <c r="D2961" s="202" t="str">
        <f t="shared" si="2"/>
        <v> </v>
      </c>
      <c r="E2961" s="202" t="str">
        <f t="shared" si="9"/>
        <v> </v>
      </c>
      <c r="F2961" s="55" t="str">
        <f t="shared" si="4"/>
        <v/>
      </c>
      <c r="G2961" s="202" t="str">
        <f t="shared" si="5"/>
        <v/>
      </c>
      <c r="H2961" s="202" t="str">
        <f t="shared" si="11"/>
        <v> </v>
      </c>
      <c r="I2961" s="205" t="str">
        <f t="shared" si="7"/>
        <v/>
      </c>
      <c r="J2961" s="205"/>
      <c r="K2961" s="205"/>
    </row>
    <row r="2962" ht="14.25" customHeight="1">
      <c r="A2962" s="55">
        <v>48617.0</v>
      </c>
      <c r="B2962" s="55" t="str">
        <f t="shared" si="10"/>
        <v>Primer dia</v>
      </c>
      <c r="C2962" s="202">
        <f t="shared" si="1"/>
        <v>7</v>
      </c>
      <c r="D2962" s="202" t="str">
        <f t="shared" si="2"/>
        <v> </v>
      </c>
      <c r="E2962" s="202" t="str">
        <f t="shared" si="9"/>
        <v> </v>
      </c>
      <c r="F2962" s="55" t="str">
        <f t="shared" si="4"/>
        <v/>
      </c>
      <c r="G2962" s="202" t="str">
        <f t="shared" si="5"/>
        <v/>
      </c>
      <c r="H2962" s="202" t="str">
        <f t="shared" si="11"/>
        <v> </v>
      </c>
      <c r="I2962" s="205" t="str">
        <f t="shared" si="7"/>
        <v/>
      </c>
      <c r="J2962" s="205"/>
      <c r="K2962" s="205"/>
    </row>
    <row r="2963" ht="14.25" customHeight="1">
      <c r="A2963" s="55">
        <v>48618.0</v>
      </c>
      <c r="B2963" s="55" t="str">
        <f t="shared" si="10"/>
        <v>Primer dia</v>
      </c>
      <c r="C2963" s="202">
        <f t="shared" si="1"/>
        <v>8</v>
      </c>
      <c r="D2963" s="202" t="str">
        <f t="shared" si="2"/>
        <v> </v>
      </c>
      <c r="E2963" s="202" t="str">
        <f t="shared" si="9"/>
        <v> </v>
      </c>
      <c r="F2963" s="55" t="str">
        <f t="shared" si="4"/>
        <v/>
      </c>
      <c r="G2963" s="202" t="str">
        <f t="shared" si="5"/>
        <v/>
      </c>
      <c r="H2963" s="202" t="str">
        <f t="shared" si="11"/>
        <v> </v>
      </c>
      <c r="I2963" s="205" t="str">
        <f t="shared" si="7"/>
        <v/>
      </c>
      <c r="J2963" s="205"/>
      <c r="K2963" s="205"/>
    </row>
    <row r="2964" ht="14.25" customHeight="1">
      <c r="A2964" s="55">
        <v>48619.0</v>
      </c>
      <c r="B2964" s="55" t="str">
        <f t="shared" si="10"/>
        <v>Primer dia</v>
      </c>
      <c r="C2964" s="202">
        <f t="shared" si="1"/>
        <v>9</v>
      </c>
      <c r="D2964" s="202" t="str">
        <f t="shared" si="2"/>
        <v> </v>
      </c>
      <c r="E2964" s="202" t="str">
        <f t="shared" si="9"/>
        <v> </v>
      </c>
      <c r="F2964" s="55" t="str">
        <f t="shared" si="4"/>
        <v/>
      </c>
      <c r="G2964" s="202" t="str">
        <f t="shared" si="5"/>
        <v/>
      </c>
      <c r="H2964" s="202" t="str">
        <f t="shared" si="11"/>
        <v> </v>
      </c>
      <c r="I2964" s="205" t="str">
        <f t="shared" si="7"/>
        <v/>
      </c>
      <c r="J2964" s="205"/>
      <c r="K2964" s="205"/>
    </row>
    <row r="2965" ht="14.25" customHeight="1">
      <c r="A2965" s="55">
        <v>48620.0</v>
      </c>
      <c r="B2965" s="55" t="str">
        <f t="shared" si="10"/>
        <v>Primer dia</v>
      </c>
      <c r="C2965" s="202">
        <f t="shared" si="1"/>
        <v>10</v>
      </c>
      <c r="D2965" s="202" t="str">
        <f t="shared" si="2"/>
        <v> </v>
      </c>
      <c r="E2965" s="202" t="str">
        <f t="shared" si="9"/>
        <v> </v>
      </c>
      <c r="F2965" s="55" t="str">
        <f t="shared" si="4"/>
        <v/>
      </c>
      <c r="G2965" s="202" t="str">
        <f t="shared" si="5"/>
        <v/>
      </c>
      <c r="H2965" s="202" t="str">
        <f t="shared" si="11"/>
        <v> </v>
      </c>
      <c r="I2965" s="205" t="str">
        <f t="shared" si="7"/>
        <v/>
      </c>
      <c r="J2965" s="205"/>
      <c r="K2965" s="205"/>
    </row>
    <row r="2966" ht="14.25" customHeight="1">
      <c r="A2966" s="55">
        <v>48621.0</v>
      </c>
      <c r="B2966" s="55" t="str">
        <f t="shared" si="10"/>
        <v>Primer dia</v>
      </c>
      <c r="C2966" s="202">
        <f t="shared" si="1"/>
        <v>11</v>
      </c>
      <c r="D2966" s="202" t="str">
        <f t="shared" si="2"/>
        <v> </v>
      </c>
      <c r="E2966" s="202" t="str">
        <f t="shared" si="9"/>
        <v> </v>
      </c>
      <c r="F2966" s="55" t="str">
        <f t="shared" si="4"/>
        <v/>
      </c>
      <c r="G2966" s="202" t="str">
        <f t="shared" si="5"/>
        <v/>
      </c>
      <c r="H2966" s="202" t="str">
        <f t="shared" si="11"/>
        <v> </v>
      </c>
      <c r="I2966" s="205" t="str">
        <f t="shared" si="7"/>
        <v/>
      </c>
      <c r="J2966" s="205"/>
      <c r="K2966" s="205"/>
    </row>
    <row r="2967" ht="14.25" customHeight="1">
      <c r="A2967" s="55">
        <v>48622.0</v>
      </c>
      <c r="B2967" s="55" t="str">
        <f t="shared" si="10"/>
        <v>Primer dia</v>
      </c>
      <c r="C2967" s="202">
        <f t="shared" si="1"/>
        <v>12</v>
      </c>
      <c r="D2967" s="202" t="str">
        <f t="shared" si="2"/>
        <v> </v>
      </c>
      <c r="E2967" s="202" t="str">
        <f t="shared" si="9"/>
        <v> </v>
      </c>
      <c r="F2967" s="55" t="str">
        <f t="shared" si="4"/>
        <v/>
      </c>
      <c r="G2967" s="202" t="str">
        <f t="shared" si="5"/>
        <v/>
      </c>
      <c r="H2967" s="202" t="str">
        <f t="shared" si="11"/>
        <v> </v>
      </c>
      <c r="I2967" s="205" t="str">
        <f t="shared" si="7"/>
        <v/>
      </c>
      <c r="J2967" s="205"/>
      <c r="K2967" s="205"/>
    </row>
    <row r="2968" ht="14.25" customHeight="1">
      <c r="A2968" s="55">
        <v>48623.0</v>
      </c>
      <c r="B2968" s="55" t="str">
        <f t="shared" si="10"/>
        <v>Primer dia</v>
      </c>
      <c r="C2968" s="202">
        <f t="shared" si="1"/>
        <v>13</v>
      </c>
      <c r="D2968" s="202" t="str">
        <f t="shared" si="2"/>
        <v> </v>
      </c>
      <c r="E2968" s="202" t="str">
        <f t="shared" si="9"/>
        <v> </v>
      </c>
      <c r="F2968" s="55" t="str">
        <f t="shared" si="4"/>
        <v/>
      </c>
      <c r="G2968" s="202" t="str">
        <f t="shared" si="5"/>
        <v/>
      </c>
      <c r="H2968" s="202" t="str">
        <f t="shared" si="11"/>
        <v> </v>
      </c>
      <c r="I2968" s="205" t="str">
        <f t="shared" si="7"/>
        <v/>
      </c>
      <c r="J2968" s="205"/>
      <c r="K2968" s="205"/>
    </row>
    <row r="2969" ht="14.25" customHeight="1">
      <c r="A2969" s="55">
        <v>48624.0</v>
      </c>
      <c r="B2969" s="55" t="str">
        <f t="shared" si="10"/>
        <v>Primer dia</v>
      </c>
      <c r="C2969" s="202">
        <f t="shared" si="1"/>
        <v>14</v>
      </c>
      <c r="D2969" s="202" t="str">
        <f t="shared" si="2"/>
        <v> </v>
      </c>
      <c r="E2969" s="202" t="str">
        <f t="shared" si="9"/>
        <v> </v>
      </c>
      <c r="F2969" s="55" t="str">
        <f t="shared" si="4"/>
        <v/>
      </c>
      <c r="G2969" s="202" t="str">
        <f t="shared" si="5"/>
        <v/>
      </c>
      <c r="H2969" s="202" t="str">
        <f t="shared" si="11"/>
        <v> </v>
      </c>
      <c r="I2969" s="205" t="str">
        <f t="shared" si="7"/>
        <v/>
      </c>
      <c r="J2969" s="205"/>
      <c r="K2969" s="205"/>
    </row>
    <row r="2970" ht="14.25" customHeight="1">
      <c r="A2970" s="55">
        <v>48625.0</v>
      </c>
      <c r="B2970" s="55" t="str">
        <f t="shared" si="10"/>
        <v>Primer dia</v>
      </c>
      <c r="C2970" s="202">
        <f t="shared" si="1"/>
        <v>15</v>
      </c>
      <c r="D2970" s="202" t="str">
        <f t="shared" si="2"/>
        <v> </v>
      </c>
      <c r="E2970" s="202" t="str">
        <f t="shared" si="9"/>
        <v> </v>
      </c>
      <c r="F2970" s="55" t="str">
        <f t="shared" si="4"/>
        <v/>
      </c>
      <c r="G2970" s="202" t="str">
        <f t="shared" si="5"/>
        <v/>
      </c>
      <c r="H2970" s="202" t="str">
        <f t="shared" si="11"/>
        <v> </v>
      </c>
      <c r="I2970" s="205" t="str">
        <f t="shared" si="7"/>
        <v/>
      </c>
      <c r="J2970" s="205"/>
      <c r="K2970" s="205"/>
    </row>
    <row r="2971" ht="14.25" customHeight="1">
      <c r="A2971" s="55">
        <v>48626.0</v>
      </c>
      <c r="B2971" s="55" t="str">
        <f t="shared" si="10"/>
        <v>Primer dia</v>
      </c>
      <c r="C2971" s="202">
        <f t="shared" si="1"/>
        <v>16</v>
      </c>
      <c r="D2971" s="202" t="str">
        <f t="shared" si="2"/>
        <v> </v>
      </c>
      <c r="E2971" s="202" t="str">
        <f t="shared" si="9"/>
        <v> </v>
      </c>
      <c r="F2971" s="55" t="str">
        <f t="shared" si="4"/>
        <v/>
      </c>
      <c r="G2971" s="202" t="str">
        <f t="shared" si="5"/>
        <v/>
      </c>
      <c r="H2971" s="202" t="str">
        <f t="shared" si="11"/>
        <v> </v>
      </c>
      <c r="I2971" s="205" t="str">
        <f t="shared" si="7"/>
        <v/>
      </c>
      <c r="J2971" s="205"/>
      <c r="K2971" s="205"/>
    </row>
    <row r="2972" ht="14.25" customHeight="1">
      <c r="A2972" s="55">
        <v>48627.0</v>
      </c>
      <c r="B2972" s="55" t="str">
        <f t="shared" si="10"/>
        <v>Primer dia</v>
      </c>
      <c r="C2972" s="202">
        <f t="shared" si="1"/>
        <v>17</v>
      </c>
      <c r="D2972" s="202" t="str">
        <f t="shared" si="2"/>
        <v> </v>
      </c>
      <c r="E2972" s="202">
        <f t="shared" si="9"/>
        <v>17</v>
      </c>
      <c r="F2972" s="55">
        <f t="shared" si="4"/>
        <v>48627</v>
      </c>
      <c r="G2972" s="202">
        <f t="shared" si="5"/>
        <v>170</v>
      </c>
      <c r="H2972" s="202" t="str">
        <f t="shared" si="11"/>
        <v> </v>
      </c>
      <c r="I2972" s="205" t="str">
        <f t="shared" si="7"/>
        <v/>
      </c>
      <c r="J2972" s="205"/>
      <c r="K2972" s="205"/>
    </row>
    <row r="2973" ht="14.25" customHeight="1">
      <c r="A2973" s="55">
        <v>48628.0</v>
      </c>
      <c r="B2973" s="55" t="str">
        <f t="shared" si="10"/>
        <v>Primer dia</v>
      </c>
      <c r="C2973" s="202">
        <f t="shared" si="1"/>
        <v>18</v>
      </c>
      <c r="D2973" s="202" t="str">
        <f t="shared" si="2"/>
        <v> </v>
      </c>
      <c r="E2973" s="202" t="str">
        <f t="shared" si="9"/>
        <v> </v>
      </c>
      <c r="F2973" s="55" t="str">
        <f t="shared" si="4"/>
        <v/>
      </c>
      <c r="G2973" s="202" t="str">
        <f t="shared" si="5"/>
        <v/>
      </c>
      <c r="H2973" s="202" t="str">
        <f t="shared" si="11"/>
        <v> </v>
      </c>
      <c r="I2973" s="205" t="str">
        <f t="shared" si="7"/>
        <v/>
      </c>
      <c r="J2973" s="205"/>
      <c r="K2973" s="205"/>
    </row>
    <row r="2974" ht="14.25" customHeight="1">
      <c r="A2974" s="55">
        <v>48629.0</v>
      </c>
      <c r="B2974" s="55" t="str">
        <f t="shared" si="10"/>
        <v>Primer dia</v>
      </c>
      <c r="C2974" s="202">
        <f t="shared" si="1"/>
        <v>19</v>
      </c>
      <c r="D2974" s="202" t="str">
        <f t="shared" si="2"/>
        <v> </v>
      </c>
      <c r="E2974" s="202" t="str">
        <f t="shared" si="9"/>
        <v> </v>
      </c>
      <c r="F2974" s="55" t="str">
        <f t="shared" si="4"/>
        <v/>
      </c>
      <c r="G2974" s="202" t="str">
        <f t="shared" si="5"/>
        <v/>
      </c>
      <c r="H2974" s="202" t="str">
        <f t="shared" si="11"/>
        <v> </v>
      </c>
      <c r="I2974" s="205" t="str">
        <f t="shared" si="7"/>
        <v/>
      </c>
      <c r="J2974" s="205"/>
      <c r="K2974" s="205"/>
    </row>
    <row r="2975" ht="14.25" customHeight="1">
      <c r="A2975" s="55">
        <v>48630.0</v>
      </c>
      <c r="B2975" s="55" t="str">
        <f t="shared" si="10"/>
        <v>Primer dia</v>
      </c>
      <c r="C2975" s="202">
        <f t="shared" si="1"/>
        <v>20</v>
      </c>
      <c r="D2975" s="202" t="str">
        <f t="shared" si="2"/>
        <v> </v>
      </c>
      <c r="E2975" s="202" t="str">
        <f t="shared" si="9"/>
        <v> </v>
      </c>
      <c r="F2975" s="55" t="str">
        <f t="shared" si="4"/>
        <v/>
      </c>
      <c r="G2975" s="202" t="str">
        <f t="shared" si="5"/>
        <v/>
      </c>
      <c r="H2975" s="202" t="str">
        <f t="shared" si="11"/>
        <v> </v>
      </c>
      <c r="I2975" s="205" t="str">
        <f t="shared" si="7"/>
        <v/>
      </c>
      <c r="J2975" s="205"/>
      <c r="K2975" s="205"/>
    </row>
    <row r="2976" ht="14.25" customHeight="1">
      <c r="A2976" s="55">
        <v>48631.0</v>
      </c>
      <c r="B2976" s="55" t="str">
        <f t="shared" si="10"/>
        <v>Primer dia</v>
      </c>
      <c r="C2976" s="202">
        <f t="shared" si="1"/>
        <v>21</v>
      </c>
      <c r="D2976" s="202" t="str">
        <f t="shared" si="2"/>
        <v> </v>
      </c>
      <c r="E2976" s="202" t="str">
        <f t="shared" si="9"/>
        <v> </v>
      </c>
      <c r="F2976" s="55" t="str">
        <f t="shared" si="4"/>
        <v/>
      </c>
      <c r="G2976" s="202" t="str">
        <f t="shared" si="5"/>
        <v/>
      </c>
      <c r="H2976" s="202" t="str">
        <f t="shared" si="11"/>
        <v> </v>
      </c>
      <c r="I2976" s="205" t="str">
        <f t="shared" si="7"/>
        <v/>
      </c>
      <c r="J2976" s="205"/>
      <c r="K2976" s="205"/>
    </row>
    <row r="2977" ht="14.25" customHeight="1">
      <c r="A2977" s="55">
        <v>48632.0</v>
      </c>
      <c r="B2977" s="55" t="str">
        <f t="shared" si="10"/>
        <v>Primer dia</v>
      </c>
      <c r="C2977" s="202">
        <f t="shared" si="1"/>
        <v>22</v>
      </c>
      <c r="D2977" s="202" t="str">
        <f t="shared" si="2"/>
        <v> </v>
      </c>
      <c r="E2977" s="202" t="str">
        <f t="shared" si="9"/>
        <v> </v>
      </c>
      <c r="F2977" s="55" t="str">
        <f t="shared" si="4"/>
        <v/>
      </c>
      <c r="G2977" s="202" t="str">
        <f t="shared" si="5"/>
        <v/>
      </c>
      <c r="H2977" s="202" t="str">
        <f t="shared" si="11"/>
        <v> </v>
      </c>
      <c r="I2977" s="205" t="str">
        <f t="shared" si="7"/>
        <v/>
      </c>
      <c r="J2977" s="205"/>
      <c r="K2977" s="205"/>
    </row>
    <row r="2978" ht="14.25" customHeight="1">
      <c r="A2978" s="55">
        <v>48633.0</v>
      </c>
      <c r="B2978" s="55" t="str">
        <f t="shared" si="10"/>
        <v>Primer dia</v>
      </c>
      <c r="C2978" s="202">
        <f t="shared" si="1"/>
        <v>23</v>
      </c>
      <c r="D2978" s="202" t="str">
        <f t="shared" si="2"/>
        <v> </v>
      </c>
      <c r="E2978" s="202" t="str">
        <f t="shared" si="9"/>
        <v> </v>
      </c>
      <c r="F2978" s="55" t="str">
        <f t="shared" si="4"/>
        <v/>
      </c>
      <c r="G2978" s="202" t="str">
        <f t="shared" si="5"/>
        <v/>
      </c>
      <c r="H2978" s="202" t="str">
        <f t="shared" si="11"/>
        <v> </v>
      </c>
      <c r="I2978" s="205" t="str">
        <f t="shared" si="7"/>
        <v/>
      </c>
      <c r="J2978" s="205"/>
      <c r="K2978" s="205"/>
    </row>
    <row r="2979" ht="14.25" customHeight="1">
      <c r="A2979" s="55">
        <v>48634.0</v>
      </c>
      <c r="B2979" s="55" t="str">
        <f t="shared" si="10"/>
        <v>Primer dia</v>
      </c>
      <c r="C2979" s="202">
        <f t="shared" si="1"/>
        <v>24</v>
      </c>
      <c r="D2979" s="202" t="str">
        <f t="shared" si="2"/>
        <v> </v>
      </c>
      <c r="E2979" s="202" t="str">
        <f t="shared" si="9"/>
        <v> </v>
      </c>
      <c r="F2979" s="55" t="str">
        <f t="shared" si="4"/>
        <v/>
      </c>
      <c r="G2979" s="202" t="str">
        <f t="shared" si="5"/>
        <v/>
      </c>
      <c r="H2979" s="202" t="str">
        <f t="shared" si="11"/>
        <v> </v>
      </c>
      <c r="I2979" s="205" t="str">
        <f t="shared" si="7"/>
        <v/>
      </c>
      <c r="J2979" s="205"/>
      <c r="K2979" s="205"/>
    </row>
    <row r="2980" ht="14.25" customHeight="1">
      <c r="A2980" s="55">
        <v>48635.0</v>
      </c>
      <c r="B2980" s="55" t="str">
        <f t="shared" si="10"/>
        <v>Primer dia</v>
      </c>
      <c r="C2980" s="202">
        <f t="shared" si="1"/>
        <v>25</v>
      </c>
      <c r="D2980" s="202" t="str">
        <f t="shared" si="2"/>
        <v> </v>
      </c>
      <c r="E2980" s="202" t="str">
        <f t="shared" si="9"/>
        <v> </v>
      </c>
      <c r="F2980" s="55" t="str">
        <f t="shared" si="4"/>
        <v/>
      </c>
      <c r="G2980" s="202" t="str">
        <f t="shared" si="5"/>
        <v/>
      </c>
      <c r="H2980" s="202" t="str">
        <f t="shared" si="11"/>
        <v> </v>
      </c>
      <c r="I2980" s="205" t="str">
        <f t="shared" si="7"/>
        <v/>
      </c>
      <c r="J2980" s="205"/>
      <c r="K2980" s="205"/>
    </row>
    <row r="2981" ht="14.25" customHeight="1">
      <c r="A2981" s="55">
        <v>48636.0</v>
      </c>
      <c r="B2981" s="55" t="str">
        <f t="shared" si="10"/>
        <v>Primer dia</v>
      </c>
      <c r="C2981" s="202">
        <f t="shared" si="1"/>
        <v>26</v>
      </c>
      <c r="D2981" s="202" t="str">
        <f t="shared" si="2"/>
        <v> </v>
      </c>
      <c r="E2981" s="202" t="str">
        <f t="shared" si="9"/>
        <v> </v>
      </c>
      <c r="F2981" s="55" t="str">
        <f t="shared" si="4"/>
        <v/>
      </c>
      <c r="G2981" s="202" t="str">
        <f t="shared" si="5"/>
        <v/>
      </c>
      <c r="H2981" s="202" t="str">
        <f t="shared" si="11"/>
        <v> </v>
      </c>
      <c r="I2981" s="205" t="str">
        <f t="shared" si="7"/>
        <v/>
      </c>
      <c r="J2981" s="205"/>
      <c r="K2981" s="205"/>
    </row>
    <row r="2982" ht="14.25" customHeight="1">
      <c r="A2982" s="55">
        <v>48637.0</v>
      </c>
      <c r="B2982" s="55" t="str">
        <f t="shared" si="10"/>
        <v>Primer dia</v>
      </c>
      <c r="C2982" s="202">
        <f t="shared" si="1"/>
        <v>27</v>
      </c>
      <c r="D2982" s="202" t="str">
        <f t="shared" si="2"/>
        <v> </v>
      </c>
      <c r="E2982" s="202" t="str">
        <f t="shared" si="9"/>
        <v> </v>
      </c>
      <c r="F2982" s="55" t="str">
        <f t="shared" si="4"/>
        <v/>
      </c>
      <c r="G2982" s="202" t="str">
        <f t="shared" si="5"/>
        <v/>
      </c>
      <c r="H2982" s="202" t="str">
        <f t="shared" si="11"/>
        <v> </v>
      </c>
      <c r="I2982" s="205" t="str">
        <f t="shared" si="7"/>
        <v/>
      </c>
      <c r="J2982" s="205"/>
      <c r="K2982" s="205"/>
    </row>
    <row r="2983" ht="14.25" customHeight="1">
      <c r="A2983" s="55">
        <v>48638.0</v>
      </c>
      <c r="B2983" s="55" t="str">
        <f t="shared" si="10"/>
        <v>Primer dia</v>
      </c>
      <c r="C2983" s="202">
        <f t="shared" si="1"/>
        <v>28</v>
      </c>
      <c r="D2983" s="202" t="str">
        <f t="shared" si="2"/>
        <v> </v>
      </c>
      <c r="E2983" s="202" t="str">
        <f t="shared" si="9"/>
        <v> </v>
      </c>
      <c r="F2983" s="55" t="str">
        <f t="shared" si="4"/>
        <v/>
      </c>
      <c r="G2983" s="202" t="str">
        <f t="shared" si="5"/>
        <v/>
      </c>
      <c r="H2983" s="202" t="str">
        <f t="shared" si="11"/>
        <v> </v>
      </c>
      <c r="I2983" s="205" t="str">
        <f t="shared" si="7"/>
        <v/>
      </c>
      <c r="J2983" s="205"/>
      <c r="K2983" s="205"/>
    </row>
    <row r="2984" ht="14.25" customHeight="1">
      <c r="A2984" s="55">
        <v>48639.0</v>
      </c>
      <c r="B2984" s="55" t="str">
        <f t="shared" si="10"/>
        <v>Primer dia</v>
      </c>
      <c r="C2984" s="202">
        <f t="shared" si="1"/>
        <v>1</v>
      </c>
      <c r="D2984" s="202" t="str">
        <f t="shared" si="2"/>
        <v> </v>
      </c>
      <c r="E2984" s="202" t="str">
        <f t="shared" si="9"/>
        <v> </v>
      </c>
      <c r="F2984" s="55" t="str">
        <f t="shared" si="4"/>
        <v/>
      </c>
      <c r="G2984" s="202" t="str">
        <f t="shared" si="5"/>
        <v/>
      </c>
      <c r="H2984" s="202" t="str">
        <f t="shared" si="11"/>
        <v> </v>
      </c>
      <c r="I2984" s="205" t="str">
        <f t="shared" si="7"/>
        <v/>
      </c>
      <c r="J2984" s="205"/>
      <c r="K2984" s="205"/>
    </row>
    <row r="2985" ht="14.25" customHeight="1">
      <c r="A2985" s="55">
        <v>48640.0</v>
      </c>
      <c r="B2985" s="55" t="str">
        <f t="shared" si="10"/>
        <v>Primer dia</v>
      </c>
      <c r="C2985" s="202">
        <f t="shared" si="1"/>
        <v>2</v>
      </c>
      <c r="D2985" s="202" t="str">
        <f t="shared" si="2"/>
        <v> </v>
      </c>
      <c r="E2985" s="202">
        <f t="shared" si="9"/>
        <v>2</v>
      </c>
      <c r="F2985" s="55">
        <f t="shared" si="4"/>
        <v>48640</v>
      </c>
      <c r="G2985" s="202">
        <f t="shared" si="5"/>
        <v>171</v>
      </c>
      <c r="H2985" s="202" t="str">
        <f t="shared" si="11"/>
        <v> </v>
      </c>
      <c r="I2985" s="205" t="str">
        <f t="shared" si="7"/>
        <v/>
      </c>
      <c r="J2985" s="205"/>
      <c r="K2985" s="205"/>
    </row>
    <row r="2986" ht="14.25" customHeight="1">
      <c r="A2986" s="55">
        <v>48641.0</v>
      </c>
      <c r="B2986" s="55" t="str">
        <f t="shared" si="10"/>
        <v>Primer dia</v>
      </c>
      <c r="C2986" s="202">
        <f t="shared" si="1"/>
        <v>3</v>
      </c>
      <c r="D2986" s="202" t="str">
        <f t="shared" si="2"/>
        <v> </v>
      </c>
      <c r="E2986" s="202" t="str">
        <f t="shared" si="9"/>
        <v> </v>
      </c>
      <c r="F2986" s="55" t="str">
        <f t="shared" si="4"/>
        <v/>
      </c>
      <c r="G2986" s="202" t="str">
        <f t="shared" si="5"/>
        <v/>
      </c>
      <c r="H2986" s="202" t="str">
        <f t="shared" si="11"/>
        <v> </v>
      </c>
      <c r="I2986" s="205" t="str">
        <f t="shared" si="7"/>
        <v/>
      </c>
      <c r="J2986" s="205"/>
      <c r="K2986" s="205"/>
    </row>
    <row r="2987" ht="14.25" customHeight="1">
      <c r="A2987" s="55">
        <v>48642.0</v>
      </c>
      <c r="B2987" s="55" t="str">
        <f t="shared" si="10"/>
        <v>Primer dia</v>
      </c>
      <c r="C2987" s="202">
        <f t="shared" si="1"/>
        <v>4</v>
      </c>
      <c r="D2987" s="202" t="str">
        <f t="shared" si="2"/>
        <v> </v>
      </c>
      <c r="E2987" s="202" t="str">
        <f t="shared" si="9"/>
        <v> </v>
      </c>
      <c r="F2987" s="55" t="str">
        <f t="shared" si="4"/>
        <v/>
      </c>
      <c r="G2987" s="202" t="str">
        <f t="shared" si="5"/>
        <v/>
      </c>
      <c r="H2987" s="202" t="str">
        <f t="shared" si="11"/>
        <v> </v>
      </c>
      <c r="I2987" s="205" t="str">
        <f t="shared" si="7"/>
        <v/>
      </c>
      <c r="J2987" s="205"/>
      <c r="K2987" s="205"/>
    </row>
    <row r="2988" ht="14.25" customHeight="1">
      <c r="A2988" s="55">
        <v>48643.0</v>
      </c>
      <c r="B2988" s="55" t="str">
        <f t="shared" si="10"/>
        <v>Primer dia</v>
      </c>
      <c r="C2988" s="202">
        <f t="shared" si="1"/>
        <v>5</v>
      </c>
      <c r="D2988" s="202" t="str">
        <f t="shared" si="2"/>
        <v> </v>
      </c>
      <c r="E2988" s="202" t="str">
        <f t="shared" si="9"/>
        <v> </v>
      </c>
      <c r="F2988" s="55" t="str">
        <f t="shared" si="4"/>
        <v/>
      </c>
      <c r="G2988" s="202" t="str">
        <f t="shared" si="5"/>
        <v/>
      </c>
      <c r="H2988" s="202" t="str">
        <f t="shared" si="11"/>
        <v> </v>
      </c>
      <c r="I2988" s="205" t="str">
        <f t="shared" si="7"/>
        <v/>
      </c>
      <c r="J2988" s="205"/>
      <c r="K2988" s="205"/>
    </row>
    <row r="2989" ht="14.25" customHeight="1">
      <c r="A2989" s="55">
        <v>48644.0</v>
      </c>
      <c r="B2989" s="55" t="str">
        <f t="shared" si="10"/>
        <v>Primer dia</v>
      </c>
      <c r="C2989" s="202">
        <f t="shared" si="1"/>
        <v>6</v>
      </c>
      <c r="D2989" s="202" t="str">
        <f t="shared" si="2"/>
        <v> </v>
      </c>
      <c r="E2989" s="202" t="str">
        <f t="shared" si="9"/>
        <v> </v>
      </c>
      <c r="F2989" s="55" t="str">
        <f t="shared" si="4"/>
        <v/>
      </c>
      <c r="G2989" s="202" t="str">
        <f t="shared" si="5"/>
        <v/>
      </c>
      <c r="H2989" s="202" t="str">
        <f t="shared" si="11"/>
        <v> </v>
      </c>
      <c r="I2989" s="205" t="str">
        <f t="shared" si="7"/>
        <v/>
      </c>
      <c r="J2989" s="205"/>
      <c r="K2989" s="205"/>
    </row>
    <row r="2990" ht="14.25" customHeight="1">
      <c r="A2990" s="55">
        <v>48645.0</v>
      </c>
      <c r="B2990" s="55" t="str">
        <f t="shared" si="10"/>
        <v>Primer dia</v>
      </c>
      <c r="C2990" s="202">
        <f t="shared" si="1"/>
        <v>7</v>
      </c>
      <c r="D2990" s="202" t="str">
        <f t="shared" si="2"/>
        <v> </v>
      </c>
      <c r="E2990" s="202" t="str">
        <f t="shared" si="9"/>
        <v> </v>
      </c>
      <c r="F2990" s="55" t="str">
        <f t="shared" si="4"/>
        <v/>
      </c>
      <c r="G2990" s="202" t="str">
        <f t="shared" si="5"/>
        <v/>
      </c>
      <c r="H2990" s="202" t="str">
        <f t="shared" si="11"/>
        <v> </v>
      </c>
      <c r="I2990" s="205" t="str">
        <f t="shared" si="7"/>
        <v/>
      </c>
      <c r="J2990" s="205"/>
      <c r="K2990" s="205"/>
    </row>
    <row r="2991" ht="14.25" customHeight="1">
      <c r="A2991" s="55">
        <v>48646.0</v>
      </c>
      <c r="B2991" s="55" t="str">
        <f t="shared" si="10"/>
        <v>Primer dia</v>
      </c>
      <c r="C2991" s="202">
        <f t="shared" si="1"/>
        <v>8</v>
      </c>
      <c r="D2991" s="202" t="str">
        <f t="shared" si="2"/>
        <v> </v>
      </c>
      <c r="E2991" s="202" t="str">
        <f t="shared" si="9"/>
        <v> </v>
      </c>
      <c r="F2991" s="55" t="str">
        <f t="shared" si="4"/>
        <v/>
      </c>
      <c r="G2991" s="202" t="str">
        <f t="shared" si="5"/>
        <v/>
      </c>
      <c r="H2991" s="202" t="str">
        <f t="shared" si="11"/>
        <v> </v>
      </c>
      <c r="I2991" s="205" t="str">
        <f t="shared" si="7"/>
        <v/>
      </c>
      <c r="J2991" s="205"/>
      <c r="K2991" s="205"/>
    </row>
    <row r="2992" ht="14.25" customHeight="1">
      <c r="A2992" s="55">
        <v>48647.0</v>
      </c>
      <c r="B2992" s="55" t="str">
        <f t="shared" si="10"/>
        <v>Primer dia</v>
      </c>
      <c r="C2992" s="202">
        <f t="shared" si="1"/>
        <v>9</v>
      </c>
      <c r="D2992" s="202" t="str">
        <f t="shared" si="2"/>
        <v> </v>
      </c>
      <c r="E2992" s="202" t="str">
        <f t="shared" si="9"/>
        <v> </v>
      </c>
      <c r="F2992" s="55" t="str">
        <f t="shared" si="4"/>
        <v/>
      </c>
      <c r="G2992" s="202" t="str">
        <f t="shared" si="5"/>
        <v/>
      </c>
      <c r="H2992" s="202" t="str">
        <f t="shared" si="11"/>
        <v> </v>
      </c>
      <c r="I2992" s="205" t="str">
        <f t="shared" si="7"/>
        <v/>
      </c>
      <c r="J2992" s="205"/>
      <c r="K2992" s="205"/>
    </row>
    <row r="2993" ht="14.25" customHeight="1">
      <c r="A2993" s="55">
        <v>48648.0</v>
      </c>
      <c r="B2993" s="55" t="str">
        <f t="shared" si="10"/>
        <v>Primer dia</v>
      </c>
      <c r="C2993" s="202">
        <f t="shared" si="1"/>
        <v>10</v>
      </c>
      <c r="D2993" s="202" t="str">
        <f t="shared" si="2"/>
        <v> </v>
      </c>
      <c r="E2993" s="202" t="str">
        <f t="shared" si="9"/>
        <v> </v>
      </c>
      <c r="F2993" s="55" t="str">
        <f t="shared" si="4"/>
        <v/>
      </c>
      <c r="G2993" s="202" t="str">
        <f t="shared" si="5"/>
        <v/>
      </c>
      <c r="H2993" s="202" t="str">
        <f t="shared" si="11"/>
        <v> </v>
      </c>
      <c r="I2993" s="205" t="str">
        <f t="shared" si="7"/>
        <v/>
      </c>
      <c r="J2993" s="205"/>
      <c r="K2993" s="205"/>
    </row>
    <row r="2994" ht="14.25" customHeight="1">
      <c r="A2994" s="55">
        <v>48649.0</v>
      </c>
      <c r="B2994" s="55" t="str">
        <f t="shared" si="10"/>
        <v>Primer dia</v>
      </c>
      <c r="C2994" s="202">
        <f t="shared" si="1"/>
        <v>11</v>
      </c>
      <c r="D2994" s="202" t="str">
        <f t="shared" si="2"/>
        <v> </v>
      </c>
      <c r="E2994" s="202" t="str">
        <f t="shared" si="9"/>
        <v> </v>
      </c>
      <c r="F2994" s="55" t="str">
        <f t="shared" si="4"/>
        <v/>
      </c>
      <c r="G2994" s="202" t="str">
        <f t="shared" si="5"/>
        <v/>
      </c>
      <c r="H2994" s="202" t="str">
        <f t="shared" si="11"/>
        <v> </v>
      </c>
      <c r="I2994" s="205" t="str">
        <f t="shared" si="7"/>
        <v/>
      </c>
      <c r="J2994" s="205"/>
      <c r="K2994" s="205"/>
    </row>
    <row r="2995" ht="14.25" customHeight="1">
      <c r="A2995" s="55">
        <v>48650.0</v>
      </c>
      <c r="B2995" s="55" t="str">
        <f t="shared" si="10"/>
        <v>Primer dia</v>
      </c>
      <c r="C2995" s="202">
        <f t="shared" si="1"/>
        <v>12</v>
      </c>
      <c r="D2995" s="202" t="str">
        <f t="shared" si="2"/>
        <v> </v>
      </c>
      <c r="E2995" s="202" t="str">
        <f t="shared" si="9"/>
        <v> </v>
      </c>
      <c r="F2995" s="55" t="str">
        <f t="shared" si="4"/>
        <v/>
      </c>
      <c r="G2995" s="202" t="str">
        <f t="shared" si="5"/>
        <v/>
      </c>
      <c r="H2995" s="202" t="str">
        <f t="shared" si="11"/>
        <v> </v>
      </c>
      <c r="I2995" s="205" t="str">
        <f t="shared" si="7"/>
        <v/>
      </c>
      <c r="J2995" s="205"/>
      <c r="K2995" s="205"/>
    </row>
    <row r="2996" ht="14.25" customHeight="1">
      <c r="A2996" s="55">
        <v>48651.0</v>
      </c>
      <c r="B2996" s="55" t="str">
        <f t="shared" si="10"/>
        <v>Primer dia</v>
      </c>
      <c r="C2996" s="202">
        <f t="shared" si="1"/>
        <v>13</v>
      </c>
      <c r="D2996" s="202" t="str">
        <f t="shared" si="2"/>
        <v> </v>
      </c>
      <c r="E2996" s="202" t="str">
        <f t="shared" si="9"/>
        <v> </v>
      </c>
      <c r="F2996" s="55" t="str">
        <f t="shared" si="4"/>
        <v/>
      </c>
      <c r="G2996" s="202" t="str">
        <f t="shared" si="5"/>
        <v/>
      </c>
      <c r="H2996" s="202" t="str">
        <f t="shared" si="11"/>
        <v> </v>
      </c>
      <c r="I2996" s="205" t="str">
        <f t="shared" si="7"/>
        <v/>
      </c>
      <c r="J2996" s="205"/>
      <c r="K2996" s="205"/>
    </row>
    <row r="2997" ht="14.25" customHeight="1">
      <c r="A2997" s="55">
        <v>48652.0</v>
      </c>
      <c r="B2997" s="55" t="str">
        <f t="shared" si="10"/>
        <v>Primer dia</v>
      </c>
      <c r="C2997" s="202">
        <f t="shared" si="1"/>
        <v>14</v>
      </c>
      <c r="D2997" s="202" t="str">
        <f t="shared" si="2"/>
        <v> </v>
      </c>
      <c r="E2997" s="202" t="str">
        <f t="shared" si="9"/>
        <v> </v>
      </c>
      <c r="F2997" s="55" t="str">
        <f t="shared" si="4"/>
        <v/>
      </c>
      <c r="G2997" s="202" t="str">
        <f t="shared" si="5"/>
        <v/>
      </c>
      <c r="H2997" s="202" t="str">
        <f t="shared" si="11"/>
        <v> </v>
      </c>
      <c r="I2997" s="205" t="str">
        <f t="shared" si="7"/>
        <v/>
      </c>
      <c r="J2997" s="205"/>
      <c r="K2997" s="205"/>
    </row>
    <row r="2998" ht="14.25" customHeight="1">
      <c r="A2998" s="55">
        <v>48653.0</v>
      </c>
      <c r="B2998" s="55" t="str">
        <f t="shared" si="10"/>
        <v>Primer dia</v>
      </c>
      <c r="C2998" s="202">
        <f t="shared" si="1"/>
        <v>15</v>
      </c>
      <c r="D2998" s="202" t="str">
        <f t="shared" si="2"/>
        <v> </v>
      </c>
      <c r="E2998" s="202" t="str">
        <f t="shared" si="9"/>
        <v> </v>
      </c>
      <c r="F2998" s="55" t="str">
        <f t="shared" si="4"/>
        <v/>
      </c>
      <c r="G2998" s="202" t="str">
        <f t="shared" si="5"/>
        <v/>
      </c>
      <c r="H2998" s="202" t="str">
        <f t="shared" si="11"/>
        <v> </v>
      </c>
      <c r="I2998" s="205" t="str">
        <f t="shared" si="7"/>
        <v/>
      </c>
      <c r="J2998" s="205"/>
      <c r="K2998" s="205"/>
    </row>
    <row r="2999" ht="14.25" customHeight="1">
      <c r="A2999" s="55">
        <v>48654.0</v>
      </c>
      <c r="B2999" s="55" t="str">
        <f t="shared" si="10"/>
        <v>Primer dia</v>
      </c>
      <c r="C2999" s="202">
        <f t="shared" si="1"/>
        <v>16</v>
      </c>
      <c r="D2999" s="202" t="str">
        <f t="shared" si="2"/>
        <v> </v>
      </c>
      <c r="E2999" s="202" t="str">
        <f t="shared" si="9"/>
        <v> </v>
      </c>
      <c r="F2999" s="55" t="str">
        <f t="shared" si="4"/>
        <v/>
      </c>
      <c r="G2999" s="202" t="str">
        <f t="shared" si="5"/>
        <v/>
      </c>
      <c r="H2999" s="202" t="str">
        <f t="shared" si="11"/>
        <v> </v>
      </c>
      <c r="I2999" s="205" t="str">
        <f t="shared" si="7"/>
        <v/>
      </c>
      <c r="J2999" s="205"/>
      <c r="K2999" s="205"/>
    </row>
    <row r="3000" ht="14.25" customHeight="1">
      <c r="A3000" s="55">
        <v>48655.0</v>
      </c>
      <c r="B3000" s="55" t="str">
        <f t="shared" si="10"/>
        <v>Primer dia</v>
      </c>
      <c r="C3000" s="202">
        <f t="shared" si="1"/>
        <v>17</v>
      </c>
      <c r="D3000" s="202" t="str">
        <f t="shared" si="2"/>
        <v> </v>
      </c>
      <c r="E3000" s="202">
        <f t="shared" si="9"/>
        <v>17</v>
      </c>
      <c r="F3000" s="55">
        <f t="shared" si="4"/>
        <v>48655</v>
      </c>
      <c r="G3000" s="202">
        <f t="shared" si="5"/>
        <v>172</v>
      </c>
      <c r="H3000" s="202" t="str">
        <f t="shared" si="11"/>
        <v> </v>
      </c>
      <c r="I3000" s="205" t="str">
        <f t="shared" si="7"/>
        <v/>
      </c>
      <c r="J3000" s="205"/>
      <c r="K3000" s="205"/>
    </row>
    <row r="3001" ht="14.25" customHeight="1">
      <c r="A3001" s="55">
        <v>48656.0</v>
      </c>
      <c r="B3001" s="55" t="str">
        <f t="shared" si="10"/>
        <v>Primer dia</v>
      </c>
      <c r="C3001" s="202">
        <f t="shared" si="1"/>
        <v>18</v>
      </c>
      <c r="D3001" s="202" t="str">
        <f t="shared" si="2"/>
        <v> </v>
      </c>
      <c r="E3001" s="202" t="str">
        <f t="shared" si="9"/>
        <v> </v>
      </c>
      <c r="F3001" s="55" t="str">
        <f t="shared" si="4"/>
        <v/>
      </c>
      <c r="G3001" s="202" t="str">
        <f t="shared" si="5"/>
        <v/>
      </c>
      <c r="H3001" s="202" t="str">
        <f t="shared" si="11"/>
        <v> </v>
      </c>
      <c r="I3001" s="205" t="str">
        <f t="shared" si="7"/>
        <v/>
      </c>
      <c r="J3001" s="205"/>
      <c r="K3001" s="205"/>
    </row>
    <row r="3002" ht="14.25" customHeight="1">
      <c r="A3002" s="55">
        <v>48657.0</v>
      </c>
      <c r="B3002" s="55" t="str">
        <f t="shared" si="10"/>
        <v>Primer dia</v>
      </c>
      <c r="C3002" s="202">
        <f t="shared" si="1"/>
        <v>19</v>
      </c>
      <c r="D3002" s="202" t="str">
        <f t="shared" si="2"/>
        <v> </v>
      </c>
      <c r="E3002" s="202" t="str">
        <f t="shared" si="9"/>
        <v> </v>
      </c>
      <c r="F3002" s="55" t="str">
        <f t="shared" si="4"/>
        <v/>
      </c>
      <c r="G3002" s="202" t="str">
        <f t="shared" si="5"/>
        <v/>
      </c>
      <c r="H3002" s="202" t="str">
        <f t="shared" si="11"/>
        <v> </v>
      </c>
      <c r="I3002" s="205" t="str">
        <f t="shared" si="7"/>
        <v/>
      </c>
      <c r="J3002" s="205"/>
      <c r="K3002" s="205"/>
    </row>
    <row r="3003" ht="14.25" customHeight="1">
      <c r="A3003" s="55">
        <v>48658.0</v>
      </c>
      <c r="B3003" s="55" t="str">
        <f t="shared" si="10"/>
        <v>Primer dia</v>
      </c>
      <c r="C3003" s="202">
        <f t="shared" si="1"/>
        <v>20</v>
      </c>
      <c r="D3003" s="202" t="str">
        <f t="shared" si="2"/>
        <v> </v>
      </c>
      <c r="E3003" s="202" t="str">
        <f t="shared" si="9"/>
        <v> </v>
      </c>
      <c r="F3003" s="55" t="str">
        <f t="shared" si="4"/>
        <v/>
      </c>
      <c r="G3003" s="202" t="str">
        <f t="shared" si="5"/>
        <v/>
      </c>
      <c r="H3003" s="202" t="str">
        <f t="shared" si="11"/>
        <v> </v>
      </c>
      <c r="I3003" s="205" t="str">
        <f t="shared" si="7"/>
        <v/>
      </c>
      <c r="J3003" s="205"/>
      <c r="K3003" s="205"/>
    </row>
    <row r="3004" ht="14.25" customHeight="1">
      <c r="A3004" s="55">
        <v>48659.0</v>
      </c>
      <c r="B3004" s="55" t="str">
        <f t="shared" si="10"/>
        <v>Primer dia</v>
      </c>
      <c r="C3004" s="202">
        <f t="shared" si="1"/>
        <v>21</v>
      </c>
      <c r="D3004" s="202" t="str">
        <f t="shared" si="2"/>
        <v> </v>
      </c>
      <c r="E3004" s="202" t="str">
        <f t="shared" si="9"/>
        <v> </v>
      </c>
      <c r="F3004" s="55" t="str">
        <f t="shared" si="4"/>
        <v/>
      </c>
      <c r="G3004" s="202" t="str">
        <f t="shared" si="5"/>
        <v/>
      </c>
      <c r="H3004" s="202" t="str">
        <f t="shared" si="11"/>
        <v> </v>
      </c>
      <c r="I3004" s="205" t="str">
        <f t="shared" si="7"/>
        <v/>
      </c>
      <c r="J3004" s="205"/>
      <c r="K3004" s="205"/>
    </row>
    <row r="3005" ht="14.25" customHeight="1">
      <c r="A3005" s="55">
        <v>48660.0</v>
      </c>
      <c r="B3005" s="55" t="str">
        <f t="shared" si="10"/>
        <v>Primer dia</v>
      </c>
      <c r="C3005" s="202">
        <f t="shared" si="1"/>
        <v>22</v>
      </c>
      <c r="D3005" s="202" t="str">
        <f t="shared" si="2"/>
        <v> </v>
      </c>
      <c r="E3005" s="202" t="str">
        <f t="shared" si="9"/>
        <v> </v>
      </c>
      <c r="F3005" s="55" t="str">
        <f t="shared" si="4"/>
        <v/>
      </c>
      <c r="G3005" s="202" t="str">
        <f t="shared" si="5"/>
        <v/>
      </c>
      <c r="H3005" s="202" t="str">
        <f t="shared" si="11"/>
        <v> </v>
      </c>
      <c r="I3005" s="205" t="str">
        <f t="shared" si="7"/>
        <v/>
      </c>
      <c r="J3005" s="205"/>
      <c r="K3005" s="205"/>
    </row>
    <row r="3006" ht="14.25" customHeight="1">
      <c r="A3006" s="55">
        <v>48661.0</v>
      </c>
      <c r="B3006" s="55" t="str">
        <f t="shared" si="10"/>
        <v>Primer dia</v>
      </c>
      <c r="C3006" s="202">
        <f t="shared" si="1"/>
        <v>23</v>
      </c>
      <c r="D3006" s="202" t="str">
        <f t="shared" si="2"/>
        <v> </v>
      </c>
      <c r="E3006" s="202" t="str">
        <f t="shared" si="9"/>
        <v> </v>
      </c>
      <c r="F3006" s="55" t="str">
        <f t="shared" si="4"/>
        <v/>
      </c>
      <c r="G3006" s="202" t="str">
        <f t="shared" si="5"/>
        <v/>
      </c>
      <c r="H3006" s="202" t="str">
        <f t="shared" si="11"/>
        <v> </v>
      </c>
      <c r="I3006" s="205" t="str">
        <f t="shared" si="7"/>
        <v/>
      </c>
      <c r="J3006" s="205"/>
      <c r="K3006" s="205"/>
    </row>
    <row r="3007" ht="14.25" customHeight="1">
      <c r="A3007" s="55">
        <v>48662.0</v>
      </c>
      <c r="B3007" s="55" t="str">
        <f t="shared" si="10"/>
        <v>Primer dia</v>
      </c>
      <c r="C3007" s="202">
        <f t="shared" si="1"/>
        <v>24</v>
      </c>
      <c r="D3007" s="202" t="str">
        <f t="shared" si="2"/>
        <v> </v>
      </c>
      <c r="E3007" s="202" t="str">
        <f t="shared" si="9"/>
        <v> </v>
      </c>
      <c r="F3007" s="55" t="str">
        <f t="shared" si="4"/>
        <v/>
      </c>
      <c r="G3007" s="202" t="str">
        <f t="shared" si="5"/>
        <v/>
      </c>
      <c r="H3007" s="202" t="str">
        <f t="shared" si="11"/>
        <v> </v>
      </c>
      <c r="I3007" s="205" t="str">
        <f t="shared" si="7"/>
        <v/>
      </c>
      <c r="J3007" s="205"/>
      <c r="K3007" s="205"/>
    </row>
    <row r="3008" ht="14.25" customHeight="1">
      <c r="A3008" s="55">
        <v>48663.0</v>
      </c>
      <c r="B3008" s="55" t="str">
        <f t="shared" si="10"/>
        <v>Primer dia</v>
      </c>
      <c r="C3008" s="202">
        <f t="shared" si="1"/>
        <v>25</v>
      </c>
      <c r="D3008" s="202" t="str">
        <f t="shared" si="2"/>
        <v> </v>
      </c>
      <c r="E3008" s="202" t="str">
        <f t="shared" si="9"/>
        <v> </v>
      </c>
      <c r="F3008" s="55" t="str">
        <f t="shared" si="4"/>
        <v/>
      </c>
      <c r="G3008" s="202" t="str">
        <f t="shared" si="5"/>
        <v/>
      </c>
      <c r="H3008" s="202" t="str">
        <f t="shared" si="11"/>
        <v> </v>
      </c>
      <c r="I3008" s="205" t="str">
        <f t="shared" si="7"/>
        <v/>
      </c>
      <c r="J3008" s="205"/>
      <c r="K3008" s="205"/>
    </row>
    <row r="3009" ht="14.25" customHeight="1">
      <c r="A3009" s="55">
        <v>48664.0</v>
      </c>
      <c r="B3009" s="55" t="str">
        <f t="shared" si="10"/>
        <v>Primer dia</v>
      </c>
      <c r="C3009" s="202">
        <f t="shared" si="1"/>
        <v>26</v>
      </c>
      <c r="D3009" s="202" t="str">
        <f t="shared" si="2"/>
        <v> </v>
      </c>
      <c r="E3009" s="202" t="str">
        <f t="shared" si="9"/>
        <v> </v>
      </c>
      <c r="F3009" s="55" t="str">
        <f t="shared" si="4"/>
        <v/>
      </c>
      <c r="G3009" s="202" t="str">
        <f t="shared" si="5"/>
        <v/>
      </c>
      <c r="H3009" s="202" t="str">
        <f t="shared" si="11"/>
        <v> </v>
      </c>
      <c r="I3009" s="205" t="str">
        <f t="shared" si="7"/>
        <v/>
      </c>
      <c r="J3009" s="205"/>
      <c r="K3009" s="205"/>
    </row>
    <row r="3010" ht="14.25" customHeight="1">
      <c r="A3010" s="55">
        <v>48665.0</v>
      </c>
      <c r="B3010" s="55" t="str">
        <f t="shared" si="10"/>
        <v>Primer dia</v>
      </c>
      <c r="C3010" s="202">
        <f t="shared" si="1"/>
        <v>27</v>
      </c>
      <c r="D3010" s="202" t="str">
        <f t="shared" si="2"/>
        <v> </v>
      </c>
      <c r="E3010" s="202" t="str">
        <f t="shared" si="9"/>
        <v> </v>
      </c>
      <c r="F3010" s="55" t="str">
        <f t="shared" si="4"/>
        <v/>
      </c>
      <c r="G3010" s="202" t="str">
        <f t="shared" si="5"/>
        <v/>
      </c>
      <c r="H3010" s="202" t="str">
        <f t="shared" si="11"/>
        <v> </v>
      </c>
      <c r="I3010" s="205" t="str">
        <f t="shared" si="7"/>
        <v/>
      </c>
      <c r="J3010" s="205"/>
      <c r="K3010" s="205"/>
    </row>
    <row r="3011" ht="14.25" customHeight="1">
      <c r="A3011" s="55">
        <v>48666.0</v>
      </c>
      <c r="B3011" s="55" t="str">
        <f t="shared" si="10"/>
        <v>Primer dia</v>
      </c>
      <c r="C3011" s="202">
        <f t="shared" si="1"/>
        <v>28</v>
      </c>
      <c r="D3011" s="202" t="str">
        <f t="shared" si="2"/>
        <v> </v>
      </c>
      <c r="E3011" s="202" t="str">
        <f t="shared" si="9"/>
        <v> </v>
      </c>
      <c r="F3011" s="55" t="str">
        <f t="shared" si="4"/>
        <v/>
      </c>
      <c r="G3011" s="202" t="str">
        <f t="shared" si="5"/>
        <v/>
      </c>
      <c r="H3011" s="202" t="str">
        <f t="shared" si="11"/>
        <v> </v>
      </c>
      <c r="I3011" s="205" t="str">
        <f t="shared" si="7"/>
        <v/>
      </c>
      <c r="J3011" s="205"/>
      <c r="K3011" s="205"/>
    </row>
    <row r="3012" ht="14.25" customHeight="1">
      <c r="A3012" s="55">
        <v>48667.0</v>
      </c>
      <c r="B3012" s="55" t="str">
        <f t="shared" si="10"/>
        <v>Primer dia</v>
      </c>
      <c r="C3012" s="202">
        <f t="shared" si="1"/>
        <v>29</v>
      </c>
      <c r="D3012" s="202" t="str">
        <f t="shared" si="2"/>
        <v> </v>
      </c>
      <c r="E3012" s="202" t="str">
        <f t="shared" si="9"/>
        <v> </v>
      </c>
      <c r="F3012" s="55" t="str">
        <f t="shared" si="4"/>
        <v/>
      </c>
      <c r="G3012" s="202" t="str">
        <f t="shared" si="5"/>
        <v/>
      </c>
      <c r="H3012" s="202" t="str">
        <f t="shared" si="11"/>
        <v> </v>
      </c>
      <c r="I3012" s="205" t="str">
        <f t="shared" si="7"/>
        <v/>
      </c>
      <c r="J3012" s="205"/>
      <c r="K3012" s="205"/>
    </row>
    <row r="3013" ht="14.25" customHeight="1">
      <c r="A3013" s="55">
        <v>48668.0</v>
      </c>
      <c r="B3013" s="55" t="str">
        <f t="shared" si="10"/>
        <v>Primer dia</v>
      </c>
      <c r="C3013" s="202">
        <f t="shared" si="1"/>
        <v>30</v>
      </c>
      <c r="D3013" s="202" t="str">
        <f t="shared" si="2"/>
        <v> </v>
      </c>
      <c r="E3013" s="202" t="str">
        <f t="shared" si="9"/>
        <v> </v>
      </c>
      <c r="F3013" s="55" t="str">
        <f t="shared" si="4"/>
        <v/>
      </c>
      <c r="G3013" s="202" t="str">
        <f t="shared" si="5"/>
        <v/>
      </c>
      <c r="H3013" s="202" t="str">
        <f t="shared" si="11"/>
        <v> </v>
      </c>
      <c r="I3013" s="205" t="str">
        <f t="shared" si="7"/>
        <v/>
      </c>
      <c r="J3013" s="205"/>
      <c r="K3013" s="205"/>
    </row>
    <row r="3014" ht="14.25" customHeight="1">
      <c r="A3014" s="55">
        <v>48669.0</v>
      </c>
      <c r="B3014" s="55" t="str">
        <f t="shared" si="10"/>
        <v>Primer dia</v>
      </c>
      <c r="C3014" s="202">
        <f t="shared" si="1"/>
        <v>31</v>
      </c>
      <c r="D3014" s="202" t="str">
        <f t="shared" si="2"/>
        <v> </v>
      </c>
      <c r="E3014" s="202" t="str">
        <f t="shared" si="9"/>
        <v> </v>
      </c>
      <c r="F3014" s="55" t="str">
        <f t="shared" si="4"/>
        <v/>
      </c>
      <c r="G3014" s="202" t="str">
        <f t="shared" si="5"/>
        <v/>
      </c>
      <c r="H3014" s="202" t="str">
        <f t="shared" si="11"/>
        <v> </v>
      </c>
      <c r="I3014" s="205" t="str">
        <f t="shared" si="7"/>
        <v/>
      </c>
      <c r="J3014" s="205"/>
      <c r="K3014" s="205"/>
    </row>
    <row r="3015" ht="14.25" customHeight="1">
      <c r="A3015" s="55">
        <v>48670.0</v>
      </c>
      <c r="B3015" s="55" t="str">
        <f t="shared" si="10"/>
        <v>Primer dia</v>
      </c>
      <c r="C3015" s="202">
        <f t="shared" si="1"/>
        <v>1</v>
      </c>
      <c r="D3015" s="202" t="str">
        <f t="shared" si="2"/>
        <v> </v>
      </c>
      <c r="E3015" s="202" t="str">
        <f t="shared" si="9"/>
        <v> </v>
      </c>
      <c r="F3015" s="55" t="str">
        <f t="shared" si="4"/>
        <v/>
      </c>
      <c r="G3015" s="202" t="str">
        <f t="shared" si="5"/>
        <v/>
      </c>
      <c r="H3015" s="202" t="str">
        <f t="shared" si="11"/>
        <v> </v>
      </c>
      <c r="I3015" s="205" t="str">
        <f t="shared" si="7"/>
        <v/>
      </c>
      <c r="J3015" s="205"/>
      <c r="K3015" s="205"/>
    </row>
    <row r="3016" ht="14.25" customHeight="1">
      <c r="A3016" s="55">
        <v>48671.0</v>
      </c>
      <c r="B3016" s="55" t="str">
        <f t="shared" si="10"/>
        <v>Primer dia</v>
      </c>
      <c r="C3016" s="202">
        <f t="shared" si="1"/>
        <v>2</v>
      </c>
      <c r="D3016" s="202" t="str">
        <f t="shared" si="2"/>
        <v> </v>
      </c>
      <c r="E3016" s="202">
        <f t="shared" si="9"/>
        <v>2</v>
      </c>
      <c r="F3016" s="55">
        <f t="shared" si="4"/>
        <v>48671</v>
      </c>
      <c r="G3016" s="202">
        <f t="shared" si="5"/>
        <v>173</v>
      </c>
      <c r="H3016" s="202" t="str">
        <f t="shared" si="11"/>
        <v> </v>
      </c>
      <c r="I3016" s="205" t="str">
        <f t="shared" si="7"/>
        <v/>
      </c>
      <c r="J3016" s="205"/>
      <c r="K3016" s="205"/>
    </row>
    <row r="3017" ht="14.25" customHeight="1">
      <c r="A3017" s="55">
        <v>48672.0</v>
      </c>
      <c r="B3017" s="55" t="str">
        <f t="shared" si="10"/>
        <v>Primer dia</v>
      </c>
      <c r="C3017" s="202">
        <f t="shared" si="1"/>
        <v>3</v>
      </c>
      <c r="D3017" s="202" t="str">
        <f t="shared" si="2"/>
        <v> </v>
      </c>
      <c r="E3017" s="202" t="str">
        <f t="shared" si="9"/>
        <v> </v>
      </c>
      <c r="F3017" s="55" t="str">
        <f t="shared" si="4"/>
        <v/>
      </c>
      <c r="G3017" s="202" t="str">
        <f t="shared" si="5"/>
        <v/>
      </c>
      <c r="H3017" s="202" t="str">
        <f t="shared" si="11"/>
        <v> </v>
      </c>
      <c r="I3017" s="205" t="str">
        <f t="shared" si="7"/>
        <v/>
      </c>
      <c r="J3017" s="205"/>
      <c r="K3017" s="205"/>
    </row>
    <row r="3018" ht="14.25" customHeight="1">
      <c r="A3018" s="55">
        <v>48673.0</v>
      </c>
      <c r="B3018" s="55" t="str">
        <f t="shared" si="10"/>
        <v>Primer dia</v>
      </c>
      <c r="C3018" s="202">
        <f t="shared" si="1"/>
        <v>4</v>
      </c>
      <c r="D3018" s="202" t="str">
        <f t="shared" si="2"/>
        <v> </v>
      </c>
      <c r="E3018" s="202" t="str">
        <f t="shared" si="9"/>
        <v> </v>
      </c>
      <c r="F3018" s="55" t="str">
        <f t="shared" si="4"/>
        <v/>
      </c>
      <c r="G3018" s="202" t="str">
        <f t="shared" si="5"/>
        <v/>
      </c>
      <c r="H3018" s="202" t="str">
        <f t="shared" si="11"/>
        <v> </v>
      </c>
      <c r="I3018" s="205" t="str">
        <f t="shared" si="7"/>
        <v/>
      </c>
      <c r="J3018" s="205"/>
      <c r="K3018" s="205"/>
    </row>
    <row r="3019" ht="14.25" customHeight="1">
      <c r="A3019" s="55">
        <v>48674.0</v>
      </c>
      <c r="B3019" s="55" t="str">
        <f t="shared" si="10"/>
        <v>Primer dia</v>
      </c>
      <c r="C3019" s="202">
        <f t="shared" si="1"/>
        <v>5</v>
      </c>
      <c r="D3019" s="202" t="str">
        <f t="shared" si="2"/>
        <v> </v>
      </c>
      <c r="E3019" s="202" t="str">
        <f t="shared" si="9"/>
        <v> </v>
      </c>
      <c r="F3019" s="55" t="str">
        <f t="shared" si="4"/>
        <v/>
      </c>
      <c r="G3019" s="202" t="str">
        <f t="shared" si="5"/>
        <v/>
      </c>
      <c r="H3019" s="202" t="str">
        <f t="shared" si="11"/>
        <v> </v>
      </c>
      <c r="I3019" s="205" t="str">
        <f t="shared" si="7"/>
        <v/>
      </c>
      <c r="J3019" s="205"/>
      <c r="K3019" s="205"/>
    </row>
    <row r="3020" ht="14.25" customHeight="1">
      <c r="A3020" s="55">
        <v>48675.0</v>
      </c>
      <c r="B3020" s="55" t="str">
        <f t="shared" si="10"/>
        <v>Primer dia</v>
      </c>
      <c r="C3020" s="202">
        <f t="shared" si="1"/>
        <v>6</v>
      </c>
      <c r="D3020" s="202" t="str">
        <f t="shared" si="2"/>
        <v> </v>
      </c>
      <c r="E3020" s="202" t="str">
        <f t="shared" si="9"/>
        <v> </v>
      </c>
      <c r="F3020" s="55" t="str">
        <f t="shared" si="4"/>
        <v/>
      </c>
      <c r="G3020" s="202" t="str">
        <f t="shared" si="5"/>
        <v/>
      </c>
      <c r="H3020" s="202" t="str">
        <f t="shared" si="11"/>
        <v> </v>
      </c>
      <c r="I3020" s="205" t="str">
        <f t="shared" si="7"/>
        <v/>
      </c>
      <c r="J3020" s="205"/>
      <c r="K3020" s="205"/>
    </row>
    <row r="3021" ht="14.25" customHeight="1">
      <c r="A3021" s="55">
        <v>48676.0</v>
      </c>
      <c r="B3021" s="55" t="str">
        <f t="shared" si="10"/>
        <v>Primer dia</v>
      </c>
      <c r="C3021" s="202">
        <f t="shared" si="1"/>
        <v>7</v>
      </c>
      <c r="D3021" s="202" t="str">
        <f t="shared" si="2"/>
        <v> </v>
      </c>
      <c r="E3021" s="202" t="str">
        <f t="shared" si="9"/>
        <v> </v>
      </c>
      <c r="F3021" s="55" t="str">
        <f t="shared" si="4"/>
        <v/>
      </c>
      <c r="G3021" s="202" t="str">
        <f t="shared" si="5"/>
        <v/>
      </c>
      <c r="H3021" s="202" t="str">
        <f t="shared" si="11"/>
        <v> </v>
      </c>
      <c r="I3021" s="205" t="str">
        <f t="shared" si="7"/>
        <v/>
      </c>
      <c r="J3021" s="205"/>
      <c r="K3021" s="205"/>
    </row>
    <row r="3022" ht="14.25" customHeight="1">
      <c r="A3022" s="55">
        <v>48677.0</v>
      </c>
      <c r="B3022" s="55" t="str">
        <f t="shared" si="10"/>
        <v>Primer dia</v>
      </c>
      <c r="C3022" s="202">
        <f t="shared" si="1"/>
        <v>8</v>
      </c>
      <c r="D3022" s="202" t="str">
        <f t="shared" si="2"/>
        <v> </v>
      </c>
      <c r="E3022" s="202" t="str">
        <f t="shared" si="9"/>
        <v> </v>
      </c>
      <c r="F3022" s="55" t="str">
        <f t="shared" si="4"/>
        <v/>
      </c>
      <c r="G3022" s="202" t="str">
        <f t="shared" si="5"/>
        <v/>
      </c>
      <c r="H3022" s="202" t="str">
        <f t="shared" si="11"/>
        <v> </v>
      </c>
      <c r="I3022" s="205" t="str">
        <f t="shared" si="7"/>
        <v/>
      </c>
      <c r="J3022" s="205"/>
      <c r="K3022" s="205"/>
    </row>
    <row r="3023" ht="14.25" customHeight="1">
      <c r="A3023" s="55">
        <v>48678.0</v>
      </c>
      <c r="B3023" s="55" t="str">
        <f t="shared" si="10"/>
        <v>Primer dia</v>
      </c>
      <c r="C3023" s="202">
        <f t="shared" si="1"/>
        <v>9</v>
      </c>
      <c r="D3023" s="202" t="str">
        <f t="shared" si="2"/>
        <v> </v>
      </c>
      <c r="E3023" s="202" t="str">
        <f t="shared" si="9"/>
        <v> </v>
      </c>
      <c r="F3023" s="55" t="str">
        <f t="shared" si="4"/>
        <v/>
      </c>
      <c r="G3023" s="202" t="str">
        <f t="shared" si="5"/>
        <v/>
      </c>
      <c r="H3023" s="202" t="str">
        <f t="shared" si="11"/>
        <v> </v>
      </c>
      <c r="I3023" s="205" t="str">
        <f t="shared" si="7"/>
        <v/>
      </c>
      <c r="J3023" s="205"/>
      <c r="K3023" s="205"/>
    </row>
    <row r="3024" ht="14.25" customHeight="1">
      <c r="A3024" s="55">
        <v>48679.0</v>
      </c>
      <c r="B3024" s="55" t="str">
        <f t="shared" si="10"/>
        <v>Primer dia</v>
      </c>
      <c r="C3024" s="202">
        <f t="shared" si="1"/>
        <v>10</v>
      </c>
      <c r="D3024" s="202" t="str">
        <f t="shared" si="2"/>
        <v> </v>
      </c>
      <c r="E3024" s="202" t="str">
        <f t="shared" si="9"/>
        <v> </v>
      </c>
      <c r="F3024" s="55" t="str">
        <f t="shared" si="4"/>
        <v/>
      </c>
      <c r="G3024" s="202" t="str">
        <f t="shared" si="5"/>
        <v/>
      </c>
      <c r="H3024" s="202" t="str">
        <f t="shared" si="11"/>
        <v> </v>
      </c>
      <c r="I3024" s="205" t="str">
        <f t="shared" si="7"/>
        <v/>
      </c>
      <c r="J3024" s="205"/>
      <c r="K3024" s="205"/>
    </row>
    <row r="3025" ht="14.25" customHeight="1">
      <c r="A3025" s="55">
        <v>48680.0</v>
      </c>
      <c r="B3025" s="55" t="str">
        <f t="shared" si="10"/>
        <v>Primer dia</v>
      </c>
      <c r="C3025" s="202">
        <f t="shared" si="1"/>
        <v>11</v>
      </c>
      <c r="D3025" s="202" t="str">
        <f t="shared" si="2"/>
        <v> </v>
      </c>
      <c r="E3025" s="202" t="str">
        <f t="shared" si="9"/>
        <v> </v>
      </c>
      <c r="F3025" s="55" t="str">
        <f t="shared" si="4"/>
        <v/>
      </c>
      <c r="G3025" s="202" t="str">
        <f t="shared" si="5"/>
        <v/>
      </c>
      <c r="H3025" s="202" t="str">
        <f t="shared" si="11"/>
        <v> </v>
      </c>
      <c r="I3025" s="205" t="str">
        <f t="shared" si="7"/>
        <v/>
      </c>
      <c r="J3025" s="205"/>
      <c r="K3025" s="205"/>
    </row>
    <row r="3026" ht="14.25" customHeight="1">
      <c r="A3026" s="55">
        <v>48681.0</v>
      </c>
      <c r="B3026" s="55" t="str">
        <f t="shared" si="10"/>
        <v>Primer dia</v>
      </c>
      <c r="C3026" s="202">
        <f t="shared" si="1"/>
        <v>12</v>
      </c>
      <c r="D3026" s="202" t="str">
        <f t="shared" si="2"/>
        <v> </v>
      </c>
      <c r="E3026" s="202" t="str">
        <f t="shared" si="9"/>
        <v> </v>
      </c>
      <c r="F3026" s="55" t="str">
        <f t="shared" si="4"/>
        <v/>
      </c>
      <c r="G3026" s="202" t="str">
        <f t="shared" si="5"/>
        <v/>
      </c>
      <c r="H3026" s="202" t="str">
        <f t="shared" si="11"/>
        <v> </v>
      </c>
      <c r="I3026" s="205" t="str">
        <f t="shared" si="7"/>
        <v/>
      </c>
      <c r="J3026" s="205"/>
      <c r="K3026" s="205"/>
    </row>
    <row r="3027" ht="14.25" customHeight="1">
      <c r="A3027" s="55">
        <v>48682.0</v>
      </c>
      <c r="B3027" s="55" t="str">
        <f t="shared" si="10"/>
        <v>Primer dia</v>
      </c>
      <c r="C3027" s="202">
        <f t="shared" si="1"/>
        <v>13</v>
      </c>
      <c r="D3027" s="202" t="str">
        <f t="shared" si="2"/>
        <v> </v>
      </c>
      <c r="E3027" s="202" t="str">
        <f t="shared" si="9"/>
        <v> </v>
      </c>
      <c r="F3027" s="55" t="str">
        <f t="shared" si="4"/>
        <v/>
      </c>
      <c r="G3027" s="202" t="str">
        <f t="shared" si="5"/>
        <v/>
      </c>
      <c r="H3027" s="202" t="str">
        <f t="shared" si="11"/>
        <v> </v>
      </c>
      <c r="I3027" s="205" t="str">
        <f t="shared" si="7"/>
        <v/>
      </c>
      <c r="J3027" s="205"/>
      <c r="K3027" s="205"/>
    </row>
    <row r="3028" ht="14.25" customHeight="1">
      <c r="A3028" s="55">
        <v>48683.0</v>
      </c>
      <c r="B3028" s="55" t="str">
        <f t="shared" si="10"/>
        <v>Primer dia</v>
      </c>
      <c r="C3028" s="202">
        <f t="shared" si="1"/>
        <v>14</v>
      </c>
      <c r="D3028" s="202" t="str">
        <f t="shared" si="2"/>
        <v> </v>
      </c>
      <c r="E3028" s="202" t="str">
        <f t="shared" si="9"/>
        <v> </v>
      </c>
      <c r="F3028" s="55" t="str">
        <f t="shared" si="4"/>
        <v/>
      </c>
      <c r="G3028" s="202" t="str">
        <f t="shared" si="5"/>
        <v/>
      </c>
      <c r="H3028" s="202" t="str">
        <f t="shared" si="11"/>
        <v> </v>
      </c>
      <c r="I3028" s="205" t="str">
        <f t="shared" si="7"/>
        <v/>
      </c>
      <c r="J3028" s="205"/>
      <c r="K3028" s="205"/>
    </row>
    <row r="3029" ht="14.25" customHeight="1">
      <c r="A3029" s="55">
        <v>48684.0</v>
      </c>
      <c r="B3029" s="55" t="str">
        <f t="shared" si="10"/>
        <v>Primer dia</v>
      </c>
      <c r="C3029" s="202">
        <f t="shared" si="1"/>
        <v>15</v>
      </c>
      <c r="D3029" s="202" t="str">
        <f t="shared" si="2"/>
        <v> </v>
      </c>
      <c r="E3029" s="202" t="str">
        <f t="shared" si="9"/>
        <v> </v>
      </c>
      <c r="F3029" s="55" t="str">
        <f t="shared" si="4"/>
        <v/>
      </c>
      <c r="G3029" s="202" t="str">
        <f t="shared" si="5"/>
        <v/>
      </c>
      <c r="H3029" s="202" t="str">
        <f t="shared" si="11"/>
        <v> </v>
      </c>
      <c r="I3029" s="205" t="str">
        <f t="shared" si="7"/>
        <v/>
      </c>
      <c r="J3029" s="205"/>
      <c r="K3029" s="205"/>
    </row>
    <row r="3030" ht="14.25" customHeight="1">
      <c r="A3030" s="55">
        <v>48685.0</v>
      </c>
      <c r="B3030" s="55" t="str">
        <f t="shared" si="10"/>
        <v>Primer dia</v>
      </c>
      <c r="C3030" s="202">
        <f t="shared" si="1"/>
        <v>16</v>
      </c>
      <c r="D3030" s="202" t="str">
        <f t="shared" si="2"/>
        <v> </v>
      </c>
      <c r="E3030" s="202" t="str">
        <f t="shared" si="9"/>
        <v> </v>
      </c>
      <c r="F3030" s="55" t="str">
        <f t="shared" si="4"/>
        <v/>
      </c>
      <c r="G3030" s="202" t="str">
        <f t="shared" si="5"/>
        <v/>
      </c>
      <c r="H3030" s="202" t="str">
        <f t="shared" si="11"/>
        <v> </v>
      </c>
      <c r="I3030" s="205" t="str">
        <f t="shared" si="7"/>
        <v/>
      </c>
      <c r="J3030" s="205"/>
      <c r="K3030" s="205"/>
    </row>
    <row r="3031" ht="14.25" customHeight="1">
      <c r="A3031" s="55">
        <v>48686.0</v>
      </c>
      <c r="B3031" s="55" t="str">
        <f t="shared" si="10"/>
        <v>Primer dia</v>
      </c>
      <c r="C3031" s="202">
        <f t="shared" si="1"/>
        <v>17</v>
      </c>
      <c r="D3031" s="202" t="str">
        <f t="shared" si="2"/>
        <v> </v>
      </c>
      <c r="E3031" s="202">
        <f t="shared" si="9"/>
        <v>17</v>
      </c>
      <c r="F3031" s="55">
        <f t="shared" si="4"/>
        <v>48686</v>
      </c>
      <c r="G3031" s="202">
        <f t="shared" si="5"/>
        <v>174</v>
      </c>
      <c r="H3031" s="202" t="str">
        <f t="shared" si="11"/>
        <v> </v>
      </c>
      <c r="I3031" s="205" t="str">
        <f t="shared" si="7"/>
        <v/>
      </c>
      <c r="J3031" s="205"/>
      <c r="K3031" s="205"/>
    </row>
    <row r="3032" ht="14.25" customHeight="1">
      <c r="A3032" s="55">
        <v>48687.0</v>
      </c>
      <c r="B3032" s="55" t="str">
        <f t="shared" si="10"/>
        <v>Primer dia</v>
      </c>
      <c r="C3032" s="202">
        <f t="shared" si="1"/>
        <v>18</v>
      </c>
      <c r="D3032" s="202" t="str">
        <f t="shared" si="2"/>
        <v> </v>
      </c>
      <c r="E3032" s="202" t="str">
        <f t="shared" si="9"/>
        <v> </v>
      </c>
      <c r="F3032" s="55" t="str">
        <f t="shared" si="4"/>
        <v/>
      </c>
      <c r="G3032" s="202" t="str">
        <f t="shared" si="5"/>
        <v/>
      </c>
      <c r="H3032" s="202" t="str">
        <f t="shared" si="11"/>
        <v> </v>
      </c>
      <c r="I3032" s="205" t="str">
        <f t="shared" si="7"/>
        <v/>
      </c>
      <c r="J3032" s="205"/>
      <c r="K3032" s="205"/>
    </row>
    <row r="3033" ht="14.25" customHeight="1">
      <c r="A3033" s="55">
        <v>48688.0</v>
      </c>
      <c r="B3033" s="55" t="str">
        <f t="shared" si="10"/>
        <v>Primer dia</v>
      </c>
      <c r="C3033" s="202">
        <f t="shared" si="1"/>
        <v>19</v>
      </c>
      <c r="D3033" s="202" t="str">
        <f t="shared" si="2"/>
        <v> </v>
      </c>
      <c r="E3033" s="202" t="str">
        <f t="shared" si="9"/>
        <v> </v>
      </c>
      <c r="F3033" s="55" t="str">
        <f t="shared" si="4"/>
        <v/>
      </c>
      <c r="G3033" s="202" t="str">
        <f t="shared" si="5"/>
        <v/>
      </c>
      <c r="H3033" s="202" t="str">
        <f t="shared" si="11"/>
        <v> </v>
      </c>
      <c r="I3033" s="205" t="str">
        <f t="shared" si="7"/>
        <v/>
      </c>
      <c r="J3033" s="205"/>
      <c r="K3033" s="205"/>
    </row>
    <row r="3034" ht="14.25" customHeight="1">
      <c r="A3034" s="55">
        <v>48689.0</v>
      </c>
      <c r="B3034" s="55" t="str">
        <f t="shared" si="10"/>
        <v>Primer dia</v>
      </c>
      <c r="C3034" s="202">
        <f t="shared" si="1"/>
        <v>20</v>
      </c>
      <c r="D3034" s="202" t="str">
        <f t="shared" si="2"/>
        <v> </v>
      </c>
      <c r="E3034" s="202" t="str">
        <f t="shared" si="9"/>
        <v> </v>
      </c>
      <c r="F3034" s="55" t="str">
        <f t="shared" si="4"/>
        <v/>
      </c>
      <c r="G3034" s="202" t="str">
        <f t="shared" si="5"/>
        <v/>
      </c>
      <c r="H3034" s="202" t="str">
        <f t="shared" si="11"/>
        <v> </v>
      </c>
      <c r="I3034" s="205" t="str">
        <f t="shared" si="7"/>
        <v/>
      </c>
      <c r="J3034" s="205"/>
      <c r="K3034" s="205"/>
    </row>
    <row r="3035" ht="14.25" customHeight="1">
      <c r="A3035" s="55">
        <v>48690.0</v>
      </c>
      <c r="B3035" s="55" t="str">
        <f t="shared" si="10"/>
        <v>Primer dia</v>
      </c>
      <c r="C3035" s="202">
        <f t="shared" si="1"/>
        <v>21</v>
      </c>
      <c r="D3035" s="202" t="str">
        <f t="shared" si="2"/>
        <v> </v>
      </c>
      <c r="E3035" s="202" t="str">
        <f t="shared" si="9"/>
        <v> </v>
      </c>
      <c r="F3035" s="55" t="str">
        <f t="shared" si="4"/>
        <v/>
      </c>
      <c r="G3035" s="202" t="str">
        <f t="shared" si="5"/>
        <v/>
      </c>
      <c r="H3035" s="202" t="str">
        <f t="shared" si="11"/>
        <v> </v>
      </c>
      <c r="I3035" s="205" t="str">
        <f t="shared" si="7"/>
        <v/>
      </c>
      <c r="J3035" s="205"/>
      <c r="K3035" s="205"/>
    </row>
    <row r="3036" ht="14.25" customHeight="1">
      <c r="A3036" s="55">
        <v>48691.0</v>
      </c>
      <c r="B3036" s="55" t="str">
        <f t="shared" si="10"/>
        <v>Primer dia</v>
      </c>
      <c r="C3036" s="202">
        <f t="shared" si="1"/>
        <v>22</v>
      </c>
      <c r="D3036" s="202" t="str">
        <f t="shared" si="2"/>
        <v> </v>
      </c>
      <c r="E3036" s="202" t="str">
        <f t="shared" si="9"/>
        <v> </v>
      </c>
      <c r="F3036" s="55" t="str">
        <f t="shared" si="4"/>
        <v/>
      </c>
      <c r="G3036" s="202" t="str">
        <f t="shared" si="5"/>
        <v/>
      </c>
      <c r="H3036" s="202" t="str">
        <f t="shared" si="11"/>
        <v> </v>
      </c>
      <c r="I3036" s="205" t="str">
        <f t="shared" si="7"/>
        <v/>
      </c>
      <c r="J3036" s="205"/>
      <c r="K3036" s="205"/>
    </row>
    <row r="3037" ht="14.25" customHeight="1">
      <c r="A3037" s="55">
        <v>48692.0</v>
      </c>
      <c r="B3037" s="55" t="str">
        <f t="shared" si="10"/>
        <v>Primer dia</v>
      </c>
      <c r="C3037" s="202">
        <f t="shared" si="1"/>
        <v>23</v>
      </c>
      <c r="D3037" s="202" t="str">
        <f t="shared" si="2"/>
        <v> </v>
      </c>
      <c r="E3037" s="202" t="str">
        <f t="shared" si="9"/>
        <v> </v>
      </c>
      <c r="F3037" s="55" t="str">
        <f t="shared" si="4"/>
        <v/>
      </c>
      <c r="G3037" s="202" t="str">
        <f t="shared" si="5"/>
        <v/>
      </c>
      <c r="H3037" s="202" t="str">
        <f t="shared" si="11"/>
        <v> </v>
      </c>
      <c r="I3037" s="205" t="str">
        <f t="shared" si="7"/>
        <v/>
      </c>
      <c r="J3037" s="205"/>
      <c r="K3037" s="205"/>
    </row>
    <row r="3038" ht="14.25" customHeight="1">
      <c r="A3038" s="55">
        <v>48693.0</v>
      </c>
      <c r="B3038" s="55" t="str">
        <f t="shared" si="10"/>
        <v>Primer dia</v>
      </c>
      <c r="C3038" s="202">
        <f t="shared" si="1"/>
        <v>24</v>
      </c>
      <c r="D3038" s="202" t="str">
        <f t="shared" si="2"/>
        <v> </v>
      </c>
      <c r="E3038" s="202" t="str">
        <f t="shared" si="9"/>
        <v> </v>
      </c>
      <c r="F3038" s="55" t="str">
        <f t="shared" si="4"/>
        <v/>
      </c>
      <c r="G3038" s="202" t="str">
        <f t="shared" si="5"/>
        <v/>
      </c>
      <c r="H3038" s="202" t="str">
        <f t="shared" si="11"/>
        <v> </v>
      </c>
      <c r="I3038" s="205" t="str">
        <f t="shared" si="7"/>
        <v/>
      </c>
      <c r="J3038" s="205"/>
      <c r="K3038" s="205"/>
    </row>
    <row r="3039" ht="14.25" customHeight="1">
      <c r="A3039" s="55">
        <v>48694.0</v>
      </c>
      <c r="B3039" s="55" t="str">
        <f t="shared" si="10"/>
        <v>Primer dia</v>
      </c>
      <c r="C3039" s="202">
        <f t="shared" si="1"/>
        <v>25</v>
      </c>
      <c r="D3039" s="202" t="str">
        <f t="shared" si="2"/>
        <v> </v>
      </c>
      <c r="E3039" s="202" t="str">
        <f t="shared" si="9"/>
        <v> </v>
      </c>
      <c r="F3039" s="55" t="str">
        <f t="shared" si="4"/>
        <v/>
      </c>
      <c r="G3039" s="202" t="str">
        <f t="shared" si="5"/>
        <v/>
      </c>
      <c r="H3039" s="202" t="str">
        <f t="shared" si="11"/>
        <v> </v>
      </c>
      <c r="I3039" s="205" t="str">
        <f t="shared" si="7"/>
        <v/>
      </c>
      <c r="J3039" s="205"/>
      <c r="K3039" s="205"/>
    </row>
    <row r="3040" ht="14.25" customHeight="1">
      <c r="A3040" s="55">
        <v>48695.0</v>
      </c>
      <c r="B3040" s="55" t="str">
        <f t="shared" si="10"/>
        <v>Primer dia</v>
      </c>
      <c r="C3040" s="202">
        <f t="shared" si="1"/>
        <v>26</v>
      </c>
      <c r="D3040" s="202" t="str">
        <f t="shared" si="2"/>
        <v> </v>
      </c>
      <c r="E3040" s="202" t="str">
        <f t="shared" si="9"/>
        <v> </v>
      </c>
      <c r="F3040" s="55" t="str">
        <f t="shared" si="4"/>
        <v/>
      </c>
      <c r="G3040" s="202" t="str">
        <f t="shared" si="5"/>
        <v/>
      </c>
      <c r="H3040" s="202" t="str">
        <f t="shared" si="11"/>
        <v> </v>
      </c>
      <c r="I3040" s="205" t="str">
        <f t="shared" si="7"/>
        <v/>
      </c>
      <c r="J3040" s="205"/>
      <c r="K3040" s="205"/>
    </row>
    <row r="3041" ht="14.25" customHeight="1">
      <c r="A3041" s="55">
        <v>48696.0</v>
      </c>
      <c r="B3041" s="55" t="str">
        <f t="shared" si="10"/>
        <v>Primer dia</v>
      </c>
      <c r="C3041" s="202">
        <f t="shared" si="1"/>
        <v>27</v>
      </c>
      <c r="D3041" s="202" t="str">
        <f t="shared" si="2"/>
        <v> </v>
      </c>
      <c r="E3041" s="202" t="str">
        <f t="shared" si="9"/>
        <v> </v>
      </c>
      <c r="F3041" s="55" t="str">
        <f t="shared" si="4"/>
        <v/>
      </c>
      <c r="G3041" s="202" t="str">
        <f t="shared" si="5"/>
        <v/>
      </c>
      <c r="H3041" s="202" t="str">
        <f t="shared" si="11"/>
        <v> </v>
      </c>
      <c r="I3041" s="205" t="str">
        <f t="shared" si="7"/>
        <v/>
      </c>
      <c r="J3041" s="205"/>
      <c r="K3041" s="205"/>
    </row>
    <row r="3042" ht="14.25" customHeight="1">
      <c r="A3042" s="55">
        <v>48697.0</v>
      </c>
      <c r="B3042" s="55" t="str">
        <f t="shared" si="10"/>
        <v>Primer dia</v>
      </c>
      <c r="C3042" s="202">
        <f t="shared" si="1"/>
        <v>28</v>
      </c>
      <c r="D3042" s="202" t="str">
        <f t="shared" si="2"/>
        <v> </v>
      </c>
      <c r="E3042" s="202" t="str">
        <f t="shared" si="9"/>
        <v> </v>
      </c>
      <c r="F3042" s="55" t="str">
        <f t="shared" si="4"/>
        <v/>
      </c>
      <c r="G3042" s="202" t="str">
        <f t="shared" si="5"/>
        <v/>
      </c>
      <c r="H3042" s="202" t="str">
        <f t="shared" si="11"/>
        <v> </v>
      </c>
      <c r="I3042" s="205" t="str">
        <f t="shared" si="7"/>
        <v/>
      </c>
      <c r="J3042" s="205"/>
      <c r="K3042" s="205"/>
    </row>
    <row r="3043" ht="14.25" customHeight="1">
      <c r="A3043" s="55">
        <v>48698.0</v>
      </c>
      <c r="B3043" s="55" t="str">
        <f t="shared" si="10"/>
        <v>Primer dia</v>
      </c>
      <c r="C3043" s="202">
        <f t="shared" si="1"/>
        <v>29</v>
      </c>
      <c r="D3043" s="202" t="str">
        <f t="shared" si="2"/>
        <v> </v>
      </c>
      <c r="E3043" s="202" t="str">
        <f t="shared" si="9"/>
        <v> </v>
      </c>
      <c r="F3043" s="55" t="str">
        <f t="shared" si="4"/>
        <v/>
      </c>
      <c r="G3043" s="202" t="str">
        <f t="shared" si="5"/>
        <v/>
      </c>
      <c r="H3043" s="202" t="str">
        <f t="shared" si="11"/>
        <v> </v>
      </c>
      <c r="I3043" s="205" t="str">
        <f t="shared" si="7"/>
        <v/>
      </c>
      <c r="J3043" s="205"/>
      <c r="K3043" s="205"/>
    </row>
    <row r="3044" ht="14.25" customHeight="1">
      <c r="A3044" s="55">
        <v>48699.0</v>
      </c>
      <c r="B3044" s="55" t="str">
        <f t="shared" si="10"/>
        <v>Primer dia</v>
      </c>
      <c r="C3044" s="202">
        <f t="shared" si="1"/>
        <v>30</v>
      </c>
      <c r="D3044" s="202" t="str">
        <f t="shared" si="2"/>
        <v> </v>
      </c>
      <c r="E3044" s="202" t="str">
        <f t="shared" si="9"/>
        <v> </v>
      </c>
      <c r="F3044" s="55" t="str">
        <f t="shared" si="4"/>
        <v/>
      </c>
      <c r="G3044" s="202" t="str">
        <f t="shared" si="5"/>
        <v/>
      </c>
      <c r="H3044" s="202" t="str">
        <f t="shared" si="11"/>
        <v> </v>
      </c>
      <c r="I3044" s="205" t="str">
        <f t="shared" si="7"/>
        <v/>
      </c>
      <c r="J3044" s="205"/>
      <c r="K3044" s="205"/>
    </row>
    <row r="3045" ht="14.25" customHeight="1">
      <c r="A3045" s="55">
        <v>48700.0</v>
      </c>
      <c r="B3045" s="55" t="str">
        <f t="shared" si="10"/>
        <v>Primer dia</v>
      </c>
      <c r="C3045" s="202">
        <f t="shared" si="1"/>
        <v>1</v>
      </c>
      <c r="D3045" s="202" t="str">
        <f t="shared" si="2"/>
        <v> </v>
      </c>
      <c r="E3045" s="202" t="str">
        <f t="shared" si="9"/>
        <v> </v>
      </c>
      <c r="F3045" s="55" t="str">
        <f t="shared" si="4"/>
        <v/>
      </c>
      <c r="G3045" s="202" t="str">
        <f t="shared" si="5"/>
        <v/>
      </c>
      <c r="H3045" s="202" t="str">
        <f t="shared" si="11"/>
        <v> </v>
      </c>
      <c r="I3045" s="205" t="str">
        <f t="shared" si="7"/>
        <v/>
      </c>
      <c r="J3045" s="205"/>
      <c r="K3045" s="205"/>
    </row>
    <row r="3046" ht="14.25" customHeight="1">
      <c r="A3046" s="55">
        <v>48701.0</v>
      </c>
      <c r="B3046" s="55" t="str">
        <f t="shared" si="10"/>
        <v>Primer dia</v>
      </c>
      <c r="C3046" s="202">
        <f t="shared" si="1"/>
        <v>2</v>
      </c>
      <c r="D3046" s="202" t="str">
        <f t="shared" si="2"/>
        <v> </v>
      </c>
      <c r="E3046" s="202">
        <f t="shared" si="9"/>
        <v>2</v>
      </c>
      <c r="F3046" s="55">
        <f t="shared" si="4"/>
        <v>48701</v>
      </c>
      <c r="G3046" s="202">
        <f t="shared" si="5"/>
        <v>175</v>
      </c>
      <c r="H3046" s="202" t="str">
        <f t="shared" si="11"/>
        <v> </v>
      </c>
      <c r="I3046" s="205" t="str">
        <f t="shared" si="7"/>
        <v/>
      </c>
      <c r="J3046" s="205"/>
      <c r="K3046" s="205"/>
    </row>
    <row r="3047" ht="14.25" customHeight="1">
      <c r="A3047" s="55">
        <v>48702.0</v>
      </c>
      <c r="B3047" s="55" t="str">
        <f t="shared" si="10"/>
        <v>Primer dia</v>
      </c>
      <c r="C3047" s="202">
        <f t="shared" si="1"/>
        <v>3</v>
      </c>
      <c r="D3047" s="202" t="str">
        <f t="shared" si="2"/>
        <v> </v>
      </c>
      <c r="E3047" s="202" t="str">
        <f t="shared" si="9"/>
        <v> </v>
      </c>
      <c r="F3047" s="55" t="str">
        <f t="shared" si="4"/>
        <v/>
      </c>
      <c r="G3047" s="202" t="str">
        <f t="shared" si="5"/>
        <v/>
      </c>
      <c r="H3047" s="202" t="str">
        <f t="shared" si="11"/>
        <v> </v>
      </c>
      <c r="I3047" s="205" t="str">
        <f t="shared" si="7"/>
        <v/>
      </c>
      <c r="J3047" s="205"/>
      <c r="K3047" s="205"/>
    </row>
    <row r="3048" ht="14.25" customHeight="1">
      <c r="A3048" s="55">
        <v>48703.0</v>
      </c>
      <c r="B3048" s="55" t="str">
        <f t="shared" si="10"/>
        <v>Primer dia</v>
      </c>
      <c r="C3048" s="202">
        <f t="shared" si="1"/>
        <v>4</v>
      </c>
      <c r="D3048" s="202" t="str">
        <f t="shared" si="2"/>
        <v> </v>
      </c>
      <c r="E3048" s="202" t="str">
        <f t="shared" si="9"/>
        <v> </v>
      </c>
      <c r="F3048" s="55" t="str">
        <f t="shared" si="4"/>
        <v/>
      </c>
      <c r="G3048" s="202" t="str">
        <f t="shared" si="5"/>
        <v/>
      </c>
      <c r="H3048" s="202" t="str">
        <f t="shared" si="11"/>
        <v> </v>
      </c>
      <c r="I3048" s="205" t="str">
        <f t="shared" si="7"/>
        <v/>
      </c>
      <c r="J3048" s="205"/>
      <c r="K3048" s="205"/>
    </row>
    <row r="3049" ht="14.25" customHeight="1">
      <c r="A3049" s="55">
        <v>48704.0</v>
      </c>
      <c r="B3049" s="55" t="str">
        <f t="shared" si="10"/>
        <v>Primer dia</v>
      </c>
      <c r="C3049" s="202">
        <f t="shared" si="1"/>
        <v>5</v>
      </c>
      <c r="D3049" s="202" t="str">
        <f t="shared" si="2"/>
        <v> </v>
      </c>
      <c r="E3049" s="202" t="str">
        <f t="shared" si="9"/>
        <v> </v>
      </c>
      <c r="F3049" s="55" t="str">
        <f t="shared" si="4"/>
        <v/>
      </c>
      <c r="G3049" s="202" t="str">
        <f t="shared" si="5"/>
        <v/>
      </c>
      <c r="H3049" s="202" t="str">
        <f t="shared" si="11"/>
        <v> </v>
      </c>
      <c r="I3049" s="205" t="str">
        <f t="shared" si="7"/>
        <v/>
      </c>
      <c r="J3049" s="205"/>
      <c r="K3049" s="205"/>
    </row>
    <row r="3050" ht="14.25" customHeight="1">
      <c r="A3050" s="55">
        <v>48705.0</v>
      </c>
      <c r="B3050" s="55" t="str">
        <f t="shared" si="10"/>
        <v>Primer dia</v>
      </c>
      <c r="C3050" s="202">
        <f t="shared" si="1"/>
        <v>6</v>
      </c>
      <c r="D3050" s="202" t="str">
        <f t="shared" si="2"/>
        <v> </v>
      </c>
      <c r="E3050" s="202" t="str">
        <f t="shared" si="9"/>
        <v> </v>
      </c>
      <c r="F3050" s="55" t="str">
        <f t="shared" si="4"/>
        <v/>
      </c>
      <c r="G3050" s="202" t="str">
        <f t="shared" si="5"/>
        <v/>
      </c>
      <c r="H3050" s="202" t="str">
        <f t="shared" si="11"/>
        <v> </v>
      </c>
      <c r="I3050" s="205" t="str">
        <f t="shared" si="7"/>
        <v/>
      </c>
      <c r="J3050" s="205"/>
      <c r="K3050" s="205"/>
    </row>
    <row r="3051" ht="14.25" customHeight="1">
      <c r="A3051" s="55">
        <v>48706.0</v>
      </c>
      <c r="B3051" s="55" t="str">
        <f t="shared" si="10"/>
        <v>Primer dia</v>
      </c>
      <c r="C3051" s="202">
        <f t="shared" si="1"/>
        <v>7</v>
      </c>
      <c r="D3051" s="202" t="str">
        <f t="shared" si="2"/>
        <v> </v>
      </c>
      <c r="E3051" s="202" t="str">
        <f t="shared" si="9"/>
        <v> </v>
      </c>
      <c r="F3051" s="55" t="str">
        <f t="shared" si="4"/>
        <v/>
      </c>
      <c r="G3051" s="202" t="str">
        <f t="shared" si="5"/>
        <v/>
      </c>
      <c r="H3051" s="202" t="str">
        <f t="shared" si="11"/>
        <v> </v>
      </c>
      <c r="I3051" s="205" t="str">
        <f t="shared" si="7"/>
        <v/>
      </c>
      <c r="J3051" s="205"/>
      <c r="K3051" s="205"/>
    </row>
    <row r="3052" ht="14.25" customHeight="1">
      <c r="A3052" s="55">
        <v>48707.0</v>
      </c>
      <c r="B3052" s="55" t="str">
        <f t="shared" si="10"/>
        <v>Primer dia</v>
      </c>
      <c r="C3052" s="202">
        <f t="shared" si="1"/>
        <v>8</v>
      </c>
      <c r="D3052" s="202" t="str">
        <f t="shared" si="2"/>
        <v> </v>
      </c>
      <c r="E3052" s="202" t="str">
        <f t="shared" si="9"/>
        <v> </v>
      </c>
      <c r="F3052" s="55" t="str">
        <f t="shared" si="4"/>
        <v/>
      </c>
      <c r="G3052" s="202" t="str">
        <f t="shared" si="5"/>
        <v/>
      </c>
      <c r="H3052" s="202" t="str">
        <f t="shared" si="11"/>
        <v> </v>
      </c>
      <c r="I3052" s="205" t="str">
        <f t="shared" si="7"/>
        <v/>
      </c>
      <c r="J3052" s="205"/>
      <c r="K3052" s="205"/>
    </row>
    <row r="3053" ht="14.25" customHeight="1">
      <c r="A3053" s="55">
        <v>48708.0</v>
      </c>
      <c r="B3053" s="55" t="str">
        <f t="shared" si="10"/>
        <v>Primer dia</v>
      </c>
      <c r="C3053" s="202">
        <f t="shared" si="1"/>
        <v>9</v>
      </c>
      <c r="D3053" s="202" t="str">
        <f t="shared" si="2"/>
        <v> </v>
      </c>
      <c r="E3053" s="202" t="str">
        <f t="shared" si="9"/>
        <v> </v>
      </c>
      <c r="F3053" s="55" t="str">
        <f t="shared" si="4"/>
        <v/>
      </c>
      <c r="G3053" s="202" t="str">
        <f t="shared" si="5"/>
        <v/>
      </c>
      <c r="H3053" s="202" t="str">
        <f t="shared" si="11"/>
        <v> </v>
      </c>
      <c r="I3053" s="205" t="str">
        <f t="shared" si="7"/>
        <v/>
      </c>
      <c r="J3053" s="205"/>
      <c r="K3053" s="205"/>
    </row>
    <row r="3054" ht="14.25" customHeight="1">
      <c r="A3054" s="55">
        <v>48709.0</v>
      </c>
      <c r="B3054" s="55" t="str">
        <f t="shared" si="10"/>
        <v>Primer dia</v>
      </c>
      <c r="C3054" s="202">
        <f t="shared" si="1"/>
        <v>10</v>
      </c>
      <c r="D3054" s="202" t="str">
        <f t="shared" si="2"/>
        <v> </v>
      </c>
      <c r="E3054" s="202" t="str">
        <f t="shared" si="9"/>
        <v> </v>
      </c>
      <c r="F3054" s="55" t="str">
        <f t="shared" si="4"/>
        <v/>
      </c>
      <c r="G3054" s="202" t="str">
        <f t="shared" si="5"/>
        <v/>
      </c>
      <c r="H3054" s="202" t="str">
        <f t="shared" si="11"/>
        <v> </v>
      </c>
      <c r="I3054" s="205" t="str">
        <f t="shared" si="7"/>
        <v/>
      </c>
      <c r="J3054" s="205"/>
      <c r="K3054" s="205"/>
    </row>
    <row r="3055" ht="14.25" customHeight="1">
      <c r="A3055" s="55">
        <v>48710.0</v>
      </c>
      <c r="B3055" s="55" t="str">
        <f t="shared" si="10"/>
        <v>Primer dia</v>
      </c>
      <c r="C3055" s="202">
        <f t="shared" si="1"/>
        <v>11</v>
      </c>
      <c r="D3055" s="202" t="str">
        <f t="shared" si="2"/>
        <v> </v>
      </c>
      <c r="E3055" s="202" t="str">
        <f t="shared" si="9"/>
        <v> </v>
      </c>
      <c r="F3055" s="55" t="str">
        <f t="shared" si="4"/>
        <v/>
      </c>
      <c r="G3055" s="202" t="str">
        <f t="shared" si="5"/>
        <v/>
      </c>
      <c r="H3055" s="202" t="str">
        <f t="shared" si="11"/>
        <v> </v>
      </c>
      <c r="I3055" s="205" t="str">
        <f t="shared" si="7"/>
        <v/>
      </c>
      <c r="J3055" s="205"/>
      <c r="K3055" s="205"/>
    </row>
    <row r="3056" ht="14.25" customHeight="1">
      <c r="A3056" s="55">
        <v>48711.0</v>
      </c>
      <c r="B3056" s="55" t="str">
        <f t="shared" si="10"/>
        <v>Primer dia</v>
      </c>
      <c r="C3056" s="202">
        <f t="shared" si="1"/>
        <v>12</v>
      </c>
      <c r="D3056" s="202" t="str">
        <f t="shared" si="2"/>
        <v> </v>
      </c>
      <c r="E3056" s="202" t="str">
        <f t="shared" si="9"/>
        <v> </v>
      </c>
      <c r="F3056" s="55" t="str">
        <f t="shared" si="4"/>
        <v/>
      </c>
      <c r="G3056" s="202" t="str">
        <f t="shared" si="5"/>
        <v/>
      </c>
      <c r="H3056" s="202" t="str">
        <f t="shared" si="11"/>
        <v> </v>
      </c>
      <c r="I3056" s="205" t="str">
        <f t="shared" si="7"/>
        <v/>
      </c>
      <c r="J3056" s="205"/>
      <c r="K3056" s="205"/>
    </row>
    <row r="3057" ht="14.25" customHeight="1">
      <c r="A3057" s="55">
        <v>48712.0</v>
      </c>
      <c r="B3057" s="55" t="str">
        <f t="shared" si="10"/>
        <v>Primer dia</v>
      </c>
      <c r="C3057" s="202">
        <f t="shared" si="1"/>
        <v>13</v>
      </c>
      <c r="D3057" s="202" t="str">
        <f t="shared" si="2"/>
        <v> </v>
      </c>
      <c r="E3057" s="202" t="str">
        <f t="shared" si="9"/>
        <v> </v>
      </c>
      <c r="F3057" s="55" t="str">
        <f t="shared" si="4"/>
        <v/>
      </c>
      <c r="G3057" s="202" t="str">
        <f t="shared" si="5"/>
        <v/>
      </c>
      <c r="H3057" s="202" t="str">
        <f t="shared" si="11"/>
        <v> </v>
      </c>
      <c r="I3057" s="205" t="str">
        <f t="shared" si="7"/>
        <v/>
      </c>
      <c r="J3057" s="205"/>
      <c r="K3057" s="205"/>
    </row>
    <row r="3058" ht="14.25" customHeight="1">
      <c r="A3058" s="55">
        <v>48713.0</v>
      </c>
      <c r="B3058" s="55" t="str">
        <f t="shared" si="10"/>
        <v>Primer dia</v>
      </c>
      <c r="C3058" s="202">
        <f t="shared" si="1"/>
        <v>14</v>
      </c>
      <c r="D3058" s="202" t="str">
        <f t="shared" si="2"/>
        <v> </v>
      </c>
      <c r="E3058" s="202" t="str">
        <f t="shared" si="9"/>
        <v> </v>
      </c>
      <c r="F3058" s="55" t="str">
        <f t="shared" si="4"/>
        <v/>
      </c>
      <c r="G3058" s="202" t="str">
        <f t="shared" si="5"/>
        <v/>
      </c>
      <c r="H3058" s="202" t="str">
        <f t="shared" si="11"/>
        <v> </v>
      </c>
      <c r="I3058" s="205" t="str">
        <f t="shared" si="7"/>
        <v/>
      </c>
      <c r="J3058" s="205"/>
      <c r="K3058" s="205"/>
    </row>
    <row r="3059" ht="14.25" customHeight="1">
      <c r="A3059" s="55">
        <v>48714.0</v>
      </c>
      <c r="B3059" s="55" t="str">
        <f t="shared" si="10"/>
        <v>Primer dia</v>
      </c>
      <c r="C3059" s="202">
        <f t="shared" si="1"/>
        <v>15</v>
      </c>
      <c r="D3059" s="202" t="str">
        <f t="shared" si="2"/>
        <v> </v>
      </c>
      <c r="E3059" s="202" t="str">
        <f t="shared" si="9"/>
        <v> </v>
      </c>
      <c r="F3059" s="55" t="str">
        <f t="shared" si="4"/>
        <v/>
      </c>
      <c r="G3059" s="202" t="str">
        <f t="shared" si="5"/>
        <v/>
      </c>
      <c r="H3059" s="202" t="str">
        <f t="shared" si="11"/>
        <v> </v>
      </c>
      <c r="I3059" s="205" t="str">
        <f t="shared" si="7"/>
        <v/>
      </c>
      <c r="J3059" s="205"/>
      <c r="K3059" s="205"/>
    </row>
    <row r="3060" ht="14.25" customHeight="1">
      <c r="A3060" s="55">
        <v>48715.0</v>
      </c>
      <c r="B3060" s="55" t="str">
        <f t="shared" si="10"/>
        <v>Primer dia</v>
      </c>
      <c r="C3060" s="202">
        <f t="shared" si="1"/>
        <v>16</v>
      </c>
      <c r="D3060" s="202" t="str">
        <f t="shared" si="2"/>
        <v> </v>
      </c>
      <c r="E3060" s="202" t="str">
        <f t="shared" si="9"/>
        <v> </v>
      </c>
      <c r="F3060" s="55" t="str">
        <f t="shared" si="4"/>
        <v/>
      </c>
      <c r="G3060" s="202" t="str">
        <f t="shared" si="5"/>
        <v/>
      </c>
      <c r="H3060" s="202" t="str">
        <f t="shared" si="11"/>
        <v> </v>
      </c>
      <c r="I3060" s="205" t="str">
        <f t="shared" si="7"/>
        <v/>
      </c>
      <c r="J3060" s="205"/>
      <c r="K3060" s="205"/>
    </row>
    <row r="3061" ht="14.25" customHeight="1">
      <c r="A3061" s="55">
        <v>48716.0</v>
      </c>
      <c r="B3061" s="55" t="str">
        <f t="shared" si="10"/>
        <v>Primer dia</v>
      </c>
      <c r="C3061" s="202">
        <f t="shared" si="1"/>
        <v>17</v>
      </c>
      <c r="D3061" s="202" t="str">
        <f t="shared" si="2"/>
        <v> </v>
      </c>
      <c r="E3061" s="202">
        <f t="shared" si="9"/>
        <v>17</v>
      </c>
      <c r="F3061" s="55">
        <f t="shared" si="4"/>
        <v>48716</v>
      </c>
      <c r="G3061" s="202">
        <f t="shared" si="5"/>
        <v>176</v>
      </c>
      <c r="H3061" s="202" t="str">
        <f t="shared" si="11"/>
        <v> </v>
      </c>
      <c r="I3061" s="205" t="str">
        <f t="shared" si="7"/>
        <v/>
      </c>
      <c r="J3061" s="205"/>
      <c r="K3061" s="205"/>
    </row>
    <row r="3062" ht="14.25" customHeight="1">
      <c r="A3062" s="55">
        <v>48717.0</v>
      </c>
      <c r="B3062" s="55" t="str">
        <f t="shared" si="10"/>
        <v>Primer dia</v>
      </c>
      <c r="C3062" s="202">
        <f t="shared" si="1"/>
        <v>18</v>
      </c>
      <c r="D3062" s="202" t="str">
        <f t="shared" si="2"/>
        <v> </v>
      </c>
      <c r="E3062" s="202" t="str">
        <f t="shared" si="9"/>
        <v> </v>
      </c>
      <c r="F3062" s="55" t="str">
        <f t="shared" si="4"/>
        <v/>
      </c>
      <c r="G3062" s="202" t="str">
        <f t="shared" si="5"/>
        <v/>
      </c>
      <c r="H3062" s="202" t="str">
        <f t="shared" si="11"/>
        <v> </v>
      </c>
      <c r="I3062" s="205" t="str">
        <f t="shared" si="7"/>
        <v/>
      </c>
      <c r="J3062" s="205"/>
      <c r="K3062" s="205"/>
    </row>
    <row r="3063" ht="14.25" customHeight="1">
      <c r="A3063" s="55">
        <v>48718.0</v>
      </c>
      <c r="B3063" s="55" t="str">
        <f t="shared" si="10"/>
        <v>Primer dia</v>
      </c>
      <c r="C3063" s="202">
        <f t="shared" si="1"/>
        <v>19</v>
      </c>
      <c r="D3063" s="202" t="str">
        <f t="shared" si="2"/>
        <v> </v>
      </c>
      <c r="E3063" s="202" t="str">
        <f t="shared" si="9"/>
        <v> </v>
      </c>
      <c r="F3063" s="55" t="str">
        <f t="shared" si="4"/>
        <v/>
      </c>
      <c r="G3063" s="202" t="str">
        <f t="shared" si="5"/>
        <v/>
      </c>
      <c r="H3063" s="202" t="str">
        <f t="shared" si="11"/>
        <v> </v>
      </c>
      <c r="I3063" s="205" t="str">
        <f t="shared" si="7"/>
        <v/>
      </c>
      <c r="J3063" s="205"/>
      <c r="K3063" s="205"/>
    </row>
    <row r="3064" ht="14.25" customHeight="1">
      <c r="A3064" s="55">
        <v>48719.0</v>
      </c>
      <c r="B3064" s="55" t="str">
        <f t="shared" si="10"/>
        <v>Primer dia</v>
      </c>
      <c r="C3064" s="202">
        <f t="shared" si="1"/>
        <v>20</v>
      </c>
      <c r="D3064" s="202" t="str">
        <f t="shared" si="2"/>
        <v> </v>
      </c>
      <c r="E3064" s="202" t="str">
        <f t="shared" si="9"/>
        <v> </v>
      </c>
      <c r="F3064" s="55" t="str">
        <f t="shared" si="4"/>
        <v/>
      </c>
      <c r="G3064" s="202" t="str">
        <f t="shared" si="5"/>
        <v/>
      </c>
      <c r="H3064" s="202" t="str">
        <f t="shared" si="11"/>
        <v> </v>
      </c>
      <c r="I3064" s="205" t="str">
        <f t="shared" si="7"/>
        <v/>
      </c>
      <c r="J3064" s="205"/>
      <c r="K3064" s="205"/>
    </row>
    <row r="3065" ht="14.25" customHeight="1">
      <c r="A3065" s="55">
        <v>48720.0</v>
      </c>
      <c r="B3065" s="55" t="str">
        <f t="shared" si="10"/>
        <v>Primer dia</v>
      </c>
      <c r="C3065" s="202">
        <f t="shared" si="1"/>
        <v>21</v>
      </c>
      <c r="D3065" s="202" t="str">
        <f t="shared" si="2"/>
        <v> </v>
      </c>
      <c r="E3065" s="202" t="str">
        <f t="shared" si="9"/>
        <v> </v>
      </c>
      <c r="F3065" s="55" t="str">
        <f t="shared" si="4"/>
        <v/>
      </c>
      <c r="G3065" s="202" t="str">
        <f t="shared" si="5"/>
        <v/>
      </c>
      <c r="H3065" s="202" t="str">
        <f t="shared" si="11"/>
        <v> </v>
      </c>
      <c r="I3065" s="205" t="str">
        <f t="shared" si="7"/>
        <v/>
      </c>
      <c r="J3065" s="205"/>
      <c r="K3065" s="205"/>
    </row>
    <row r="3066" ht="14.25" customHeight="1">
      <c r="A3066" s="55">
        <v>48721.0</v>
      </c>
      <c r="B3066" s="55" t="str">
        <f t="shared" si="10"/>
        <v>Primer dia</v>
      </c>
      <c r="C3066" s="202">
        <f t="shared" si="1"/>
        <v>22</v>
      </c>
      <c r="D3066" s="202" t="str">
        <f t="shared" si="2"/>
        <v> </v>
      </c>
      <c r="E3066" s="202" t="str">
        <f t="shared" si="9"/>
        <v> </v>
      </c>
      <c r="F3066" s="55" t="str">
        <f t="shared" si="4"/>
        <v/>
      </c>
      <c r="G3066" s="202" t="str">
        <f t="shared" si="5"/>
        <v/>
      </c>
      <c r="H3066" s="202" t="str">
        <f t="shared" si="11"/>
        <v> </v>
      </c>
      <c r="I3066" s="205" t="str">
        <f t="shared" si="7"/>
        <v/>
      </c>
      <c r="J3066" s="205"/>
      <c r="K3066" s="205"/>
    </row>
    <row r="3067" ht="14.25" customHeight="1">
      <c r="A3067" s="55">
        <v>48722.0</v>
      </c>
      <c r="B3067" s="55" t="str">
        <f t="shared" si="10"/>
        <v>Primer dia</v>
      </c>
      <c r="C3067" s="202">
        <f t="shared" si="1"/>
        <v>23</v>
      </c>
      <c r="D3067" s="202" t="str">
        <f t="shared" si="2"/>
        <v> </v>
      </c>
      <c r="E3067" s="202" t="str">
        <f t="shared" si="9"/>
        <v> </v>
      </c>
      <c r="F3067" s="55" t="str">
        <f t="shared" si="4"/>
        <v/>
      </c>
      <c r="G3067" s="202" t="str">
        <f t="shared" si="5"/>
        <v/>
      </c>
      <c r="H3067" s="202" t="str">
        <f t="shared" si="11"/>
        <v> </v>
      </c>
      <c r="I3067" s="205" t="str">
        <f t="shared" si="7"/>
        <v/>
      </c>
      <c r="J3067" s="205"/>
      <c r="K3067" s="205"/>
    </row>
    <row r="3068" ht="14.25" customHeight="1">
      <c r="A3068" s="55">
        <v>48723.0</v>
      </c>
      <c r="B3068" s="55" t="str">
        <f t="shared" si="10"/>
        <v>Primer dia</v>
      </c>
      <c r="C3068" s="202">
        <f t="shared" si="1"/>
        <v>24</v>
      </c>
      <c r="D3068" s="202" t="str">
        <f t="shared" si="2"/>
        <v> </v>
      </c>
      <c r="E3068" s="202" t="str">
        <f t="shared" si="9"/>
        <v> </v>
      </c>
      <c r="F3068" s="55" t="str">
        <f t="shared" si="4"/>
        <v/>
      </c>
      <c r="G3068" s="202" t="str">
        <f t="shared" si="5"/>
        <v/>
      </c>
      <c r="H3068" s="202" t="str">
        <f t="shared" si="11"/>
        <v> </v>
      </c>
      <c r="I3068" s="205" t="str">
        <f t="shared" si="7"/>
        <v/>
      </c>
      <c r="J3068" s="205"/>
      <c r="K3068" s="205"/>
    </row>
    <row r="3069" ht="14.25" customHeight="1">
      <c r="A3069" s="55">
        <v>48724.0</v>
      </c>
      <c r="B3069" s="55" t="str">
        <f t="shared" si="10"/>
        <v>Primer dia</v>
      </c>
      <c r="C3069" s="202">
        <f t="shared" si="1"/>
        <v>25</v>
      </c>
      <c r="D3069" s="202" t="str">
        <f t="shared" si="2"/>
        <v> </v>
      </c>
      <c r="E3069" s="202" t="str">
        <f t="shared" si="9"/>
        <v> </v>
      </c>
      <c r="F3069" s="55" t="str">
        <f t="shared" si="4"/>
        <v/>
      </c>
      <c r="G3069" s="202" t="str">
        <f t="shared" si="5"/>
        <v/>
      </c>
      <c r="H3069" s="202" t="str">
        <f t="shared" si="11"/>
        <v> </v>
      </c>
      <c r="I3069" s="205" t="str">
        <f t="shared" si="7"/>
        <v/>
      </c>
      <c r="J3069" s="205"/>
      <c r="K3069" s="205"/>
    </row>
    <row r="3070" ht="14.25" customHeight="1">
      <c r="A3070" s="55">
        <v>48725.0</v>
      </c>
      <c r="B3070" s="55" t="str">
        <f t="shared" si="10"/>
        <v>Primer dia</v>
      </c>
      <c r="C3070" s="202">
        <f t="shared" si="1"/>
        <v>26</v>
      </c>
      <c r="D3070" s="202" t="str">
        <f t="shared" si="2"/>
        <v> </v>
      </c>
      <c r="E3070" s="202" t="str">
        <f t="shared" si="9"/>
        <v> </v>
      </c>
      <c r="F3070" s="55" t="str">
        <f t="shared" si="4"/>
        <v/>
      </c>
      <c r="G3070" s="202" t="str">
        <f t="shared" si="5"/>
        <v/>
      </c>
      <c r="H3070" s="202" t="str">
        <f t="shared" si="11"/>
        <v> </v>
      </c>
      <c r="I3070" s="205" t="str">
        <f t="shared" si="7"/>
        <v/>
      </c>
      <c r="J3070" s="205"/>
      <c r="K3070" s="205"/>
    </row>
    <row r="3071" ht="14.25" customHeight="1">
      <c r="A3071" s="55">
        <v>48726.0</v>
      </c>
      <c r="B3071" s="55" t="str">
        <f t="shared" si="10"/>
        <v>Primer dia</v>
      </c>
      <c r="C3071" s="202">
        <f t="shared" si="1"/>
        <v>27</v>
      </c>
      <c r="D3071" s="202" t="str">
        <f t="shared" si="2"/>
        <v> </v>
      </c>
      <c r="E3071" s="202" t="str">
        <f t="shared" si="9"/>
        <v> </v>
      </c>
      <c r="F3071" s="55" t="str">
        <f t="shared" si="4"/>
        <v/>
      </c>
      <c r="G3071" s="202" t="str">
        <f t="shared" si="5"/>
        <v/>
      </c>
      <c r="H3071" s="202" t="str">
        <f t="shared" si="11"/>
        <v> </v>
      </c>
      <c r="I3071" s="205" t="str">
        <f t="shared" si="7"/>
        <v/>
      </c>
      <c r="J3071" s="205"/>
      <c r="K3071" s="205"/>
    </row>
    <row r="3072" ht="14.25" customHeight="1">
      <c r="A3072" s="55">
        <v>48727.0</v>
      </c>
      <c r="B3072" s="55" t="str">
        <f t="shared" si="10"/>
        <v>Primer dia</v>
      </c>
      <c r="C3072" s="202">
        <f t="shared" si="1"/>
        <v>28</v>
      </c>
      <c r="D3072" s="202" t="str">
        <f t="shared" si="2"/>
        <v> </v>
      </c>
      <c r="E3072" s="202" t="str">
        <f t="shared" si="9"/>
        <v> </v>
      </c>
      <c r="F3072" s="55" t="str">
        <f t="shared" si="4"/>
        <v/>
      </c>
      <c r="G3072" s="202" t="str">
        <f t="shared" si="5"/>
        <v/>
      </c>
      <c r="H3072" s="202" t="str">
        <f t="shared" si="11"/>
        <v> </v>
      </c>
      <c r="I3072" s="205" t="str">
        <f t="shared" si="7"/>
        <v/>
      </c>
      <c r="J3072" s="205"/>
      <c r="K3072" s="205"/>
    </row>
    <row r="3073" ht="14.25" customHeight="1">
      <c r="A3073" s="55">
        <v>48728.0</v>
      </c>
      <c r="B3073" s="55" t="str">
        <f t="shared" si="10"/>
        <v>Primer dia</v>
      </c>
      <c r="C3073" s="202">
        <f t="shared" si="1"/>
        <v>29</v>
      </c>
      <c r="D3073" s="202" t="str">
        <f t="shared" si="2"/>
        <v> </v>
      </c>
      <c r="E3073" s="202" t="str">
        <f t="shared" si="9"/>
        <v> </v>
      </c>
      <c r="F3073" s="55" t="str">
        <f t="shared" si="4"/>
        <v/>
      </c>
      <c r="G3073" s="202" t="str">
        <f t="shared" si="5"/>
        <v/>
      </c>
      <c r="H3073" s="202" t="str">
        <f t="shared" si="11"/>
        <v> </v>
      </c>
      <c r="I3073" s="205" t="str">
        <f t="shared" si="7"/>
        <v/>
      </c>
      <c r="J3073" s="205"/>
      <c r="K3073" s="205"/>
    </row>
    <row r="3074" ht="14.25" customHeight="1">
      <c r="A3074" s="55">
        <v>48729.0</v>
      </c>
      <c r="B3074" s="55" t="str">
        <f t="shared" si="10"/>
        <v>Primer dia</v>
      </c>
      <c r="C3074" s="202">
        <f t="shared" si="1"/>
        <v>30</v>
      </c>
      <c r="D3074" s="202" t="str">
        <f t="shared" si="2"/>
        <v> </v>
      </c>
      <c r="E3074" s="202" t="str">
        <f t="shared" si="9"/>
        <v> </v>
      </c>
      <c r="F3074" s="55" t="str">
        <f t="shared" si="4"/>
        <v/>
      </c>
      <c r="G3074" s="202" t="str">
        <f t="shared" si="5"/>
        <v/>
      </c>
      <c r="H3074" s="202" t="str">
        <f t="shared" si="11"/>
        <v> </v>
      </c>
      <c r="I3074" s="205" t="str">
        <f t="shared" si="7"/>
        <v/>
      </c>
      <c r="J3074" s="205"/>
      <c r="K3074" s="205"/>
    </row>
    <row r="3075" ht="14.25" customHeight="1">
      <c r="A3075" s="55">
        <v>48730.0</v>
      </c>
      <c r="B3075" s="55" t="str">
        <f t="shared" si="10"/>
        <v>Primer dia</v>
      </c>
      <c r="C3075" s="202">
        <f t="shared" si="1"/>
        <v>31</v>
      </c>
      <c r="D3075" s="202" t="str">
        <f t="shared" si="2"/>
        <v> </v>
      </c>
      <c r="E3075" s="202" t="str">
        <f t="shared" si="9"/>
        <v> </v>
      </c>
      <c r="F3075" s="55" t="str">
        <f t="shared" si="4"/>
        <v/>
      </c>
      <c r="G3075" s="202" t="str">
        <f t="shared" si="5"/>
        <v/>
      </c>
      <c r="H3075" s="202" t="str">
        <f t="shared" si="11"/>
        <v> </v>
      </c>
      <c r="I3075" s="205" t="str">
        <f t="shared" si="7"/>
        <v/>
      </c>
      <c r="J3075" s="205"/>
      <c r="K3075" s="205"/>
    </row>
    <row r="3076" ht="14.25" customHeight="1">
      <c r="A3076" s="55">
        <v>48731.0</v>
      </c>
      <c r="B3076" s="55" t="str">
        <f t="shared" si="10"/>
        <v>Primer dia</v>
      </c>
      <c r="C3076" s="202">
        <f t="shared" si="1"/>
        <v>1</v>
      </c>
      <c r="D3076" s="202" t="str">
        <f t="shared" si="2"/>
        <v> </v>
      </c>
      <c r="E3076" s="202" t="str">
        <f t="shared" si="9"/>
        <v> </v>
      </c>
      <c r="F3076" s="55" t="str">
        <f t="shared" si="4"/>
        <v/>
      </c>
      <c r="G3076" s="202" t="str">
        <f t="shared" si="5"/>
        <v/>
      </c>
      <c r="H3076" s="202" t="str">
        <f t="shared" si="11"/>
        <v> </v>
      </c>
      <c r="I3076" s="205" t="str">
        <f t="shared" si="7"/>
        <v/>
      </c>
      <c r="J3076" s="205"/>
      <c r="K3076" s="205"/>
    </row>
    <row r="3077" ht="14.25" customHeight="1">
      <c r="A3077" s="55">
        <v>48732.0</v>
      </c>
      <c r="B3077" s="55" t="str">
        <f t="shared" si="10"/>
        <v>Primer dia</v>
      </c>
      <c r="C3077" s="202">
        <f t="shared" si="1"/>
        <v>2</v>
      </c>
      <c r="D3077" s="202" t="str">
        <f t="shared" si="2"/>
        <v> </v>
      </c>
      <c r="E3077" s="202">
        <f t="shared" si="9"/>
        <v>2</v>
      </c>
      <c r="F3077" s="55">
        <f t="shared" si="4"/>
        <v>48732</v>
      </c>
      <c r="G3077" s="202">
        <f t="shared" si="5"/>
        <v>177</v>
      </c>
      <c r="H3077" s="202" t="str">
        <f t="shared" si="11"/>
        <v> </v>
      </c>
      <c r="I3077" s="205" t="str">
        <f t="shared" si="7"/>
        <v/>
      </c>
      <c r="J3077" s="205"/>
      <c r="K3077" s="205"/>
    </row>
    <row r="3078" ht="14.25" customHeight="1">
      <c r="A3078" s="55">
        <v>48733.0</v>
      </c>
      <c r="B3078" s="55" t="str">
        <f t="shared" si="10"/>
        <v>Primer dia</v>
      </c>
      <c r="C3078" s="202">
        <f t="shared" si="1"/>
        <v>3</v>
      </c>
      <c r="D3078" s="202" t="str">
        <f t="shared" si="2"/>
        <v> </v>
      </c>
      <c r="E3078" s="202" t="str">
        <f t="shared" si="9"/>
        <v> </v>
      </c>
      <c r="F3078" s="55" t="str">
        <f t="shared" si="4"/>
        <v/>
      </c>
      <c r="G3078" s="202" t="str">
        <f t="shared" si="5"/>
        <v/>
      </c>
      <c r="H3078" s="202" t="str">
        <f t="shared" si="11"/>
        <v> </v>
      </c>
      <c r="I3078" s="205" t="str">
        <f t="shared" si="7"/>
        <v/>
      </c>
      <c r="J3078" s="205"/>
      <c r="K3078" s="205"/>
    </row>
    <row r="3079" ht="14.25" customHeight="1">
      <c r="A3079" s="55">
        <v>48734.0</v>
      </c>
      <c r="B3079" s="55" t="str">
        <f t="shared" si="10"/>
        <v>Primer dia</v>
      </c>
      <c r="C3079" s="202">
        <f t="shared" si="1"/>
        <v>4</v>
      </c>
      <c r="D3079" s="202" t="str">
        <f t="shared" si="2"/>
        <v> </v>
      </c>
      <c r="E3079" s="202" t="str">
        <f t="shared" si="9"/>
        <v> </v>
      </c>
      <c r="F3079" s="55" t="str">
        <f t="shared" si="4"/>
        <v/>
      </c>
      <c r="G3079" s="202" t="str">
        <f t="shared" si="5"/>
        <v/>
      </c>
      <c r="H3079" s="202" t="str">
        <f t="shared" si="11"/>
        <v> </v>
      </c>
      <c r="I3079" s="205" t="str">
        <f t="shared" si="7"/>
        <v/>
      </c>
      <c r="J3079" s="205"/>
      <c r="K3079" s="205"/>
    </row>
    <row r="3080" ht="14.25" customHeight="1">
      <c r="A3080" s="55">
        <v>48735.0</v>
      </c>
      <c r="B3080" s="55" t="str">
        <f t="shared" si="10"/>
        <v>Primer dia</v>
      </c>
      <c r="C3080" s="202">
        <f t="shared" si="1"/>
        <v>5</v>
      </c>
      <c r="D3080" s="202" t="str">
        <f t="shared" si="2"/>
        <v> </v>
      </c>
      <c r="E3080" s="202" t="str">
        <f t="shared" si="9"/>
        <v> </v>
      </c>
      <c r="F3080" s="55" t="str">
        <f t="shared" si="4"/>
        <v/>
      </c>
      <c r="G3080" s="202" t="str">
        <f t="shared" si="5"/>
        <v/>
      </c>
      <c r="H3080" s="202" t="str">
        <f t="shared" si="11"/>
        <v> </v>
      </c>
      <c r="I3080" s="205" t="str">
        <f t="shared" si="7"/>
        <v/>
      </c>
      <c r="J3080" s="205"/>
      <c r="K3080" s="205"/>
    </row>
    <row r="3081" ht="14.25" customHeight="1">
      <c r="A3081" s="55">
        <v>48736.0</v>
      </c>
      <c r="B3081" s="55" t="str">
        <f t="shared" si="10"/>
        <v>Primer dia</v>
      </c>
      <c r="C3081" s="202">
        <f t="shared" si="1"/>
        <v>6</v>
      </c>
      <c r="D3081" s="202" t="str">
        <f t="shared" si="2"/>
        <v> </v>
      </c>
      <c r="E3081" s="202" t="str">
        <f t="shared" si="9"/>
        <v> </v>
      </c>
      <c r="F3081" s="55" t="str">
        <f t="shared" si="4"/>
        <v/>
      </c>
      <c r="G3081" s="202" t="str">
        <f t="shared" si="5"/>
        <v/>
      </c>
      <c r="H3081" s="202" t="str">
        <f t="shared" si="11"/>
        <v> </v>
      </c>
      <c r="I3081" s="205" t="str">
        <f t="shared" si="7"/>
        <v/>
      </c>
      <c r="J3081" s="205"/>
      <c r="K3081" s="205"/>
    </row>
    <row r="3082" ht="14.25" customHeight="1">
      <c r="A3082" s="55">
        <v>48737.0</v>
      </c>
      <c r="B3082" s="55" t="str">
        <f t="shared" si="10"/>
        <v>Primer dia</v>
      </c>
      <c r="C3082" s="202">
        <f t="shared" si="1"/>
        <v>7</v>
      </c>
      <c r="D3082" s="202" t="str">
        <f t="shared" si="2"/>
        <v> </v>
      </c>
      <c r="E3082" s="202" t="str">
        <f t="shared" si="9"/>
        <v> </v>
      </c>
      <c r="F3082" s="55" t="str">
        <f t="shared" si="4"/>
        <v/>
      </c>
      <c r="G3082" s="202" t="str">
        <f t="shared" si="5"/>
        <v/>
      </c>
      <c r="H3082" s="202" t="str">
        <f t="shared" si="11"/>
        <v> </v>
      </c>
      <c r="I3082" s="205" t="str">
        <f t="shared" si="7"/>
        <v/>
      </c>
      <c r="J3082" s="205"/>
      <c r="K3082" s="205"/>
    </row>
    <row r="3083" ht="14.25" customHeight="1">
      <c r="A3083" s="55">
        <v>48738.0</v>
      </c>
      <c r="B3083" s="55" t="str">
        <f t="shared" si="10"/>
        <v>Primer dia</v>
      </c>
      <c r="C3083" s="202">
        <f t="shared" si="1"/>
        <v>8</v>
      </c>
      <c r="D3083" s="202" t="str">
        <f t="shared" si="2"/>
        <v> </v>
      </c>
      <c r="E3083" s="202" t="str">
        <f t="shared" si="9"/>
        <v> </v>
      </c>
      <c r="F3083" s="55" t="str">
        <f t="shared" si="4"/>
        <v/>
      </c>
      <c r="G3083" s="202" t="str">
        <f t="shared" si="5"/>
        <v/>
      </c>
      <c r="H3083" s="202" t="str">
        <f t="shared" si="11"/>
        <v> </v>
      </c>
      <c r="I3083" s="205" t="str">
        <f t="shared" si="7"/>
        <v/>
      </c>
      <c r="J3083" s="205"/>
      <c r="K3083" s="205"/>
    </row>
    <row r="3084" ht="14.25" customHeight="1">
      <c r="A3084" s="55">
        <v>48739.0</v>
      </c>
      <c r="B3084" s="55" t="str">
        <f t="shared" si="10"/>
        <v>Primer dia</v>
      </c>
      <c r="C3084" s="202">
        <f t="shared" si="1"/>
        <v>9</v>
      </c>
      <c r="D3084" s="202" t="str">
        <f t="shared" si="2"/>
        <v> </v>
      </c>
      <c r="E3084" s="202" t="str">
        <f t="shared" si="9"/>
        <v> </v>
      </c>
      <c r="F3084" s="55" t="str">
        <f t="shared" si="4"/>
        <v/>
      </c>
      <c r="G3084" s="202" t="str">
        <f t="shared" si="5"/>
        <v/>
      </c>
      <c r="H3084" s="202" t="str">
        <f t="shared" si="11"/>
        <v> </v>
      </c>
      <c r="I3084" s="205" t="str">
        <f t="shared" si="7"/>
        <v/>
      </c>
      <c r="J3084" s="205"/>
      <c r="K3084" s="205"/>
    </row>
    <row r="3085" ht="14.25" customHeight="1">
      <c r="A3085" s="55">
        <v>48740.0</v>
      </c>
      <c r="B3085" s="55" t="str">
        <f t="shared" si="10"/>
        <v>Primer dia</v>
      </c>
      <c r="C3085" s="202">
        <f t="shared" si="1"/>
        <v>10</v>
      </c>
      <c r="D3085" s="202" t="str">
        <f t="shared" si="2"/>
        <v> </v>
      </c>
      <c r="E3085" s="202" t="str">
        <f t="shared" si="9"/>
        <v> </v>
      </c>
      <c r="F3085" s="55" t="str">
        <f t="shared" si="4"/>
        <v/>
      </c>
      <c r="G3085" s="202" t="str">
        <f t="shared" si="5"/>
        <v/>
      </c>
      <c r="H3085" s="202" t="str">
        <f t="shared" si="11"/>
        <v> </v>
      </c>
      <c r="I3085" s="205" t="str">
        <f t="shared" si="7"/>
        <v/>
      </c>
      <c r="J3085" s="205"/>
      <c r="K3085" s="205"/>
    </row>
    <row r="3086" ht="14.25" customHeight="1">
      <c r="A3086" s="55">
        <v>48741.0</v>
      </c>
      <c r="B3086" s="55" t="str">
        <f t="shared" si="10"/>
        <v>Primer dia</v>
      </c>
      <c r="C3086" s="202">
        <f t="shared" si="1"/>
        <v>11</v>
      </c>
      <c r="D3086" s="202" t="str">
        <f t="shared" si="2"/>
        <v> </v>
      </c>
      <c r="E3086" s="202" t="str">
        <f t="shared" si="9"/>
        <v> </v>
      </c>
      <c r="F3086" s="55" t="str">
        <f t="shared" si="4"/>
        <v/>
      </c>
      <c r="G3086" s="202" t="str">
        <f t="shared" si="5"/>
        <v/>
      </c>
      <c r="H3086" s="202" t="str">
        <f t="shared" si="11"/>
        <v> </v>
      </c>
      <c r="I3086" s="205" t="str">
        <f t="shared" si="7"/>
        <v/>
      </c>
      <c r="J3086" s="205"/>
      <c r="K3086" s="205"/>
    </row>
    <row r="3087" ht="14.25" customHeight="1">
      <c r="A3087" s="55">
        <v>48742.0</v>
      </c>
      <c r="B3087" s="55" t="str">
        <f t="shared" si="10"/>
        <v>Primer dia</v>
      </c>
      <c r="C3087" s="202">
        <f t="shared" si="1"/>
        <v>12</v>
      </c>
      <c r="D3087" s="202" t="str">
        <f t="shared" si="2"/>
        <v> </v>
      </c>
      <c r="E3087" s="202" t="str">
        <f t="shared" si="9"/>
        <v> </v>
      </c>
      <c r="F3087" s="55" t="str">
        <f t="shared" si="4"/>
        <v/>
      </c>
      <c r="G3087" s="202" t="str">
        <f t="shared" si="5"/>
        <v/>
      </c>
      <c r="H3087" s="202" t="str">
        <f t="shared" si="11"/>
        <v> </v>
      </c>
      <c r="I3087" s="205" t="str">
        <f t="shared" si="7"/>
        <v/>
      </c>
      <c r="J3087" s="205"/>
      <c r="K3087" s="205"/>
    </row>
    <row r="3088" ht="14.25" customHeight="1">
      <c r="A3088" s="55">
        <v>48743.0</v>
      </c>
      <c r="B3088" s="55" t="str">
        <f t="shared" si="10"/>
        <v>Primer dia</v>
      </c>
      <c r="C3088" s="202">
        <f t="shared" si="1"/>
        <v>13</v>
      </c>
      <c r="D3088" s="202" t="str">
        <f t="shared" si="2"/>
        <v> </v>
      </c>
      <c r="E3088" s="202" t="str">
        <f t="shared" si="9"/>
        <v> </v>
      </c>
      <c r="F3088" s="55" t="str">
        <f t="shared" si="4"/>
        <v/>
      </c>
      <c r="G3088" s="202" t="str">
        <f t="shared" si="5"/>
        <v/>
      </c>
      <c r="H3088" s="202" t="str">
        <f t="shared" si="11"/>
        <v> </v>
      </c>
      <c r="I3088" s="205" t="str">
        <f t="shared" si="7"/>
        <v/>
      </c>
      <c r="J3088" s="205"/>
      <c r="K3088" s="205"/>
    </row>
    <row r="3089" ht="14.25" customHeight="1">
      <c r="A3089" s="55">
        <v>48744.0</v>
      </c>
      <c r="B3089" s="55" t="str">
        <f t="shared" si="10"/>
        <v>Primer dia</v>
      </c>
      <c r="C3089" s="202">
        <f t="shared" si="1"/>
        <v>14</v>
      </c>
      <c r="D3089" s="202" t="str">
        <f t="shared" si="2"/>
        <v> </v>
      </c>
      <c r="E3089" s="202" t="str">
        <f t="shared" si="9"/>
        <v> </v>
      </c>
      <c r="F3089" s="55" t="str">
        <f t="shared" si="4"/>
        <v/>
      </c>
      <c r="G3089" s="202" t="str">
        <f t="shared" si="5"/>
        <v/>
      </c>
      <c r="H3089" s="202" t="str">
        <f t="shared" si="11"/>
        <v> </v>
      </c>
      <c r="I3089" s="205" t="str">
        <f t="shared" si="7"/>
        <v/>
      </c>
      <c r="J3089" s="205"/>
      <c r="K3089" s="205"/>
    </row>
    <row r="3090" ht="14.25" customHeight="1">
      <c r="A3090" s="55">
        <v>48745.0</v>
      </c>
      <c r="B3090" s="55" t="str">
        <f t="shared" si="10"/>
        <v>Primer dia</v>
      </c>
      <c r="C3090" s="202">
        <f t="shared" si="1"/>
        <v>15</v>
      </c>
      <c r="D3090" s="202" t="str">
        <f t="shared" si="2"/>
        <v> </v>
      </c>
      <c r="E3090" s="202" t="str">
        <f t="shared" si="9"/>
        <v> </v>
      </c>
      <c r="F3090" s="55" t="str">
        <f t="shared" si="4"/>
        <v/>
      </c>
      <c r="G3090" s="202" t="str">
        <f t="shared" si="5"/>
        <v/>
      </c>
      <c r="H3090" s="202" t="str">
        <f t="shared" si="11"/>
        <v> </v>
      </c>
      <c r="I3090" s="205" t="str">
        <f t="shared" si="7"/>
        <v/>
      </c>
      <c r="J3090" s="205"/>
      <c r="K3090" s="205"/>
    </row>
    <row r="3091" ht="14.25" customHeight="1">
      <c r="A3091" s="55">
        <v>48746.0</v>
      </c>
      <c r="B3091" s="55" t="str">
        <f t="shared" si="10"/>
        <v>Primer dia</v>
      </c>
      <c r="C3091" s="202">
        <f t="shared" si="1"/>
        <v>16</v>
      </c>
      <c r="D3091" s="202" t="str">
        <f t="shared" si="2"/>
        <v> </v>
      </c>
      <c r="E3091" s="202" t="str">
        <f t="shared" si="9"/>
        <v> </v>
      </c>
      <c r="F3091" s="55" t="str">
        <f t="shared" si="4"/>
        <v/>
      </c>
      <c r="G3091" s="202" t="str">
        <f t="shared" si="5"/>
        <v/>
      </c>
      <c r="H3091" s="202" t="str">
        <f t="shared" si="11"/>
        <v> </v>
      </c>
      <c r="I3091" s="205" t="str">
        <f t="shared" si="7"/>
        <v/>
      </c>
      <c r="J3091" s="205"/>
      <c r="K3091" s="205"/>
    </row>
    <row r="3092" ht="14.25" customHeight="1">
      <c r="A3092" s="55">
        <v>48747.0</v>
      </c>
      <c r="B3092" s="55" t="str">
        <f t="shared" si="10"/>
        <v>Primer dia</v>
      </c>
      <c r="C3092" s="202">
        <f t="shared" si="1"/>
        <v>17</v>
      </c>
      <c r="D3092" s="202" t="str">
        <f t="shared" si="2"/>
        <v> </v>
      </c>
      <c r="E3092" s="202">
        <f t="shared" si="9"/>
        <v>17</v>
      </c>
      <c r="F3092" s="55">
        <f t="shared" si="4"/>
        <v>48747</v>
      </c>
      <c r="G3092" s="202">
        <f t="shared" si="5"/>
        <v>178</v>
      </c>
      <c r="H3092" s="202" t="str">
        <f t="shared" si="11"/>
        <v> </v>
      </c>
      <c r="I3092" s="205" t="str">
        <f t="shared" si="7"/>
        <v/>
      </c>
      <c r="J3092" s="205"/>
      <c r="K3092" s="205"/>
    </row>
    <row r="3093" ht="14.25" customHeight="1">
      <c r="A3093" s="55">
        <v>48748.0</v>
      </c>
      <c r="B3093" s="55" t="str">
        <f t="shared" si="10"/>
        <v>Primer dia</v>
      </c>
      <c r="C3093" s="202">
        <f t="shared" si="1"/>
        <v>18</v>
      </c>
      <c r="D3093" s="202" t="str">
        <f t="shared" si="2"/>
        <v> </v>
      </c>
      <c r="E3093" s="202" t="str">
        <f t="shared" si="9"/>
        <v> </v>
      </c>
      <c r="F3093" s="55" t="str">
        <f t="shared" si="4"/>
        <v/>
      </c>
      <c r="G3093" s="202" t="str">
        <f t="shared" si="5"/>
        <v/>
      </c>
      <c r="H3093" s="202" t="str">
        <f t="shared" si="11"/>
        <v> </v>
      </c>
      <c r="I3093" s="205" t="str">
        <f t="shared" si="7"/>
        <v/>
      </c>
      <c r="J3093" s="205"/>
      <c r="K3093" s="205"/>
    </row>
    <row r="3094" ht="14.25" customHeight="1">
      <c r="A3094" s="55">
        <v>48749.0</v>
      </c>
      <c r="B3094" s="55" t="str">
        <f t="shared" si="10"/>
        <v>Primer dia</v>
      </c>
      <c r="C3094" s="202">
        <f t="shared" si="1"/>
        <v>19</v>
      </c>
      <c r="D3094" s="202" t="str">
        <f t="shared" si="2"/>
        <v> </v>
      </c>
      <c r="E3094" s="202" t="str">
        <f t="shared" si="9"/>
        <v> </v>
      </c>
      <c r="F3094" s="55" t="str">
        <f t="shared" si="4"/>
        <v/>
      </c>
      <c r="G3094" s="202" t="str">
        <f t="shared" si="5"/>
        <v/>
      </c>
      <c r="H3094" s="202" t="str">
        <f t="shared" si="11"/>
        <v> </v>
      </c>
      <c r="I3094" s="205" t="str">
        <f t="shared" si="7"/>
        <v/>
      </c>
      <c r="J3094" s="205"/>
      <c r="K3094" s="205"/>
    </row>
    <row r="3095" ht="14.25" customHeight="1">
      <c r="A3095" s="55">
        <v>48750.0</v>
      </c>
      <c r="B3095" s="55" t="str">
        <f t="shared" si="10"/>
        <v>Primer dia</v>
      </c>
      <c r="C3095" s="202">
        <f t="shared" si="1"/>
        <v>20</v>
      </c>
      <c r="D3095" s="202" t="str">
        <f t="shared" si="2"/>
        <v> </v>
      </c>
      <c r="E3095" s="202" t="str">
        <f t="shared" si="9"/>
        <v> </v>
      </c>
      <c r="F3095" s="55" t="str">
        <f t="shared" si="4"/>
        <v/>
      </c>
      <c r="G3095" s="202" t="str">
        <f t="shared" si="5"/>
        <v/>
      </c>
      <c r="H3095" s="202" t="str">
        <f t="shared" si="11"/>
        <v> </v>
      </c>
      <c r="I3095" s="205" t="str">
        <f t="shared" si="7"/>
        <v/>
      </c>
      <c r="J3095" s="205"/>
      <c r="K3095" s="205"/>
    </row>
    <row r="3096" ht="14.25" customHeight="1">
      <c r="A3096" s="55">
        <v>48751.0</v>
      </c>
      <c r="B3096" s="55" t="str">
        <f t="shared" si="10"/>
        <v>Primer dia</v>
      </c>
      <c r="C3096" s="202">
        <f t="shared" si="1"/>
        <v>21</v>
      </c>
      <c r="D3096" s="202" t="str">
        <f t="shared" si="2"/>
        <v> </v>
      </c>
      <c r="E3096" s="202" t="str">
        <f t="shared" si="9"/>
        <v> </v>
      </c>
      <c r="F3096" s="55" t="str">
        <f t="shared" si="4"/>
        <v/>
      </c>
      <c r="G3096" s="202" t="str">
        <f t="shared" si="5"/>
        <v/>
      </c>
      <c r="H3096" s="202" t="str">
        <f t="shared" si="11"/>
        <v> </v>
      </c>
      <c r="I3096" s="205" t="str">
        <f t="shared" si="7"/>
        <v/>
      </c>
      <c r="J3096" s="205"/>
      <c r="K3096" s="205"/>
    </row>
    <row r="3097" ht="14.25" customHeight="1">
      <c r="A3097" s="55">
        <v>48752.0</v>
      </c>
      <c r="B3097" s="55" t="str">
        <f t="shared" si="10"/>
        <v>Primer dia</v>
      </c>
      <c r="C3097" s="202">
        <f t="shared" si="1"/>
        <v>22</v>
      </c>
      <c r="D3097" s="202" t="str">
        <f t="shared" si="2"/>
        <v> </v>
      </c>
      <c r="E3097" s="202" t="str">
        <f t="shared" si="9"/>
        <v> </v>
      </c>
      <c r="F3097" s="55" t="str">
        <f t="shared" si="4"/>
        <v/>
      </c>
      <c r="G3097" s="202" t="str">
        <f t="shared" si="5"/>
        <v/>
      </c>
      <c r="H3097" s="202" t="str">
        <f t="shared" si="11"/>
        <v> </v>
      </c>
      <c r="I3097" s="205" t="str">
        <f t="shared" si="7"/>
        <v/>
      </c>
      <c r="J3097" s="205"/>
      <c r="K3097" s="205"/>
    </row>
    <row r="3098" ht="14.25" customHeight="1">
      <c r="A3098" s="55">
        <v>48753.0</v>
      </c>
      <c r="B3098" s="55" t="str">
        <f t="shared" si="10"/>
        <v>Primer dia</v>
      </c>
      <c r="C3098" s="202">
        <f t="shared" si="1"/>
        <v>23</v>
      </c>
      <c r="D3098" s="202" t="str">
        <f t="shared" si="2"/>
        <v> </v>
      </c>
      <c r="E3098" s="202" t="str">
        <f t="shared" si="9"/>
        <v> </v>
      </c>
      <c r="F3098" s="55" t="str">
        <f t="shared" si="4"/>
        <v/>
      </c>
      <c r="G3098" s="202" t="str">
        <f t="shared" si="5"/>
        <v/>
      </c>
      <c r="H3098" s="202" t="str">
        <f t="shared" si="11"/>
        <v> </v>
      </c>
      <c r="I3098" s="205" t="str">
        <f t="shared" si="7"/>
        <v/>
      </c>
      <c r="J3098" s="205"/>
      <c r="K3098" s="205"/>
    </row>
    <row r="3099" ht="14.25" customHeight="1">
      <c r="A3099" s="55">
        <v>48754.0</v>
      </c>
      <c r="B3099" s="55" t="str">
        <f t="shared" si="10"/>
        <v>Primer dia</v>
      </c>
      <c r="C3099" s="202">
        <f t="shared" si="1"/>
        <v>24</v>
      </c>
      <c r="D3099" s="202" t="str">
        <f t="shared" si="2"/>
        <v> </v>
      </c>
      <c r="E3099" s="202" t="str">
        <f t="shared" si="9"/>
        <v> </v>
      </c>
      <c r="F3099" s="55" t="str">
        <f t="shared" si="4"/>
        <v/>
      </c>
      <c r="G3099" s="202" t="str">
        <f t="shared" si="5"/>
        <v/>
      </c>
      <c r="H3099" s="202" t="str">
        <f t="shared" si="11"/>
        <v> </v>
      </c>
      <c r="I3099" s="205" t="str">
        <f t="shared" si="7"/>
        <v/>
      </c>
      <c r="J3099" s="205"/>
      <c r="K3099" s="205"/>
    </row>
    <row r="3100" ht="14.25" customHeight="1">
      <c r="A3100" s="55">
        <v>48755.0</v>
      </c>
      <c r="B3100" s="55" t="str">
        <f t="shared" si="10"/>
        <v>Primer dia</v>
      </c>
      <c r="C3100" s="202">
        <f t="shared" si="1"/>
        <v>25</v>
      </c>
      <c r="D3100" s="202" t="str">
        <f t="shared" si="2"/>
        <v> </v>
      </c>
      <c r="E3100" s="202" t="str">
        <f t="shared" si="9"/>
        <v> </v>
      </c>
      <c r="F3100" s="55" t="str">
        <f t="shared" si="4"/>
        <v/>
      </c>
      <c r="G3100" s="202" t="str">
        <f t="shared" si="5"/>
        <v/>
      </c>
      <c r="H3100" s="202" t="str">
        <f t="shared" si="11"/>
        <v> </v>
      </c>
      <c r="I3100" s="205" t="str">
        <f t="shared" si="7"/>
        <v/>
      </c>
      <c r="J3100" s="205"/>
      <c r="K3100" s="205"/>
    </row>
    <row r="3101" ht="14.25" customHeight="1">
      <c r="A3101" s="55">
        <v>48756.0</v>
      </c>
      <c r="B3101" s="55" t="str">
        <f t="shared" si="10"/>
        <v>Primer dia</v>
      </c>
      <c r="C3101" s="202">
        <f t="shared" si="1"/>
        <v>26</v>
      </c>
      <c r="D3101" s="202" t="str">
        <f t="shared" si="2"/>
        <v> </v>
      </c>
      <c r="E3101" s="202" t="str">
        <f t="shared" si="9"/>
        <v> </v>
      </c>
      <c r="F3101" s="55" t="str">
        <f t="shared" si="4"/>
        <v/>
      </c>
      <c r="G3101" s="202" t="str">
        <f t="shared" si="5"/>
        <v/>
      </c>
      <c r="H3101" s="202" t="str">
        <f t="shared" si="11"/>
        <v> </v>
      </c>
      <c r="I3101" s="205" t="str">
        <f t="shared" si="7"/>
        <v/>
      </c>
      <c r="J3101" s="205"/>
      <c r="K3101" s="205"/>
    </row>
    <row r="3102" ht="14.25" customHeight="1">
      <c r="A3102" s="55">
        <v>48757.0</v>
      </c>
      <c r="B3102" s="55" t="str">
        <f t="shared" si="10"/>
        <v>Primer dia</v>
      </c>
      <c r="C3102" s="202">
        <f t="shared" si="1"/>
        <v>27</v>
      </c>
      <c r="D3102" s="202" t="str">
        <f t="shared" si="2"/>
        <v> </v>
      </c>
      <c r="E3102" s="202" t="str">
        <f t="shared" si="9"/>
        <v> </v>
      </c>
      <c r="F3102" s="55" t="str">
        <f t="shared" si="4"/>
        <v/>
      </c>
      <c r="G3102" s="202" t="str">
        <f t="shared" si="5"/>
        <v/>
      </c>
      <c r="H3102" s="202" t="str">
        <f t="shared" si="11"/>
        <v> </v>
      </c>
      <c r="I3102" s="205" t="str">
        <f t="shared" si="7"/>
        <v/>
      </c>
      <c r="J3102" s="205"/>
      <c r="K3102" s="205"/>
    </row>
    <row r="3103" ht="14.25" customHeight="1">
      <c r="A3103" s="55">
        <v>48758.0</v>
      </c>
      <c r="B3103" s="55" t="str">
        <f t="shared" si="10"/>
        <v>Primer dia</v>
      </c>
      <c r="C3103" s="202">
        <f t="shared" si="1"/>
        <v>28</v>
      </c>
      <c r="D3103" s="202" t="str">
        <f t="shared" si="2"/>
        <v> </v>
      </c>
      <c r="E3103" s="202" t="str">
        <f t="shared" si="9"/>
        <v> </v>
      </c>
      <c r="F3103" s="55" t="str">
        <f t="shared" si="4"/>
        <v/>
      </c>
      <c r="G3103" s="202" t="str">
        <f t="shared" si="5"/>
        <v/>
      </c>
      <c r="H3103" s="202" t="str">
        <f t="shared" si="11"/>
        <v> </v>
      </c>
      <c r="I3103" s="205" t="str">
        <f t="shared" si="7"/>
        <v/>
      </c>
      <c r="J3103" s="205"/>
      <c r="K3103" s="205"/>
    </row>
    <row r="3104" ht="14.25" customHeight="1">
      <c r="A3104" s="55">
        <v>48759.0</v>
      </c>
      <c r="B3104" s="55" t="str">
        <f t="shared" si="10"/>
        <v>Primer dia</v>
      </c>
      <c r="C3104" s="202">
        <f t="shared" si="1"/>
        <v>29</v>
      </c>
      <c r="D3104" s="202" t="str">
        <f t="shared" si="2"/>
        <v> </v>
      </c>
      <c r="E3104" s="202" t="str">
        <f t="shared" si="9"/>
        <v> </v>
      </c>
      <c r="F3104" s="55" t="str">
        <f t="shared" si="4"/>
        <v/>
      </c>
      <c r="G3104" s="202" t="str">
        <f t="shared" si="5"/>
        <v/>
      </c>
      <c r="H3104" s="202" t="str">
        <f t="shared" si="11"/>
        <v> </v>
      </c>
      <c r="I3104" s="205" t="str">
        <f t="shared" si="7"/>
        <v/>
      </c>
      <c r="J3104" s="205"/>
      <c r="K3104" s="205"/>
    </row>
    <row r="3105" ht="14.25" customHeight="1">
      <c r="A3105" s="55">
        <v>48760.0</v>
      </c>
      <c r="B3105" s="55" t="str">
        <f t="shared" si="10"/>
        <v>Primer dia</v>
      </c>
      <c r="C3105" s="202">
        <f t="shared" si="1"/>
        <v>30</v>
      </c>
      <c r="D3105" s="202" t="str">
        <f t="shared" si="2"/>
        <v> </v>
      </c>
      <c r="E3105" s="202" t="str">
        <f t="shared" si="9"/>
        <v> </v>
      </c>
      <c r="F3105" s="55" t="str">
        <f t="shared" si="4"/>
        <v/>
      </c>
      <c r="G3105" s="202" t="str">
        <f t="shared" si="5"/>
        <v/>
      </c>
      <c r="H3105" s="202" t="str">
        <f t="shared" si="11"/>
        <v> </v>
      </c>
      <c r="I3105" s="205" t="str">
        <f t="shared" si="7"/>
        <v/>
      </c>
      <c r="J3105" s="205"/>
      <c r="K3105" s="205"/>
    </row>
    <row r="3106" ht="14.25" customHeight="1">
      <c r="A3106" s="55">
        <v>48761.0</v>
      </c>
      <c r="B3106" s="55" t="str">
        <f t="shared" si="10"/>
        <v>Primer dia</v>
      </c>
      <c r="C3106" s="202">
        <f t="shared" si="1"/>
        <v>1</v>
      </c>
      <c r="D3106" s="202" t="str">
        <f t="shared" si="2"/>
        <v> </v>
      </c>
      <c r="E3106" s="202" t="str">
        <f t="shared" si="9"/>
        <v> </v>
      </c>
      <c r="F3106" s="55" t="str">
        <f t="shared" si="4"/>
        <v/>
      </c>
      <c r="G3106" s="202" t="str">
        <f t="shared" si="5"/>
        <v/>
      </c>
      <c r="H3106" s="202" t="str">
        <f t="shared" si="11"/>
        <v> </v>
      </c>
      <c r="I3106" s="205" t="str">
        <f t="shared" si="7"/>
        <v/>
      </c>
      <c r="J3106" s="205"/>
      <c r="K3106" s="205"/>
    </row>
    <row r="3107" ht="14.25" customHeight="1">
      <c r="A3107" s="55">
        <v>48762.0</v>
      </c>
      <c r="B3107" s="55" t="str">
        <f t="shared" si="10"/>
        <v>Primer dia</v>
      </c>
      <c r="C3107" s="202">
        <f t="shared" si="1"/>
        <v>2</v>
      </c>
      <c r="D3107" s="202" t="str">
        <f t="shared" si="2"/>
        <v> </v>
      </c>
      <c r="E3107" s="202">
        <f t="shared" si="9"/>
        <v>2</v>
      </c>
      <c r="F3107" s="55">
        <f t="shared" si="4"/>
        <v>48762</v>
      </c>
      <c r="G3107" s="202">
        <f t="shared" si="5"/>
        <v>179</v>
      </c>
      <c r="H3107" s="202" t="str">
        <f t="shared" si="11"/>
        <v> </v>
      </c>
      <c r="I3107" s="205" t="str">
        <f t="shared" si="7"/>
        <v/>
      </c>
      <c r="J3107" s="205"/>
      <c r="K3107" s="205"/>
    </row>
    <row r="3108" ht="14.25" customHeight="1">
      <c r="A3108" s="55">
        <v>48763.0</v>
      </c>
      <c r="B3108" s="55" t="str">
        <f t="shared" si="10"/>
        <v>Primer dia</v>
      </c>
      <c r="C3108" s="202">
        <f t="shared" si="1"/>
        <v>3</v>
      </c>
      <c r="D3108" s="202" t="str">
        <f t="shared" si="2"/>
        <v> </v>
      </c>
      <c r="E3108" s="202" t="str">
        <f t="shared" si="9"/>
        <v> </v>
      </c>
      <c r="F3108" s="55" t="str">
        <f t="shared" si="4"/>
        <v/>
      </c>
      <c r="G3108" s="202" t="str">
        <f t="shared" si="5"/>
        <v/>
      </c>
      <c r="H3108" s="202" t="str">
        <f t="shared" si="11"/>
        <v> </v>
      </c>
      <c r="I3108" s="205" t="str">
        <f t="shared" si="7"/>
        <v/>
      </c>
      <c r="J3108" s="205"/>
      <c r="K3108" s="205"/>
    </row>
    <row r="3109" ht="14.25" customHeight="1">
      <c r="A3109" s="55">
        <v>48764.0</v>
      </c>
      <c r="B3109" s="55" t="str">
        <f t="shared" si="10"/>
        <v>Primer dia</v>
      </c>
      <c r="C3109" s="202">
        <f t="shared" si="1"/>
        <v>4</v>
      </c>
      <c r="D3109" s="202" t="str">
        <f t="shared" si="2"/>
        <v> </v>
      </c>
      <c r="E3109" s="202" t="str">
        <f t="shared" si="9"/>
        <v> </v>
      </c>
      <c r="F3109" s="55" t="str">
        <f t="shared" si="4"/>
        <v/>
      </c>
      <c r="G3109" s="202" t="str">
        <f t="shared" si="5"/>
        <v/>
      </c>
      <c r="H3109" s="202" t="str">
        <f t="shared" si="11"/>
        <v> </v>
      </c>
      <c r="I3109" s="205" t="str">
        <f t="shared" si="7"/>
        <v/>
      </c>
      <c r="J3109" s="205"/>
      <c r="K3109" s="205"/>
    </row>
    <row r="3110" ht="14.25" customHeight="1">
      <c r="A3110" s="55">
        <v>48765.0</v>
      </c>
      <c r="B3110" s="55" t="str">
        <f t="shared" si="10"/>
        <v>Primer dia</v>
      </c>
      <c r="C3110" s="202">
        <f t="shared" si="1"/>
        <v>5</v>
      </c>
      <c r="D3110" s="202" t="str">
        <f t="shared" si="2"/>
        <v> </v>
      </c>
      <c r="E3110" s="202" t="str">
        <f t="shared" si="9"/>
        <v> </v>
      </c>
      <c r="F3110" s="55" t="str">
        <f t="shared" si="4"/>
        <v/>
      </c>
      <c r="G3110" s="202" t="str">
        <f t="shared" si="5"/>
        <v/>
      </c>
      <c r="H3110" s="202" t="str">
        <f t="shared" si="11"/>
        <v> </v>
      </c>
      <c r="I3110" s="205" t="str">
        <f t="shared" si="7"/>
        <v/>
      </c>
      <c r="J3110" s="205"/>
      <c r="K3110" s="205"/>
    </row>
    <row r="3111" ht="14.25" customHeight="1">
      <c r="A3111" s="55">
        <v>48766.0</v>
      </c>
      <c r="B3111" s="55" t="str">
        <f t="shared" si="10"/>
        <v>Primer dia</v>
      </c>
      <c r="C3111" s="202">
        <f t="shared" si="1"/>
        <v>6</v>
      </c>
      <c r="D3111" s="202" t="str">
        <f t="shared" si="2"/>
        <v> </v>
      </c>
      <c r="E3111" s="202" t="str">
        <f t="shared" si="9"/>
        <v> </v>
      </c>
      <c r="F3111" s="55" t="str">
        <f t="shared" si="4"/>
        <v/>
      </c>
      <c r="G3111" s="202" t="str">
        <f t="shared" si="5"/>
        <v/>
      </c>
      <c r="H3111" s="202" t="str">
        <f t="shared" si="11"/>
        <v> </v>
      </c>
      <c r="I3111" s="205" t="str">
        <f t="shared" si="7"/>
        <v/>
      </c>
      <c r="J3111" s="205"/>
      <c r="K3111" s="205"/>
    </row>
    <row r="3112" ht="14.25" customHeight="1">
      <c r="A3112" s="55">
        <v>48767.0</v>
      </c>
      <c r="B3112" s="55" t="str">
        <f t="shared" si="10"/>
        <v>Primer dia</v>
      </c>
      <c r="C3112" s="202">
        <f t="shared" si="1"/>
        <v>7</v>
      </c>
      <c r="D3112" s="202" t="str">
        <f t="shared" si="2"/>
        <v> </v>
      </c>
      <c r="E3112" s="202" t="str">
        <f t="shared" si="9"/>
        <v> </v>
      </c>
      <c r="F3112" s="55" t="str">
        <f t="shared" si="4"/>
        <v/>
      </c>
      <c r="G3112" s="202" t="str">
        <f t="shared" si="5"/>
        <v/>
      </c>
      <c r="H3112" s="202" t="str">
        <f t="shared" si="11"/>
        <v> </v>
      </c>
      <c r="I3112" s="205" t="str">
        <f t="shared" si="7"/>
        <v/>
      </c>
      <c r="J3112" s="205"/>
      <c r="K3112" s="205"/>
    </row>
    <row r="3113" ht="14.25" customHeight="1">
      <c r="A3113" s="55">
        <v>48768.0</v>
      </c>
      <c r="B3113" s="55" t="str">
        <f t="shared" si="10"/>
        <v>Primer dia</v>
      </c>
      <c r="C3113" s="202">
        <f t="shared" si="1"/>
        <v>8</v>
      </c>
      <c r="D3113" s="202" t="str">
        <f t="shared" si="2"/>
        <v> </v>
      </c>
      <c r="E3113" s="202" t="str">
        <f t="shared" si="9"/>
        <v> </v>
      </c>
      <c r="F3113" s="55" t="str">
        <f t="shared" si="4"/>
        <v/>
      </c>
      <c r="G3113" s="202" t="str">
        <f t="shared" si="5"/>
        <v/>
      </c>
      <c r="H3113" s="202" t="str">
        <f t="shared" si="11"/>
        <v> </v>
      </c>
      <c r="I3113" s="205" t="str">
        <f t="shared" si="7"/>
        <v/>
      </c>
      <c r="J3113" s="205"/>
      <c r="K3113" s="205"/>
    </row>
    <row r="3114" ht="14.25" customHeight="1">
      <c r="A3114" s="55">
        <v>48769.0</v>
      </c>
      <c r="B3114" s="55" t="str">
        <f t="shared" si="10"/>
        <v>Primer dia</v>
      </c>
      <c r="C3114" s="202">
        <f t="shared" si="1"/>
        <v>9</v>
      </c>
      <c r="D3114" s="202" t="str">
        <f t="shared" si="2"/>
        <v> </v>
      </c>
      <c r="E3114" s="202" t="str">
        <f t="shared" si="9"/>
        <v> </v>
      </c>
      <c r="F3114" s="55" t="str">
        <f t="shared" si="4"/>
        <v/>
      </c>
      <c r="G3114" s="202" t="str">
        <f t="shared" si="5"/>
        <v/>
      </c>
      <c r="H3114" s="202" t="str">
        <f t="shared" si="11"/>
        <v> </v>
      </c>
      <c r="I3114" s="205" t="str">
        <f t="shared" si="7"/>
        <v/>
      </c>
      <c r="J3114" s="205"/>
      <c r="K3114" s="205"/>
    </row>
    <row r="3115" ht="14.25" customHeight="1">
      <c r="A3115" s="55">
        <v>48770.0</v>
      </c>
      <c r="B3115" s="55" t="str">
        <f t="shared" si="10"/>
        <v>Primer dia</v>
      </c>
      <c r="C3115" s="202">
        <f t="shared" si="1"/>
        <v>10</v>
      </c>
      <c r="D3115" s="202" t="str">
        <f t="shared" si="2"/>
        <v> </v>
      </c>
      <c r="E3115" s="202" t="str">
        <f t="shared" si="9"/>
        <v> </v>
      </c>
      <c r="F3115" s="55" t="str">
        <f t="shared" si="4"/>
        <v/>
      </c>
      <c r="G3115" s="202" t="str">
        <f t="shared" si="5"/>
        <v/>
      </c>
      <c r="H3115" s="202" t="str">
        <f t="shared" si="11"/>
        <v> </v>
      </c>
      <c r="I3115" s="205" t="str">
        <f t="shared" si="7"/>
        <v/>
      </c>
      <c r="J3115" s="205"/>
      <c r="K3115" s="205"/>
    </row>
    <row r="3116" ht="14.25" customHeight="1">
      <c r="A3116" s="55">
        <v>48771.0</v>
      </c>
      <c r="B3116" s="55" t="str">
        <f t="shared" si="10"/>
        <v>Primer dia</v>
      </c>
      <c r="C3116" s="202">
        <f t="shared" si="1"/>
        <v>11</v>
      </c>
      <c r="D3116" s="202" t="str">
        <f t="shared" si="2"/>
        <v> </v>
      </c>
      <c r="E3116" s="202" t="str">
        <f t="shared" si="9"/>
        <v> </v>
      </c>
      <c r="F3116" s="55" t="str">
        <f t="shared" si="4"/>
        <v/>
      </c>
      <c r="G3116" s="202" t="str">
        <f t="shared" si="5"/>
        <v/>
      </c>
      <c r="H3116" s="202" t="str">
        <f t="shared" si="11"/>
        <v> </v>
      </c>
      <c r="I3116" s="205" t="str">
        <f t="shared" si="7"/>
        <v/>
      </c>
      <c r="J3116" s="205"/>
      <c r="K3116" s="205"/>
    </row>
    <row r="3117" ht="14.25" customHeight="1">
      <c r="A3117" s="55">
        <v>48772.0</v>
      </c>
      <c r="B3117" s="55" t="str">
        <f t="shared" si="10"/>
        <v>Primer dia</v>
      </c>
      <c r="C3117" s="202">
        <f t="shared" si="1"/>
        <v>12</v>
      </c>
      <c r="D3117" s="202" t="str">
        <f t="shared" si="2"/>
        <v> </v>
      </c>
      <c r="E3117" s="202" t="str">
        <f t="shared" si="9"/>
        <v> </v>
      </c>
      <c r="F3117" s="55" t="str">
        <f t="shared" si="4"/>
        <v/>
      </c>
      <c r="G3117" s="202" t="str">
        <f t="shared" si="5"/>
        <v/>
      </c>
      <c r="H3117" s="202" t="str">
        <f t="shared" si="11"/>
        <v> </v>
      </c>
      <c r="I3117" s="205" t="str">
        <f t="shared" si="7"/>
        <v/>
      </c>
      <c r="J3117" s="205"/>
      <c r="K3117" s="205"/>
    </row>
    <row r="3118" ht="14.25" customHeight="1">
      <c r="A3118" s="55">
        <v>48773.0</v>
      </c>
      <c r="B3118" s="55" t="str">
        <f t="shared" si="10"/>
        <v>Primer dia</v>
      </c>
      <c r="C3118" s="202">
        <f t="shared" si="1"/>
        <v>13</v>
      </c>
      <c r="D3118" s="202" t="str">
        <f t="shared" si="2"/>
        <v> </v>
      </c>
      <c r="E3118" s="202" t="str">
        <f t="shared" si="9"/>
        <v> </v>
      </c>
      <c r="F3118" s="55" t="str">
        <f t="shared" si="4"/>
        <v/>
      </c>
      <c r="G3118" s="202" t="str">
        <f t="shared" si="5"/>
        <v/>
      </c>
      <c r="H3118" s="202" t="str">
        <f t="shared" si="11"/>
        <v> </v>
      </c>
      <c r="I3118" s="205" t="str">
        <f t="shared" si="7"/>
        <v/>
      </c>
      <c r="J3118" s="205"/>
      <c r="K3118" s="205"/>
    </row>
    <row r="3119" ht="14.25" customHeight="1">
      <c r="A3119" s="55">
        <v>48774.0</v>
      </c>
      <c r="B3119" s="55" t="str">
        <f t="shared" si="10"/>
        <v>Primer dia</v>
      </c>
      <c r="C3119" s="202">
        <f t="shared" si="1"/>
        <v>14</v>
      </c>
      <c r="D3119" s="202" t="str">
        <f t="shared" si="2"/>
        <v> </v>
      </c>
      <c r="E3119" s="202" t="str">
        <f t="shared" si="9"/>
        <v> </v>
      </c>
      <c r="F3119" s="55" t="str">
        <f t="shared" si="4"/>
        <v/>
      </c>
      <c r="G3119" s="202" t="str">
        <f t="shared" si="5"/>
        <v/>
      </c>
      <c r="H3119" s="202" t="str">
        <f t="shared" si="11"/>
        <v> </v>
      </c>
      <c r="I3119" s="205" t="str">
        <f t="shared" si="7"/>
        <v/>
      </c>
      <c r="J3119" s="205"/>
      <c r="K3119" s="205"/>
    </row>
    <row r="3120" ht="14.25" customHeight="1">
      <c r="A3120" s="55">
        <v>48775.0</v>
      </c>
      <c r="B3120" s="55" t="str">
        <f t="shared" si="10"/>
        <v>Primer dia</v>
      </c>
      <c r="C3120" s="202">
        <f t="shared" si="1"/>
        <v>15</v>
      </c>
      <c r="D3120" s="202" t="str">
        <f t="shared" si="2"/>
        <v> </v>
      </c>
      <c r="E3120" s="202" t="str">
        <f t="shared" si="9"/>
        <v> </v>
      </c>
      <c r="F3120" s="55" t="str">
        <f t="shared" si="4"/>
        <v/>
      </c>
      <c r="G3120" s="202" t="str">
        <f t="shared" si="5"/>
        <v/>
      </c>
      <c r="H3120" s="202" t="str">
        <f t="shared" si="11"/>
        <v> </v>
      </c>
      <c r="I3120" s="205" t="str">
        <f t="shared" si="7"/>
        <v/>
      </c>
      <c r="J3120" s="205"/>
      <c r="K3120" s="205"/>
    </row>
    <row r="3121" ht="14.25" customHeight="1">
      <c r="A3121" s="55">
        <v>48776.0</v>
      </c>
      <c r="B3121" s="55" t="str">
        <f t="shared" si="10"/>
        <v>Primer dia</v>
      </c>
      <c r="C3121" s="202">
        <f t="shared" si="1"/>
        <v>16</v>
      </c>
      <c r="D3121" s="202" t="str">
        <f t="shared" si="2"/>
        <v> </v>
      </c>
      <c r="E3121" s="202" t="str">
        <f t="shared" si="9"/>
        <v> </v>
      </c>
      <c r="F3121" s="55" t="str">
        <f t="shared" si="4"/>
        <v/>
      </c>
      <c r="G3121" s="202" t="str">
        <f t="shared" si="5"/>
        <v/>
      </c>
      <c r="H3121" s="202" t="str">
        <f t="shared" si="11"/>
        <v> </v>
      </c>
      <c r="I3121" s="205" t="str">
        <f t="shared" si="7"/>
        <v/>
      </c>
      <c r="J3121" s="205"/>
      <c r="K3121" s="205"/>
    </row>
    <row r="3122" ht="14.25" customHeight="1">
      <c r="A3122" s="55">
        <v>48777.0</v>
      </c>
      <c r="B3122" s="55" t="str">
        <f t="shared" si="10"/>
        <v>Primer dia</v>
      </c>
      <c r="C3122" s="202">
        <f t="shared" si="1"/>
        <v>17</v>
      </c>
      <c r="D3122" s="202" t="str">
        <f t="shared" si="2"/>
        <v> </v>
      </c>
      <c r="E3122" s="202">
        <f t="shared" si="9"/>
        <v>17</v>
      </c>
      <c r="F3122" s="55">
        <f t="shared" si="4"/>
        <v>48777</v>
      </c>
      <c r="G3122" s="202">
        <f t="shared" si="5"/>
        <v>180</v>
      </c>
      <c r="H3122" s="202" t="str">
        <f t="shared" si="11"/>
        <v> </v>
      </c>
      <c r="I3122" s="205" t="str">
        <f t="shared" si="7"/>
        <v/>
      </c>
      <c r="J3122" s="205"/>
      <c r="K3122" s="205"/>
    </row>
    <row r="3123" ht="14.25" customHeight="1">
      <c r="A3123" s="55">
        <v>48778.0</v>
      </c>
      <c r="B3123" s="55" t="str">
        <f t="shared" si="10"/>
        <v>Primer dia</v>
      </c>
      <c r="C3123" s="202">
        <f t="shared" si="1"/>
        <v>18</v>
      </c>
      <c r="D3123" s="202" t="str">
        <f t="shared" si="2"/>
        <v> </v>
      </c>
      <c r="E3123" s="202" t="str">
        <f t="shared" si="9"/>
        <v> </v>
      </c>
      <c r="F3123" s="55" t="str">
        <f t="shared" si="4"/>
        <v/>
      </c>
      <c r="G3123" s="202" t="str">
        <f t="shared" si="5"/>
        <v/>
      </c>
      <c r="H3123" s="202" t="str">
        <f t="shared" si="11"/>
        <v> </v>
      </c>
      <c r="I3123" s="205" t="str">
        <f t="shared" si="7"/>
        <v/>
      </c>
      <c r="J3123" s="205"/>
      <c r="K3123" s="205"/>
    </row>
    <row r="3124" ht="14.25" customHeight="1">
      <c r="A3124" s="55">
        <v>48779.0</v>
      </c>
      <c r="B3124" s="55" t="str">
        <f t="shared" si="10"/>
        <v>Primer dia</v>
      </c>
      <c r="C3124" s="202">
        <f t="shared" si="1"/>
        <v>19</v>
      </c>
      <c r="D3124" s="202" t="str">
        <f t="shared" si="2"/>
        <v> </v>
      </c>
      <c r="E3124" s="202" t="str">
        <f t="shared" si="9"/>
        <v> </v>
      </c>
      <c r="F3124" s="55" t="str">
        <f t="shared" si="4"/>
        <v/>
      </c>
      <c r="G3124" s="202" t="str">
        <f t="shared" si="5"/>
        <v/>
      </c>
      <c r="H3124" s="202" t="str">
        <f t="shared" si="11"/>
        <v> </v>
      </c>
      <c r="I3124" s="205" t="str">
        <f t="shared" si="7"/>
        <v/>
      </c>
      <c r="J3124" s="205"/>
      <c r="K3124" s="205"/>
    </row>
    <row r="3125" ht="14.25" customHeight="1">
      <c r="A3125" s="55">
        <v>48780.0</v>
      </c>
      <c r="B3125" s="55" t="str">
        <f t="shared" si="10"/>
        <v>Primer dia</v>
      </c>
      <c r="C3125" s="202">
        <f t="shared" si="1"/>
        <v>20</v>
      </c>
      <c r="D3125" s="202" t="str">
        <f t="shared" si="2"/>
        <v> </v>
      </c>
      <c r="E3125" s="202" t="str">
        <f t="shared" si="9"/>
        <v> </v>
      </c>
      <c r="F3125" s="55" t="str">
        <f t="shared" si="4"/>
        <v/>
      </c>
      <c r="G3125" s="202" t="str">
        <f t="shared" si="5"/>
        <v/>
      </c>
      <c r="H3125" s="202" t="str">
        <f t="shared" si="11"/>
        <v> </v>
      </c>
      <c r="I3125" s="205" t="str">
        <f t="shared" si="7"/>
        <v/>
      </c>
      <c r="J3125" s="205"/>
      <c r="K3125" s="205"/>
    </row>
    <row r="3126" ht="14.25" customHeight="1">
      <c r="A3126" s="55">
        <v>48781.0</v>
      </c>
      <c r="B3126" s="55" t="str">
        <f t="shared" si="10"/>
        <v>Primer dia</v>
      </c>
      <c r="C3126" s="202">
        <f t="shared" si="1"/>
        <v>21</v>
      </c>
      <c r="D3126" s="202" t="str">
        <f t="shared" si="2"/>
        <v> </v>
      </c>
      <c r="E3126" s="202" t="str">
        <f t="shared" si="9"/>
        <v> </v>
      </c>
      <c r="F3126" s="55" t="str">
        <f t="shared" si="4"/>
        <v/>
      </c>
      <c r="G3126" s="202" t="str">
        <f t="shared" si="5"/>
        <v/>
      </c>
      <c r="H3126" s="202" t="str">
        <f t="shared" si="11"/>
        <v> </v>
      </c>
      <c r="I3126" s="205" t="str">
        <f t="shared" si="7"/>
        <v/>
      </c>
      <c r="J3126" s="205"/>
      <c r="K3126" s="205"/>
    </row>
    <row r="3127" ht="14.25" customHeight="1">
      <c r="A3127" s="55">
        <v>48782.0</v>
      </c>
      <c r="B3127" s="55" t="str">
        <f t="shared" si="10"/>
        <v>Primer dia</v>
      </c>
      <c r="C3127" s="202">
        <f t="shared" si="1"/>
        <v>22</v>
      </c>
      <c r="D3127" s="202" t="str">
        <f t="shared" si="2"/>
        <v> </v>
      </c>
      <c r="E3127" s="202" t="str">
        <f t="shared" si="9"/>
        <v> </v>
      </c>
      <c r="F3127" s="55" t="str">
        <f t="shared" si="4"/>
        <v/>
      </c>
      <c r="G3127" s="202" t="str">
        <f t="shared" si="5"/>
        <v/>
      </c>
      <c r="H3127" s="202" t="str">
        <f t="shared" si="11"/>
        <v> </v>
      </c>
      <c r="I3127" s="205" t="str">
        <f t="shared" si="7"/>
        <v/>
      </c>
      <c r="J3127" s="205"/>
      <c r="K3127" s="205"/>
    </row>
    <row r="3128" ht="14.25" customHeight="1">
      <c r="A3128" s="55">
        <v>48783.0</v>
      </c>
      <c r="B3128" s="55" t="str">
        <f t="shared" si="10"/>
        <v>Primer dia</v>
      </c>
      <c r="C3128" s="202">
        <f t="shared" si="1"/>
        <v>23</v>
      </c>
      <c r="D3128" s="202" t="str">
        <f t="shared" si="2"/>
        <v> </v>
      </c>
      <c r="E3128" s="202" t="str">
        <f t="shared" si="9"/>
        <v> </v>
      </c>
      <c r="F3128" s="55" t="str">
        <f t="shared" si="4"/>
        <v/>
      </c>
      <c r="G3128" s="202" t="str">
        <f t="shared" si="5"/>
        <v/>
      </c>
      <c r="H3128" s="202" t="str">
        <f t="shared" si="11"/>
        <v> </v>
      </c>
      <c r="I3128" s="205" t="str">
        <f t="shared" si="7"/>
        <v/>
      </c>
      <c r="J3128" s="205"/>
      <c r="K3128" s="205"/>
    </row>
    <row r="3129" ht="14.25" customHeight="1">
      <c r="A3129" s="55">
        <v>48784.0</v>
      </c>
      <c r="B3129" s="55" t="str">
        <f t="shared" si="10"/>
        <v>Primer dia</v>
      </c>
      <c r="C3129" s="202">
        <f t="shared" si="1"/>
        <v>24</v>
      </c>
      <c r="D3129" s="202" t="str">
        <f t="shared" si="2"/>
        <v> </v>
      </c>
      <c r="E3129" s="202" t="str">
        <f t="shared" si="9"/>
        <v> </v>
      </c>
      <c r="F3129" s="55" t="str">
        <f t="shared" si="4"/>
        <v/>
      </c>
      <c r="G3129" s="202" t="str">
        <f t="shared" si="5"/>
        <v/>
      </c>
      <c r="H3129" s="202" t="str">
        <f t="shared" si="11"/>
        <v> </v>
      </c>
      <c r="I3129" s="205" t="str">
        <f t="shared" si="7"/>
        <v/>
      </c>
      <c r="J3129" s="205"/>
      <c r="K3129" s="205"/>
    </row>
    <row r="3130" ht="14.25" customHeight="1">
      <c r="A3130" s="55">
        <v>48785.0</v>
      </c>
      <c r="B3130" s="55" t="str">
        <f t="shared" si="10"/>
        <v>Primer dia</v>
      </c>
      <c r="C3130" s="202">
        <f t="shared" si="1"/>
        <v>25</v>
      </c>
      <c r="D3130" s="202" t="str">
        <f t="shared" si="2"/>
        <v> </v>
      </c>
      <c r="E3130" s="202" t="str">
        <f t="shared" si="9"/>
        <v> </v>
      </c>
      <c r="F3130" s="55" t="str">
        <f t="shared" si="4"/>
        <v/>
      </c>
      <c r="G3130" s="202" t="str">
        <f t="shared" si="5"/>
        <v/>
      </c>
      <c r="H3130" s="202" t="str">
        <f t="shared" si="11"/>
        <v> </v>
      </c>
      <c r="I3130" s="205" t="str">
        <f t="shared" si="7"/>
        <v/>
      </c>
      <c r="J3130" s="205"/>
      <c r="K3130" s="205"/>
    </row>
    <row r="3131" ht="14.25" customHeight="1">
      <c r="A3131" s="55">
        <v>48786.0</v>
      </c>
      <c r="B3131" s="55" t="str">
        <f t="shared" si="10"/>
        <v>Primer dia</v>
      </c>
      <c r="C3131" s="202">
        <f t="shared" si="1"/>
        <v>26</v>
      </c>
      <c r="D3131" s="202" t="str">
        <f t="shared" si="2"/>
        <v> </v>
      </c>
      <c r="E3131" s="202" t="str">
        <f t="shared" si="9"/>
        <v> </v>
      </c>
      <c r="F3131" s="55" t="str">
        <f t="shared" si="4"/>
        <v/>
      </c>
      <c r="G3131" s="202" t="str">
        <f t="shared" si="5"/>
        <v/>
      </c>
      <c r="H3131" s="202" t="str">
        <f t="shared" si="11"/>
        <v> </v>
      </c>
      <c r="I3131" s="205" t="str">
        <f t="shared" si="7"/>
        <v/>
      </c>
      <c r="J3131" s="205"/>
      <c r="K3131" s="205"/>
    </row>
    <row r="3132" ht="14.25" customHeight="1">
      <c r="A3132" s="55">
        <v>48787.0</v>
      </c>
      <c r="B3132" s="55" t="str">
        <f t="shared" si="10"/>
        <v>Primer dia</v>
      </c>
      <c r="C3132" s="202">
        <f t="shared" si="1"/>
        <v>27</v>
      </c>
      <c r="D3132" s="202" t="str">
        <f t="shared" si="2"/>
        <v> </v>
      </c>
      <c r="E3132" s="202" t="str">
        <f t="shared" si="9"/>
        <v> </v>
      </c>
      <c r="F3132" s="55" t="str">
        <f t="shared" si="4"/>
        <v/>
      </c>
      <c r="G3132" s="202" t="str">
        <f t="shared" si="5"/>
        <v/>
      </c>
      <c r="H3132" s="202" t="str">
        <f t="shared" si="11"/>
        <v> </v>
      </c>
      <c r="I3132" s="205" t="str">
        <f t="shared" si="7"/>
        <v/>
      </c>
      <c r="J3132" s="205"/>
      <c r="K3132" s="205"/>
    </row>
    <row r="3133" ht="14.25" customHeight="1">
      <c r="A3133" s="55">
        <v>48788.0</v>
      </c>
      <c r="B3133" s="55" t="str">
        <f t="shared" si="10"/>
        <v>Primer dia</v>
      </c>
      <c r="C3133" s="202">
        <f t="shared" si="1"/>
        <v>28</v>
      </c>
      <c r="D3133" s="202" t="str">
        <f t="shared" si="2"/>
        <v> </v>
      </c>
      <c r="E3133" s="202" t="str">
        <f t="shared" si="9"/>
        <v> </v>
      </c>
      <c r="F3133" s="55" t="str">
        <f t="shared" si="4"/>
        <v/>
      </c>
      <c r="G3133" s="202" t="str">
        <f t="shared" si="5"/>
        <v/>
      </c>
      <c r="H3133" s="202" t="str">
        <f t="shared" si="11"/>
        <v> </v>
      </c>
      <c r="I3133" s="205" t="str">
        <f t="shared" si="7"/>
        <v/>
      </c>
      <c r="J3133" s="205"/>
      <c r="K3133" s="205"/>
    </row>
    <row r="3134" ht="14.25" customHeight="1">
      <c r="A3134" s="55">
        <v>48789.0</v>
      </c>
      <c r="B3134" s="55" t="str">
        <f t="shared" si="10"/>
        <v>Primer dia</v>
      </c>
      <c r="C3134" s="202">
        <f t="shared" si="1"/>
        <v>29</v>
      </c>
      <c r="D3134" s="202" t="str">
        <f t="shared" si="2"/>
        <v> </v>
      </c>
      <c r="E3134" s="202" t="str">
        <f t="shared" si="9"/>
        <v> </v>
      </c>
      <c r="F3134" s="55" t="str">
        <f t="shared" si="4"/>
        <v/>
      </c>
      <c r="G3134" s="202" t="str">
        <f t="shared" si="5"/>
        <v/>
      </c>
      <c r="H3134" s="202" t="str">
        <f t="shared" si="11"/>
        <v> </v>
      </c>
      <c r="I3134" s="205" t="str">
        <f t="shared" si="7"/>
        <v/>
      </c>
      <c r="J3134" s="205"/>
      <c r="K3134" s="205"/>
    </row>
    <row r="3135" ht="14.25" customHeight="1">
      <c r="A3135" s="55">
        <v>48790.0</v>
      </c>
      <c r="B3135" s="55" t="str">
        <f t="shared" si="10"/>
        <v>Primer dia</v>
      </c>
      <c r="C3135" s="202">
        <f t="shared" si="1"/>
        <v>30</v>
      </c>
      <c r="D3135" s="202" t="str">
        <f t="shared" si="2"/>
        <v> </v>
      </c>
      <c r="E3135" s="202" t="str">
        <f t="shared" si="9"/>
        <v> </v>
      </c>
      <c r="F3135" s="55" t="str">
        <f t="shared" si="4"/>
        <v/>
      </c>
      <c r="G3135" s="202" t="str">
        <f t="shared" si="5"/>
        <v/>
      </c>
      <c r="H3135" s="202" t="str">
        <f t="shared" si="11"/>
        <v> </v>
      </c>
      <c r="I3135" s="205" t="str">
        <f t="shared" si="7"/>
        <v/>
      </c>
      <c r="J3135" s="205"/>
      <c r="K3135" s="205"/>
    </row>
    <row r="3136" ht="14.25" customHeight="1">
      <c r="A3136" s="55">
        <v>48791.0</v>
      </c>
      <c r="B3136" s="55" t="str">
        <f t="shared" si="10"/>
        <v>Primer dia</v>
      </c>
      <c r="C3136" s="202">
        <f t="shared" si="1"/>
        <v>31</v>
      </c>
      <c r="D3136" s="202" t="str">
        <f t="shared" si="2"/>
        <v> </v>
      </c>
      <c r="E3136" s="202" t="str">
        <f t="shared" si="9"/>
        <v> </v>
      </c>
      <c r="F3136" s="55" t="str">
        <f t="shared" si="4"/>
        <v/>
      </c>
      <c r="G3136" s="202" t="str">
        <f t="shared" si="5"/>
        <v/>
      </c>
      <c r="H3136" s="202" t="str">
        <f t="shared" si="11"/>
        <v> </v>
      </c>
      <c r="I3136" s="205" t="str">
        <f t="shared" si="7"/>
        <v/>
      </c>
      <c r="J3136" s="205"/>
      <c r="K3136" s="205"/>
    </row>
    <row r="3137" ht="14.25" customHeight="1">
      <c r="A3137" s="55">
        <v>48792.0</v>
      </c>
      <c r="B3137" s="55" t="str">
        <f t="shared" si="10"/>
        <v>Primer dia</v>
      </c>
      <c r="C3137" s="202">
        <f t="shared" si="1"/>
        <v>1</v>
      </c>
      <c r="D3137" s="202" t="str">
        <f t="shared" si="2"/>
        <v> </v>
      </c>
      <c r="E3137" s="202" t="str">
        <f t="shared" si="9"/>
        <v> </v>
      </c>
      <c r="F3137" s="55" t="str">
        <f t="shared" si="4"/>
        <v/>
      </c>
      <c r="G3137" s="202" t="str">
        <f t="shared" si="5"/>
        <v/>
      </c>
      <c r="H3137" s="202" t="str">
        <f t="shared" si="11"/>
        <v> </v>
      </c>
      <c r="I3137" s="205" t="str">
        <f t="shared" si="7"/>
        <v/>
      </c>
      <c r="J3137" s="205"/>
      <c r="K3137" s="205"/>
    </row>
    <row r="3138" ht="14.25" customHeight="1">
      <c r="A3138" s="55">
        <v>48793.0</v>
      </c>
      <c r="B3138" s="55" t="str">
        <f t="shared" si="10"/>
        <v>Primer dia</v>
      </c>
      <c r="C3138" s="202">
        <f t="shared" si="1"/>
        <v>2</v>
      </c>
      <c r="D3138" s="202" t="str">
        <f t="shared" si="2"/>
        <v> </v>
      </c>
      <c r="E3138" s="202">
        <f t="shared" si="9"/>
        <v>2</v>
      </c>
      <c r="F3138" s="55">
        <f t="shared" si="4"/>
        <v>48793</v>
      </c>
      <c r="G3138" s="202">
        <f t="shared" si="5"/>
        <v>181</v>
      </c>
      <c r="H3138" s="202" t="str">
        <f t="shared" si="11"/>
        <v> </v>
      </c>
      <c r="I3138" s="205" t="str">
        <f t="shared" si="7"/>
        <v/>
      </c>
      <c r="J3138" s="205"/>
      <c r="K3138" s="205"/>
    </row>
    <row r="3139" ht="14.25" customHeight="1">
      <c r="A3139" s="55">
        <v>48794.0</v>
      </c>
      <c r="B3139" s="55" t="str">
        <f t="shared" si="10"/>
        <v>Primer dia</v>
      </c>
      <c r="C3139" s="202">
        <f t="shared" si="1"/>
        <v>3</v>
      </c>
      <c r="D3139" s="202" t="str">
        <f t="shared" si="2"/>
        <v> </v>
      </c>
      <c r="E3139" s="202" t="str">
        <f t="shared" si="9"/>
        <v> </v>
      </c>
      <c r="F3139" s="55" t="str">
        <f t="shared" si="4"/>
        <v/>
      </c>
      <c r="G3139" s="202" t="str">
        <f t="shared" si="5"/>
        <v/>
      </c>
      <c r="H3139" s="202" t="str">
        <f t="shared" si="11"/>
        <v> </v>
      </c>
      <c r="I3139" s="205" t="str">
        <f t="shared" si="7"/>
        <v/>
      </c>
      <c r="J3139" s="205"/>
      <c r="K3139" s="205"/>
    </row>
    <row r="3140" ht="14.25" customHeight="1">
      <c r="A3140" s="55">
        <v>48795.0</v>
      </c>
      <c r="B3140" s="55" t="str">
        <f t="shared" si="10"/>
        <v>Primer dia</v>
      </c>
      <c r="C3140" s="202">
        <f t="shared" si="1"/>
        <v>4</v>
      </c>
      <c r="D3140" s="202" t="str">
        <f t="shared" si="2"/>
        <v> </v>
      </c>
      <c r="E3140" s="202" t="str">
        <f t="shared" si="9"/>
        <v> </v>
      </c>
      <c r="F3140" s="55" t="str">
        <f t="shared" si="4"/>
        <v/>
      </c>
      <c r="G3140" s="202" t="str">
        <f t="shared" si="5"/>
        <v/>
      </c>
      <c r="H3140" s="202" t="str">
        <f t="shared" si="11"/>
        <v> </v>
      </c>
      <c r="I3140" s="205" t="str">
        <f t="shared" si="7"/>
        <v/>
      </c>
      <c r="J3140" s="205"/>
      <c r="K3140" s="205"/>
    </row>
    <row r="3141" ht="14.25" customHeight="1">
      <c r="A3141" s="55">
        <v>48796.0</v>
      </c>
      <c r="B3141" s="55" t="str">
        <f t="shared" si="10"/>
        <v>Primer dia</v>
      </c>
      <c r="C3141" s="202">
        <f t="shared" si="1"/>
        <v>5</v>
      </c>
      <c r="D3141" s="202" t="str">
        <f t="shared" si="2"/>
        <v> </v>
      </c>
      <c r="E3141" s="202" t="str">
        <f t="shared" si="9"/>
        <v> </v>
      </c>
      <c r="F3141" s="55" t="str">
        <f t="shared" si="4"/>
        <v/>
      </c>
      <c r="G3141" s="202" t="str">
        <f t="shared" si="5"/>
        <v/>
      </c>
      <c r="H3141" s="202" t="str">
        <f t="shared" si="11"/>
        <v> </v>
      </c>
      <c r="I3141" s="205" t="str">
        <f t="shared" si="7"/>
        <v/>
      </c>
      <c r="J3141" s="205"/>
      <c r="K3141" s="205"/>
    </row>
    <row r="3142" ht="14.25" customHeight="1">
      <c r="A3142" s="55">
        <v>48797.0</v>
      </c>
      <c r="B3142" s="55" t="str">
        <f t="shared" si="10"/>
        <v>Primer dia</v>
      </c>
      <c r="C3142" s="202">
        <f t="shared" si="1"/>
        <v>6</v>
      </c>
      <c r="D3142" s="202" t="str">
        <f t="shared" si="2"/>
        <v> </v>
      </c>
      <c r="E3142" s="202" t="str">
        <f t="shared" si="9"/>
        <v> </v>
      </c>
      <c r="F3142" s="55" t="str">
        <f t="shared" si="4"/>
        <v/>
      </c>
      <c r="G3142" s="202" t="str">
        <f t="shared" si="5"/>
        <v/>
      </c>
      <c r="H3142" s="202" t="str">
        <f t="shared" si="11"/>
        <v> </v>
      </c>
      <c r="I3142" s="205" t="str">
        <f t="shared" si="7"/>
        <v/>
      </c>
      <c r="J3142" s="205"/>
      <c r="K3142" s="205"/>
    </row>
    <row r="3143" ht="14.25" customHeight="1">
      <c r="A3143" s="55">
        <v>48798.0</v>
      </c>
      <c r="B3143" s="55" t="str">
        <f t="shared" si="10"/>
        <v>Primer dia</v>
      </c>
      <c r="C3143" s="202">
        <f t="shared" si="1"/>
        <v>7</v>
      </c>
      <c r="D3143" s="202" t="str">
        <f t="shared" si="2"/>
        <v> </v>
      </c>
      <c r="E3143" s="202" t="str">
        <f t="shared" si="9"/>
        <v> </v>
      </c>
      <c r="F3143" s="55" t="str">
        <f t="shared" si="4"/>
        <v/>
      </c>
      <c r="G3143" s="202" t="str">
        <f t="shared" si="5"/>
        <v/>
      </c>
      <c r="H3143" s="202" t="str">
        <f t="shared" si="11"/>
        <v> </v>
      </c>
      <c r="I3143" s="205" t="str">
        <f t="shared" si="7"/>
        <v/>
      </c>
      <c r="J3143" s="205"/>
      <c r="K3143" s="205"/>
    </row>
    <row r="3144" ht="14.25" customHeight="1">
      <c r="A3144" s="55">
        <v>48799.0</v>
      </c>
      <c r="B3144" s="55" t="str">
        <f t="shared" si="10"/>
        <v>Primer dia</v>
      </c>
      <c r="C3144" s="202">
        <f t="shared" si="1"/>
        <v>8</v>
      </c>
      <c r="D3144" s="202" t="str">
        <f t="shared" si="2"/>
        <v> </v>
      </c>
      <c r="E3144" s="202" t="str">
        <f t="shared" si="9"/>
        <v> </v>
      </c>
      <c r="F3144" s="55" t="str">
        <f t="shared" si="4"/>
        <v/>
      </c>
      <c r="G3144" s="202" t="str">
        <f t="shared" si="5"/>
        <v/>
      </c>
      <c r="H3144" s="202" t="str">
        <f t="shared" si="11"/>
        <v> </v>
      </c>
      <c r="I3144" s="205" t="str">
        <f t="shared" si="7"/>
        <v/>
      </c>
      <c r="J3144" s="205"/>
      <c r="K3144" s="205"/>
    </row>
    <row r="3145" ht="14.25" customHeight="1">
      <c r="A3145" s="55">
        <v>48800.0</v>
      </c>
      <c r="B3145" s="55" t="str">
        <f t="shared" si="10"/>
        <v>Primer dia</v>
      </c>
      <c r="C3145" s="202">
        <f t="shared" si="1"/>
        <v>9</v>
      </c>
      <c r="D3145" s="202" t="str">
        <f t="shared" si="2"/>
        <v> </v>
      </c>
      <c r="E3145" s="202" t="str">
        <f t="shared" si="9"/>
        <v> </v>
      </c>
      <c r="F3145" s="55" t="str">
        <f t="shared" si="4"/>
        <v/>
      </c>
      <c r="G3145" s="202" t="str">
        <f t="shared" si="5"/>
        <v/>
      </c>
      <c r="H3145" s="202" t="str">
        <f t="shared" si="11"/>
        <v> </v>
      </c>
      <c r="I3145" s="205" t="str">
        <f t="shared" si="7"/>
        <v/>
      </c>
      <c r="J3145" s="205"/>
      <c r="K3145" s="205"/>
    </row>
    <row r="3146" ht="14.25" customHeight="1">
      <c r="A3146" s="55">
        <v>48801.0</v>
      </c>
      <c r="B3146" s="55" t="str">
        <f t="shared" si="10"/>
        <v>Primer dia</v>
      </c>
      <c r="C3146" s="202">
        <f t="shared" si="1"/>
        <v>10</v>
      </c>
      <c r="D3146" s="202" t="str">
        <f t="shared" si="2"/>
        <v> </v>
      </c>
      <c r="E3146" s="202" t="str">
        <f t="shared" si="9"/>
        <v> </v>
      </c>
      <c r="F3146" s="55" t="str">
        <f t="shared" si="4"/>
        <v/>
      </c>
      <c r="G3146" s="202" t="str">
        <f t="shared" si="5"/>
        <v/>
      </c>
      <c r="H3146" s="202" t="str">
        <f t="shared" si="11"/>
        <v> </v>
      </c>
      <c r="I3146" s="205" t="str">
        <f t="shared" si="7"/>
        <v/>
      </c>
      <c r="J3146" s="205"/>
      <c r="K3146" s="205"/>
    </row>
    <row r="3147" ht="14.25" customHeight="1">
      <c r="A3147" s="55">
        <v>48802.0</v>
      </c>
      <c r="B3147" s="55" t="str">
        <f t="shared" si="10"/>
        <v>Primer dia</v>
      </c>
      <c r="C3147" s="202">
        <f t="shared" si="1"/>
        <v>11</v>
      </c>
      <c r="D3147" s="202" t="str">
        <f t="shared" si="2"/>
        <v> </v>
      </c>
      <c r="E3147" s="202" t="str">
        <f t="shared" si="9"/>
        <v> </v>
      </c>
      <c r="F3147" s="55" t="str">
        <f t="shared" si="4"/>
        <v/>
      </c>
      <c r="G3147" s="202" t="str">
        <f t="shared" si="5"/>
        <v/>
      </c>
      <c r="H3147" s="202" t="str">
        <f t="shared" si="11"/>
        <v> </v>
      </c>
      <c r="I3147" s="205" t="str">
        <f t="shared" si="7"/>
        <v/>
      </c>
      <c r="J3147" s="205"/>
      <c r="K3147" s="205"/>
    </row>
    <row r="3148" ht="14.25" customHeight="1">
      <c r="A3148" s="55">
        <v>48803.0</v>
      </c>
      <c r="B3148" s="55" t="str">
        <f t="shared" si="10"/>
        <v>Primer dia</v>
      </c>
      <c r="C3148" s="202">
        <f t="shared" si="1"/>
        <v>12</v>
      </c>
      <c r="D3148" s="202" t="str">
        <f t="shared" si="2"/>
        <v> </v>
      </c>
      <c r="E3148" s="202" t="str">
        <f t="shared" si="9"/>
        <v> </v>
      </c>
      <c r="F3148" s="55" t="str">
        <f t="shared" si="4"/>
        <v/>
      </c>
      <c r="G3148" s="202" t="str">
        <f t="shared" si="5"/>
        <v/>
      </c>
      <c r="H3148" s="202" t="str">
        <f t="shared" si="11"/>
        <v> </v>
      </c>
      <c r="I3148" s="205" t="str">
        <f t="shared" si="7"/>
        <v/>
      </c>
      <c r="J3148" s="205"/>
      <c r="K3148" s="205"/>
    </row>
    <row r="3149" ht="14.25" customHeight="1">
      <c r="A3149" s="55">
        <v>48804.0</v>
      </c>
      <c r="B3149" s="55" t="str">
        <f t="shared" si="10"/>
        <v>Primer dia</v>
      </c>
      <c r="C3149" s="202">
        <f t="shared" si="1"/>
        <v>13</v>
      </c>
      <c r="D3149" s="202" t="str">
        <f t="shared" si="2"/>
        <v> </v>
      </c>
      <c r="E3149" s="202" t="str">
        <f t="shared" si="9"/>
        <v> </v>
      </c>
      <c r="F3149" s="55" t="str">
        <f t="shared" si="4"/>
        <v/>
      </c>
      <c r="G3149" s="202" t="str">
        <f t="shared" si="5"/>
        <v/>
      </c>
      <c r="H3149" s="202" t="str">
        <f t="shared" si="11"/>
        <v> </v>
      </c>
      <c r="I3149" s="205" t="str">
        <f t="shared" si="7"/>
        <v/>
      </c>
      <c r="J3149" s="205"/>
      <c r="K3149" s="205"/>
    </row>
    <row r="3150" ht="14.25" customHeight="1">
      <c r="A3150" s="55">
        <v>48805.0</v>
      </c>
      <c r="B3150" s="55" t="str">
        <f t="shared" si="10"/>
        <v>Primer dia</v>
      </c>
      <c r="C3150" s="202">
        <f t="shared" si="1"/>
        <v>14</v>
      </c>
      <c r="D3150" s="202" t="str">
        <f t="shared" si="2"/>
        <v> </v>
      </c>
      <c r="E3150" s="202" t="str">
        <f t="shared" si="9"/>
        <v> </v>
      </c>
      <c r="F3150" s="55" t="str">
        <f t="shared" si="4"/>
        <v/>
      </c>
      <c r="G3150" s="202" t="str">
        <f t="shared" si="5"/>
        <v/>
      </c>
      <c r="H3150" s="202" t="str">
        <f t="shared" si="11"/>
        <v> </v>
      </c>
      <c r="I3150" s="205" t="str">
        <f t="shared" si="7"/>
        <v/>
      </c>
      <c r="J3150" s="205"/>
      <c r="K3150" s="205"/>
    </row>
    <row r="3151" ht="14.25" customHeight="1">
      <c r="A3151" s="55">
        <v>48806.0</v>
      </c>
      <c r="B3151" s="55" t="str">
        <f t="shared" si="10"/>
        <v>Primer dia</v>
      </c>
      <c r="C3151" s="202">
        <f t="shared" si="1"/>
        <v>15</v>
      </c>
      <c r="D3151" s="202" t="str">
        <f t="shared" si="2"/>
        <v> </v>
      </c>
      <c r="E3151" s="202" t="str">
        <f t="shared" si="9"/>
        <v> </v>
      </c>
      <c r="F3151" s="55" t="str">
        <f t="shared" si="4"/>
        <v/>
      </c>
      <c r="G3151" s="202" t="str">
        <f t="shared" si="5"/>
        <v/>
      </c>
      <c r="H3151" s="202" t="str">
        <f t="shared" si="11"/>
        <v> </v>
      </c>
      <c r="I3151" s="205" t="str">
        <f t="shared" si="7"/>
        <v/>
      </c>
      <c r="J3151" s="205"/>
      <c r="K3151" s="205"/>
    </row>
    <row r="3152" ht="14.25" customHeight="1">
      <c r="A3152" s="55">
        <v>48807.0</v>
      </c>
      <c r="B3152" s="55" t="str">
        <f t="shared" si="10"/>
        <v>Primer dia</v>
      </c>
      <c r="C3152" s="202">
        <f t="shared" si="1"/>
        <v>16</v>
      </c>
      <c r="D3152" s="202" t="str">
        <f t="shared" si="2"/>
        <v> </v>
      </c>
      <c r="E3152" s="202" t="str">
        <f t="shared" si="9"/>
        <v> </v>
      </c>
      <c r="F3152" s="55" t="str">
        <f t="shared" si="4"/>
        <v/>
      </c>
      <c r="G3152" s="202" t="str">
        <f t="shared" si="5"/>
        <v/>
      </c>
      <c r="H3152" s="202" t="str">
        <f t="shared" si="11"/>
        <v> </v>
      </c>
      <c r="I3152" s="205" t="str">
        <f t="shared" si="7"/>
        <v/>
      </c>
      <c r="J3152" s="205"/>
      <c r="K3152" s="205"/>
    </row>
    <row r="3153" ht="14.25" customHeight="1">
      <c r="A3153" s="55">
        <v>48808.0</v>
      </c>
      <c r="B3153" s="55" t="str">
        <f t="shared" si="10"/>
        <v>Primer dia</v>
      </c>
      <c r="C3153" s="202">
        <f t="shared" si="1"/>
        <v>17</v>
      </c>
      <c r="D3153" s="202" t="str">
        <f t="shared" si="2"/>
        <v> </v>
      </c>
      <c r="E3153" s="202">
        <f t="shared" si="9"/>
        <v>17</v>
      </c>
      <c r="F3153" s="55">
        <f t="shared" si="4"/>
        <v>48808</v>
      </c>
      <c r="G3153" s="202">
        <f t="shared" si="5"/>
        <v>182</v>
      </c>
      <c r="H3153" s="202" t="str">
        <f t="shared" si="11"/>
        <v> </v>
      </c>
      <c r="I3153" s="205" t="str">
        <f t="shared" si="7"/>
        <v/>
      </c>
      <c r="J3153" s="205"/>
      <c r="K3153" s="205"/>
    </row>
    <row r="3154" ht="14.25" customHeight="1">
      <c r="A3154" s="55">
        <v>48809.0</v>
      </c>
      <c r="B3154" s="55" t="str">
        <f t="shared" si="10"/>
        <v>Primer dia</v>
      </c>
      <c r="C3154" s="202">
        <f t="shared" si="1"/>
        <v>18</v>
      </c>
      <c r="D3154" s="202" t="str">
        <f t="shared" si="2"/>
        <v> </v>
      </c>
      <c r="E3154" s="202" t="str">
        <f t="shared" si="9"/>
        <v> </v>
      </c>
      <c r="F3154" s="55" t="str">
        <f t="shared" si="4"/>
        <v/>
      </c>
      <c r="G3154" s="202" t="str">
        <f t="shared" si="5"/>
        <v/>
      </c>
      <c r="H3154" s="202" t="str">
        <f t="shared" si="11"/>
        <v> </v>
      </c>
      <c r="I3154" s="205" t="str">
        <f t="shared" si="7"/>
        <v/>
      </c>
      <c r="J3154" s="205"/>
      <c r="K3154" s="205"/>
    </row>
    <row r="3155" ht="14.25" customHeight="1">
      <c r="A3155" s="55">
        <v>48810.0</v>
      </c>
      <c r="B3155" s="55" t="str">
        <f t="shared" si="10"/>
        <v>Primer dia</v>
      </c>
      <c r="C3155" s="202">
        <f t="shared" si="1"/>
        <v>19</v>
      </c>
      <c r="D3155" s="202" t="str">
        <f t="shared" si="2"/>
        <v> </v>
      </c>
      <c r="E3155" s="202" t="str">
        <f t="shared" si="9"/>
        <v> </v>
      </c>
      <c r="F3155" s="55" t="str">
        <f t="shared" si="4"/>
        <v/>
      </c>
      <c r="G3155" s="202" t="str">
        <f t="shared" si="5"/>
        <v/>
      </c>
      <c r="H3155" s="202" t="str">
        <f t="shared" si="11"/>
        <v> </v>
      </c>
      <c r="I3155" s="205" t="str">
        <f t="shared" si="7"/>
        <v/>
      </c>
      <c r="J3155" s="205"/>
      <c r="K3155" s="205"/>
    </row>
    <row r="3156" ht="14.25" customHeight="1">
      <c r="A3156" s="55">
        <v>48811.0</v>
      </c>
      <c r="B3156" s="55" t="str">
        <f t="shared" si="10"/>
        <v>Primer dia</v>
      </c>
      <c r="C3156" s="202">
        <f t="shared" si="1"/>
        <v>20</v>
      </c>
      <c r="D3156" s="202" t="str">
        <f t="shared" si="2"/>
        <v> </v>
      </c>
      <c r="E3156" s="202" t="str">
        <f t="shared" si="9"/>
        <v> </v>
      </c>
      <c r="F3156" s="55" t="str">
        <f t="shared" si="4"/>
        <v/>
      </c>
      <c r="G3156" s="202" t="str">
        <f t="shared" si="5"/>
        <v/>
      </c>
      <c r="H3156" s="202" t="str">
        <f t="shared" si="11"/>
        <v> </v>
      </c>
      <c r="I3156" s="205" t="str">
        <f t="shared" si="7"/>
        <v/>
      </c>
      <c r="J3156" s="205"/>
      <c r="K3156" s="205"/>
    </row>
    <row r="3157" ht="14.25" customHeight="1">
      <c r="A3157" s="55">
        <v>48812.0</v>
      </c>
      <c r="B3157" s="55" t="str">
        <f t="shared" si="10"/>
        <v>Primer dia</v>
      </c>
      <c r="C3157" s="202">
        <f t="shared" si="1"/>
        <v>21</v>
      </c>
      <c r="D3157" s="202" t="str">
        <f t="shared" si="2"/>
        <v> </v>
      </c>
      <c r="E3157" s="202" t="str">
        <f t="shared" si="9"/>
        <v> </v>
      </c>
      <c r="F3157" s="55" t="str">
        <f t="shared" si="4"/>
        <v/>
      </c>
      <c r="G3157" s="202" t="str">
        <f t="shared" si="5"/>
        <v/>
      </c>
      <c r="H3157" s="202" t="str">
        <f t="shared" si="11"/>
        <v> </v>
      </c>
      <c r="I3157" s="205" t="str">
        <f t="shared" si="7"/>
        <v/>
      </c>
      <c r="J3157" s="205"/>
      <c r="K3157" s="205"/>
    </row>
    <row r="3158" ht="14.25" customHeight="1">
      <c r="A3158" s="55">
        <v>48813.0</v>
      </c>
      <c r="B3158" s="55" t="str">
        <f t="shared" si="10"/>
        <v>Primer dia</v>
      </c>
      <c r="C3158" s="202">
        <f t="shared" si="1"/>
        <v>22</v>
      </c>
      <c r="D3158" s="202" t="str">
        <f t="shared" si="2"/>
        <v> </v>
      </c>
      <c r="E3158" s="202" t="str">
        <f t="shared" si="9"/>
        <v> </v>
      </c>
      <c r="F3158" s="55" t="str">
        <f t="shared" si="4"/>
        <v/>
      </c>
      <c r="G3158" s="202" t="str">
        <f t="shared" si="5"/>
        <v/>
      </c>
      <c r="H3158" s="202" t="str">
        <f t="shared" si="11"/>
        <v> </v>
      </c>
      <c r="I3158" s="205" t="str">
        <f t="shared" si="7"/>
        <v/>
      </c>
      <c r="J3158" s="205"/>
      <c r="K3158" s="205"/>
    </row>
    <row r="3159" ht="14.25" customHeight="1">
      <c r="A3159" s="55">
        <v>48814.0</v>
      </c>
      <c r="B3159" s="55" t="str">
        <f t="shared" si="10"/>
        <v>Primer dia</v>
      </c>
      <c r="C3159" s="202">
        <f t="shared" si="1"/>
        <v>23</v>
      </c>
      <c r="D3159" s="202" t="str">
        <f t="shared" si="2"/>
        <v> </v>
      </c>
      <c r="E3159" s="202" t="str">
        <f t="shared" si="9"/>
        <v> </v>
      </c>
      <c r="F3159" s="55" t="str">
        <f t="shared" si="4"/>
        <v/>
      </c>
      <c r="G3159" s="202" t="str">
        <f t="shared" si="5"/>
        <v/>
      </c>
      <c r="H3159" s="202" t="str">
        <f t="shared" si="11"/>
        <v> </v>
      </c>
      <c r="I3159" s="205" t="str">
        <f t="shared" si="7"/>
        <v/>
      </c>
      <c r="J3159" s="205"/>
      <c r="K3159" s="205"/>
    </row>
    <row r="3160" ht="14.25" customHeight="1">
      <c r="A3160" s="55">
        <v>48815.0</v>
      </c>
      <c r="B3160" s="55" t="str">
        <f t="shared" si="10"/>
        <v>Primer dia</v>
      </c>
      <c r="C3160" s="202">
        <f t="shared" si="1"/>
        <v>24</v>
      </c>
      <c r="D3160" s="202" t="str">
        <f t="shared" si="2"/>
        <v> </v>
      </c>
      <c r="E3160" s="202" t="str">
        <f t="shared" si="9"/>
        <v> </v>
      </c>
      <c r="F3160" s="55" t="str">
        <f t="shared" si="4"/>
        <v/>
      </c>
      <c r="G3160" s="202" t="str">
        <f t="shared" si="5"/>
        <v/>
      </c>
      <c r="H3160" s="202" t="str">
        <f t="shared" si="11"/>
        <v> </v>
      </c>
      <c r="I3160" s="205" t="str">
        <f t="shared" si="7"/>
        <v/>
      </c>
      <c r="J3160" s="205"/>
      <c r="K3160" s="205"/>
    </row>
    <row r="3161" ht="14.25" customHeight="1">
      <c r="A3161" s="55">
        <v>48816.0</v>
      </c>
      <c r="B3161" s="55" t="str">
        <f t="shared" si="10"/>
        <v>Primer dia</v>
      </c>
      <c r="C3161" s="202">
        <f t="shared" si="1"/>
        <v>25</v>
      </c>
      <c r="D3161" s="202" t="str">
        <f t="shared" si="2"/>
        <v> </v>
      </c>
      <c r="E3161" s="202" t="str">
        <f t="shared" si="9"/>
        <v> </v>
      </c>
      <c r="F3161" s="55" t="str">
        <f t="shared" si="4"/>
        <v/>
      </c>
      <c r="G3161" s="202" t="str">
        <f t="shared" si="5"/>
        <v/>
      </c>
      <c r="H3161" s="202" t="str">
        <f t="shared" si="11"/>
        <v> </v>
      </c>
      <c r="I3161" s="205" t="str">
        <f t="shared" si="7"/>
        <v/>
      </c>
      <c r="J3161" s="205"/>
      <c r="K3161" s="205"/>
    </row>
    <row r="3162" ht="14.25" customHeight="1">
      <c r="A3162" s="55">
        <v>48817.0</v>
      </c>
      <c r="B3162" s="55" t="str">
        <f t="shared" si="10"/>
        <v>Primer dia</v>
      </c>
      <c r="C3162" s="202">
        <f t="shared" si="1"/>
        <v>26</v>
      </c>
      <c r="D3162" s="202" t="str">
        <f t="shared" si="2"/>
        <v> </v>
      </c>
      <c r="E3162" s="202" t="str">
        <f t="shared" si="9"/>
        <v> </v>
      </c>
      <c r="F3162" s="55" t="str">
        <f t="shared" si="4"/>
        <v/>
      </c>
      <c r="G3162" s="202" t="str">
        <f t="shared" si="5"/>
        <v/>
      </c>
      <c r="H3162" s="202" t="str">
        <f t="shared" si="11"/>
        <v> </v>
      </c>
      <c r="I3162" s="205" t="str">
        <f t="shared" si="7"/>
        <v/>
      </c>
      <c r="J3162" s="205"/>
      <c r="K3162" s="205"/>
    </row>
    <row r="3163" ht="14.25" customHeight="1">
      <c r="A3163" s="55">
        <v>48818.0</v>
      </c>
      <c r="B3163" s="55" t="str">
        <f t="shared" si="10"/>
        <v>Primer dia</v>
      </c>
      <c r="C3163" s="202">
        <f t="shared" si="1"/>
        <v>27</v>
      </c>
      <c r="D3163" s="202" t="str">
        <f t="shared" si="2"/>
        <v> </v>
      </c>
      <c r="E3163" s="202" t="str">
        <f t="shared" si="9"/>
        <v> </v>
      </c>
      <c r="F3163" s="55" t="str">
        <f t="shared" si="4"/>
        <v/>
      </c>
      <c r="G3163" s="202" t="str">
        <f t="shared" si="5"/>
        <v/>
      </c>
      <c r="H3163" s="202" t="str">
        <f t="shared" si="11"/>
        <v> </v>
      </c>
      <c r="I3163" s="205" t="str">
        <f t="shared" si="7"/>
        <v/>
      </c>
      <c r="J3163" s="205"/>
      <c r="K3163" s="205"/>
    </row>
    <row r="3164" ht="14.25" customHeight="1">
      <c r="A3164" s="55">
        <v>48819.0</v>
      </c>
      <c r="B3164" s="55" t="str">
        <f t="shared" si="10"/>
        <v>Primer dia</v>
      </c>
      <c r="C3164" s="202">
        <f t="shared" si="1"/>
        <v>28</v>
      </c>
      <c r="D3164" s="202" t="str">
        <f t="shared" si="2"/>
        <v> </v>
      </c>
      <c r="E3164" s="202" t="str">
        <f t="shared" si="9"/>
        <v> </v>
      </c>
      <c r="F3164" s="55" t="str">
        <f t="shared" si="4"/>
        <v/>
      </c>
      <c r="G3164" s="202" t="str">
        <f t="shared" si="5"/>
        <v/>
      </c>
      <c r="H3164" s="202" t="str">
        <f t="shared" si="11"/>
        <v> </v>
      </c>
      <c r="I3164" s="205" t="str">
        <f t="shared" si="7"/>
        <v/>
      </c>
      <c r="J3164" s="205"/>
      <c r="K3164" s="205"/>
    </row>
    <row r="3165" ht="14.25" customHeight="1">
      <c r="A3165" s="55">
        <v>48820.0</v>
      </c>
      <c r="B3165" s="55" t="str">
        <f t="shared" si="10"/>
        <v>Primer dia</v>
      </c>
      <c r="C3165" s="202">
        <f t="shared" si="1"/>
        <v>29</v>
      </c>
      <c r="D3165" s="202" t="str">
        <f t="shared" si="2"/>
        <v> </v>
      </c>
      <c r="E3165" s="202" t="str">
        <f t="shared" si="9"/>
        <v> </v>
      </c>
      <c r="F3165" s="55" t="str">
        <f t="shared" si="4"/>
        <v/>
      </c>
      <c r="G3165" s="202" t="str">
        <f t="shared" si="5"/>
        <v/>
      </c>
      <c r="H3165" s="202" t="str">
        <f t="shared" si="11"/>
        <v> </v>
      </c>
      <c r="I3165" s="205" t="str">
        <f t="shared" si="7"/>
        <v/>
      </c>
      <c r="J3165" s="205"/>
      <c r="K3165" s="205"/>
    </row>
    <row r="3166" ht="14.25" customHeight="1">
      <c r="A3166" s="55">
        <v>48821.0</v>
      </c>
      <c r="B3166" s="55" t="str">
        <f t="shared" si="10"/>
        <v>Primer dia</v>
      </c>
      <c r="C3166" s="202">
        <f t="shared" si="1"/>
        <v>30</v>
      </c>
      <c r="D3166" s="202" t="str">
        <f t="shared" si="2"/>
        <v> </v>
      </c>
      <c r="E3166" s="202" t="str">
        <f t="shared" si="9"/>
        <v> </v>
      </c>
      <c r="F3166" s="55" t="str">
        <f t="shared" si="4"/>
        <v/>
      </c>
      <c r="G3166" s="202" t="str">
        <f t="shared" si="5"/>
        <v/>
      </c>
      <c r="H3166" s="202" t="str">
        <f t="shared" si="11"/>
        <v> </v>
      </c>
      <c r="I3166" s="205" t="str">
        <f t="shared" si="7"/>
        <v/>
      </c>
      <c r="J3166" s="205"/>
      <c r="K3166" s="205"/>
    </row>
    <row r="3167" ht="14.25" customHeight="1">
      <c r="A3167" s="55">
        <v>48822.0</v>
      </c>
      <c r="B3167" s="55" t="str">
        <f t="shared" si="10"/>
        <v>Primer dia</v>
      </c>
      <c r="C3167" s="202">
        <f t="shared" si="1"/>
        <v>31</v>
      </c>
      <c r="D3167" s="202" t="str">
        <f t="shared" si="2"/>
        <v> </v>
      </c>
      <c r="E3167" s="202" t="str">
        <f t="shared" si="9"/>
        <v> </v>
      </c>
      <c r="F3167" s="55" t="str">
        <f t="shared" si="4"/>
        <v/>
      </c>
      <c r="G3167" s="202" t="str">
        <f t="shared" si="5"/>
        <v/>
      </c>
      <c r="H3167" s="202" t="str">
        <f t="shared" si="11"/>
        <v> </v>
      </c>
      <c r="I3167" s="205" t="str">
        <f t="shared" si="7"/>
        <v/>
      </c>
      <c r="J3167" s="205"/>
      <c r="K3167" s="205"/>
    </row>
    <row r="3168" ht="14.25" customHeight="1">
      <c r="A3168" s="55">
        <v>48823.0</v>
      </c>
      <c r="B3168" s="55" t="str">
        <f t="shared" si="10"/>
        <v>Primer dia</v>
      </c>
      <c r="C3168" s="202">
        <f t="shared" si="1"/>
        <v>1</v>
      </c>
      <c r="D3168" s="202" t="str">
        <f t="shared" si="2"/>
        <v> </v>
      </c>
      <c r="E3168" s="202" t="str">
        <f t="shared" si="9"/>
        <v> </v>
      </c>
      <c r="F3168" s="55" t="str">
        <f t="shared" si="4"/>
        <v/>
      </c>
      <c r="G3168" s="202" t="str">
        <f t="shared" si="5"/>
        <v/>
      </c>
      <c r="H3168" s="202" t="str">
        <f t="shared" si="11"/>
        <v> </v>
      </c>
      <c r="I3168" s="205" t="str">
        <f t="shared" si="7"/>
        <v/>
      </c>
      <c r="J3168" s="205"/>
      <c r="K3168" s="205"/>
    </row>
    <row r="3169" ht="14.25" customHeight="1">
      <c r="A3169" s="55">
        <v>48824.0</v>
      </c>
      <c r="B3169" s="55" t="str">
        <f t="shared" si="10"/>
        <v>Primer dia</v>
      </c>
      <c r="C3169" s="202">
        <f t="shared" si="1"/>
        <v>2</v>
      </c>
      <c r="D3169" s="202" t="str">
        <f t="shared" si="2"/>
        <v> </v>
      </c>
      <c r="E3169" s="202">
        <f t="shared" si="9"/>
        <v>2</v>
      </c>
      <c r="F3169" s="55">
        <f t="shared" si="4"/>
        <v>48824</v>
      </c>
      <c r="G3169" s="202">
        <f t="shared" si="5"/>
        <v>183</v>
      </c>
      <c r="H3169" s="202" t="str">
        <f t="shared" si="11"/>
        <v> </v>
      </c>
      <c r="I3169" s="205" t="str">
        <f t="shared" si="7"/>
        <v/>
      </c>
      <c r="J3169" s="205"/>
      <c r="K3169" s="205"/>
    </row>
    <row r="3170" ht="14.25" customHeight="1">
      <c r="A3170" s="55">
        <v>48825.0</v>
      </c>
      <c r="B3170" s="55" t="str">
        <f t="shared" si="10"/>
        <v>Primer dia</v>
      </c>
      <c r="C3170" s="202">
        <f t="shared" si="1"/>
        <v>3</v>
      </c>
      <c r="D3170" s="202" t="str">
        <f t="shared" si="2"/>
        <v> </v>
      </c>
      <c r="E3170" s="202" t="str">
        <f t="shared" si="9"/>
        <v> </v>
      </c>
      <c r="F3170" s="55" t="str">
        <f t="shared" si="4"/>
        <v/>
      </c>
      <c r="G3170" s="202" t="str">
        <f t="shared" si="5"/>
        <v/>
      </c>
      <c r="H3170" s="202" t="str">
        <f t="shared" si="11"/>
        <v> </v>
      </c>
      <c r="I3170" s="205" t="str">
        <f t="shared" si="7"/>
        <v/>
      </c>
      <c r="J3170" s="205"/>
      <c r="K3170" s="205"/>
    </row>
    <row r="3171" ht="14.25" customHeight="1">
      <c r="A3171" s="55">
        <v>48826.0</v>
      </c>
      <c r="B3171" s="55" t="str">
        <f t="shared" si="10"/>
        <v>Primer dia</v>
      </c>
      <c r="C3171" s="202">
        <f t="shared" si="1"/>
        <v>4</v>
      </c>
      <c r="D3171" s="202" t="str">
        <f t="shared" si="2"/>
        <v> </v>
      </c>
      <c r="E3171" s="202" t="str">
        <f t="shared" si="9"/>
        <v> </v>
      </c>
      <c r="F3171" s="55" t="str">
        <f t="shared" si="4"/>
        <v/>
      </c>
      <c r="G3171" s="202" t="str">
        <f t="shared" si="5"/>
        <v/>
      </c>
      <c r="H3171" s="202" t="str">
        <f t="shared" si="11"/>
        <v> </v>
      </c>
      <c r="I3171" s="205" t="str">
        <f t="shared" si="7"/>
        <v/>
      </c>
      <c r="J3171" s="205"/>
      <c r="K3171" s="205"/>
    </row>
    <row r="3172" ht="14.25" customHeight="1">
      <c r="A3172" s="55">
        <v>48827.0</v>
      </c>
      <c r="B3172" s="55" t="str">
        <f t="shared" si="10"/>
        <v>Primer dia</v>
      </c>
      <c r="C3172" s="202">
        <f t="shared" si="1"/>
        <v>5</v>
      </c>
      <c r="D3172" s="202" t="str">
        <f t="shared" si="2"/>
        <v> </v>
      </c>
      <c r="E3172" s="202" t="str">
        <f t="shared" si="9"/>
        <v> </v>
      </c>
      <c r="F3172" s="55" t="str">
        <f t="shared" si="4"/>
        <v/>
      </c>
      <c r="G3172" s="202" t="str">
        <f t="shared" si="5"/>
        <v/>
      </c>
      <c r="H3172" s="202" t="str">
        <f t="shared" si="11"/>
        <v> </v>
      </c>
      <c r="I3172" s="205" t="str">
        <f t="shared" si="7"/>
        <v/>
      </c>
      <c r="J3172" s="205"/>
      <c r="K3172" s="205"/>
    </row>
    <row r="3173" ht="14.25" customHeight="1">
      <c r="A3173" s="55">
        <v>48828.0</v>
      </c>
      <c r="B3173" s="55" t="str">
        <f t="shared" si="10"/>
        <v>Primer dia</v>
      </c>
      <c r="C3173" s="202">
        <f t="shared" si="1"/>
        <v>6</v>
      </c>
      <c r="D3173" s="202" t="str">
        <f t="shared" si="2"/>
        <v> </v>
      </c>
      <c r="E3173" s="202" t="str">
        <f t="shared" si="9"/>
        <v> </v>
      </c>
      <c r="F3173" s="55" t="str">
        <f t="shared" si="4"/>
        <v/>
      </c>
      <c r="G3173" s="202" t="str">
        <f t="shared" si="5"/>
        <v/>
      </c>
      <c r="H3173" s="202" t="str">
        <f t="shared" si="11"/>
        <v> </v>
      </c>
      <c r="I3173" s="205" t="str">
        <f t="shared" si="7"/>
        <v/>
      </c>
      <c r="J3173" s="205"/>
      <c r="K3173" s="205"/>
    </row>
    <row r="3174" ht="14.25" customHeight="1">
      <c r="A3174" s="55">
        <v>48829.0</v>
      </c>
      <c r="B3174" s="55" t="str">
        <f t="shared" si="10"/>
        <v>Primer dia</v>
      </c>
      <c r="C3174" s="202">
        <f t="shared" si="1"/>
        <v>7</v>
      </c>
      <c r="D3174" s="202" t="str">
        <f t="shared" si="2"/>
        <v> </v>
      </c>
      <c r="E3174" s="202" t="str">
        <f t="shared" si="9"/>
        <v> </v>
      </c>
      <c r="F3174" s="55" t="str">
        <f t="shared" si="4"/>
        <v/>
      </c>
      <c r="G3174" s="202" t="str">
        <f t="shared" si="5"/>
        <v/>
      </c>
      <c r="H3174" s="202" t="str">
        <f t="shared" si="11"/>
        <v> </v>
      </c>
      <c r="I3174" s="205" t="str">
        <f t="shared" si="7"/>
        <v/>
      </c>
      <c r="J3174" s="205"/>
      <c r="K3174" s="205"/>
    </row>
    <row r="3175" ht="14.25" customHeight="1">
      <c r="A3175" s="55">
        <v>48830.0</v>
      </c>
      <c r="B3175" s="55" t="str">
        <f t="shared" si="10"/>
        <v>Primer dia</v>
      </c>
      <c r="C3175" s="202">
        <f t="shared" si="1"/>
        <v>8</v>
      </c>
      <c r="D3175" s="202" t="str">
        <f t="shared" si="2"/>
        <v> </v>
      </c>
      <c r="E3175" s="202" t="str">
        <f t="shared" si="9"/>
        <v> </v>
      </c>
      <c r="F3175" s="55" t="str">
        <f t="shared" si="4"/>
        <v/>
      </c>
      <c r="G3175" s="202" t="str">
        <f t="shared" si="5"/>
        <v/>
      </c>
      <c r="H3175" s="202" t="str">
        <f t="shared" si="11"/>
        <v> </v>
      </c>
      <c r="I3175" s="205" t="str">
        <f t="shared" si="7"/>
        <v/>
      </c>
      <c r="J3175" s="205"/>
      <c r="K3175" s="205"/>
    </row>
    <row r="3176" ht="14.25" customHeight="1">
      <c r="A3176" s="55">
        <v>48831.0</v>
      </c>
      <c r="B3176" s="55" t="str">
        <f t="shared" si="10"/>
        <v>Primer dia</v>
      </c>
      <c r="C3176" s="202">
        <f t="shared" si="1"/>
        <v>9</v>
      </c>
      <c r="D3176" s="202" t="str">
        <f t="shared" si="2"/>
        <v> </v>
      </c>
      <c r="E3176" s="202" t="str">
        <f t="shared" si="9"/>
        <v> </v>
      </c>
      <c r="F3176" s="55" t="str">
        <f t="shared" si="4"/>
        <v/>
      </c>
      <c r="G3176" s="202" t="str">
        <f t="shared" si="5"/>
        <v/>
      </c>
      <c r="H3176" s="202" t="str">
        <f t="shared" si="11"/>
        <v> </v>
      </c>
      <c r="I3176" s="205" t="str">
        <f t="shared" si="7"/>
        <v/>
      </c>
      <c r="J3176" s="205"/>
      <c r="K3176" s="205"/>
    </row>
    <row r="3177" ht="14.25" customHeight="1">
      <c r="A3177" s="55">
        <v>48832.0</v>
      </c>
      <c r="B3177" s="55" t="str">
        <f t="shared" si="10"/>
        <v>Primer dia</v>
      </c>
      <c r="C3177" s="202">
        <f t="shared" si="1"/>
        <v>10</v>
      </c>
      <c r="D3177" s="202" t="str">
        <f t="shared" si="2"/>
        <v> </v>
      </c>
      <c r="E3177" s="202" t="str">
        <f t="shared" si="9"/>
        <v> </v>
      </c>
      <c r="F3177" s="55" t="str">
        <f t="shared" si="4"/>
        <v/>
      </c>
      <c r="G3177" s="202" t="str">
        <f t="shared" si="5"/>
        <v/>
      </c>
      <c r="H3177" s="202" t="str">
        <f t="shared" si="11"/>
        <v> </v>
      </c>
      <c r="I3177" s="205" t="str">
        <f t="shared" si="7"/>
        <v/>
      </c>
      <c r="J3177" s="205"/>
      <c r="K3177" s="205"/>
    </row>
    <row r="3178" ht="14.25" customHeight="1">
      <c r="A3178" s="55">
        <v>48833.0</v>
      </c>
      <c r="B3178" s="55" t="str">
        <f t="shared" si="10"/>
        <v>Primer dia</v>
      </c>
      <c r="C3178" s="202">
        <f t="shared" si="1"/>
        <v>11</v>
      </c>
      <c r="D3178" s="202" t="str">
        <f t="shared" si="2"/>
        <v> </v>
      </c>
      <c r="E3178" s="202" t="str">
        <f t="shared" si="9"/>
        <v> </v>
      </c>
      <c r="F3178" s="55" t="str">
        <f t="shared" si="4"/>
        <v/>
      </c>
      <c r="G3178" s="202" t="str">
        <f t="shared" si="5"/>
        <v/>
      </c>
      <c r="H3178" s="202" t="str">
        <f t="shared" si="11"/>
        <v> </v>
      </c>
      <c r="I3178" s="205" t="str">
        <f t="shared" si="7"/>
        <v/>
      </c>
      <c r="J3178" s="205"/>
      <c r="K3178" s="205"/>
    </row>
    <row r="3179" ht="14.25" customHeight="1">
      <c r="A3179" s="55">
        <v>48834.0</v>
      </c>
      <c r="B3179" s="55" t="str">
        <f t="shared" si="10"/>
        <v>Primer dia</v>
      </c>
      <c r="C3179" s="202">
        <f t="shared" si="1"/>
        <v>12</v>
      </c>
      <c r="D3179" s="202" t="str">
        <f t="shared" si="2"/>
        <v> </v>
      </c>
      <c r="E3179" s="202" t="str">
        <f t="shared" si="9"/>
        <v> </v>
      </c>
      <c r="F3179" s="55" t="str">
        <f t="shared" si="4"/>
        <v/>
      </c>
      <c r="G3179" s="202" t="str">
        <f t="shared" si="5"/>
        <v/>
      </c>
      <c r="H3179" s="202" t="str">
        <f t="shared" si="11"/>
        <v> </v>
      </c>
      <c r="I3179" s="205" t="str">
        <f t="shared" si="7"/>
        <v/>
      </c>
      <c r="J3179" s="205"/>
      <c r="K3179" s="205"/>
    </row>
    <row r="3180" ht="14.25" customHeight="1">
      <c r="A3180" s="55">
        <v>48835.0</v>
      </c>
      <c r="B3180" s="55" t="str">
        <f t="shared" si="10"/>
        <v>Primer dia</v>
      </c>
      <c r="C3180" s="202">
        <f t="shared" si="1"/>
        <v>13</v>
      </c>
      <c r="D3180" s="202" t="str">
        <f t="shared" si="2"/>
        <v> </v>
      </c>
      <c r="E3180" s="202" t="str">
        <f t="shared" si="9"/>
        <v> </v>
      </c>
      <c r="F3180" s="55" t="str">
        <f t="shared" si="4"/>
        <v/>
      </c>
      <c r="G3180" s="202" t="str">
        <f t="shared" si="5"/>
        <v/>
      </c>
      <c r="H3180" s="202" t="str">
        <f t="shared" si="11"/>
        <v> </v>
      </c>
      <c r="I3180" s="205" t="str">
        <f t="shared" si="7"/>
        <v/>
      </c>
      <c r="J3180" s="205"/>
      <c r="K3180" s="205"/>
    </row>
    <row r="3181" ht="14.25" customHeight="1">
      <c r="A3181" s="55">
        <v>48836.0</v>
      </c>
      <c r="B3181" s="55" t="str">
        <f t="shared" si="10"/>
        <v>Primer dia</v>
      </c>
      <c r="C3181" s="202">
        <f t="shared" si="1"/>
        <v>14</v>
      </c>
      <c r="D3181" s="202" t="str">
        <f t="shared" si="2"/>
        <v> </v>
      </c>
      <c r="E3181" s="202" t="str">
        <f t="shared" si="9"/>
        <v> </v>
      </c>
      <c r="F3181" s="55" t="str">
        <f t="shared" si="4"/>
        <v/>
      </c>
      <c r="G3181" s="202" t="str">
        <f t="shared" si="5"/>
        <v/>
      </c>
      <c r="H3181" s="202" t="str">
        <f t="shared" si="11"/>
        <v> </v>
      </c>
      <c r="I3181" s="205" t="str">
        <f t="shared" si="7"/>
        <v/>
      </c>
      <c r="J3181" s="205"/>
      <c r="K3181" s="205"/>
    </row>
    <row r="3182" ht="14.25" customHeight="1">
      <c r="A3182" s="55">
        <v>48837.0</v>
      </c>
      <c r="B3182" s="55" t="str">
        <f t="shared" si="10"/>
        <v>Primer dia</v>
      </c>
      <c r="C3182" s="202">
        <f t="shared" si="1"/>
        <v>15</v>
      </c>
      <c r="D3182" s="202" t="str">
        <f t="shared" si="2"/>
        <v> </v>
      </c>
      <c r="E3182" s="202" t="str">
        <f t="shared" si="9"/>
        <v> </v>
      </c>
      <c r="F3182" s="55" t="str">
        <f t="shared" si="4"/>
        <v/>
      </c>
      <c r="G3182" s="202" t="str">
        <f t="shared" si="5"/>
        <v/>
      </c>
      <c r="H3182" s="202" t="str">
        <f t="shared" si="11"/>
        <v> </v>
      </c>
      <c r="I3182" s="205" t="str">
        <f t="shared" si="7"/>
        <v/>
      </c>
      <c r="J3182" s="205"/>
      <c r="K3182" s="205"/>
    </row>
    <row r="3183" ht="14.25" customHeight="1">
      <c r="A3183" s="55">
        <v>48838.0</v>
      </c>
      <c r="B3183" s="55" t="str">
        <f t="shared" si="10"/>
        <v>Primer dia</v>
      </c>
      <c r="C3183" s="202">
        <f t="shared" si="1"/>
        <v>16</v>
      </c>
      <c r="D3183" s="202" t="str">
        <f t="shared" si="2"/>
        <v> </v>
      </c>
      <c r="E3183" s="202" t="str">
        <f t="shared" si="9"/>
        <v> </v>
      </c>
      <c r="F3183" s="55" t="str">
        <f t="shared" si="4"/>
        <v/>
      </c>
      <c r="G3183" s="202" t="str">
        <f t="shared" si="5"/>
        <v/>
      </c>
      <c r="H3183" s="202" t="str">
        <f t="shared" si="11"/>
        <v> </v>
      </c>
      <c r="I3183" s="205" t="str">
        <f t="shared" si="7"/>
        <v/>
      </c>
      <c r="J3183" s="205"/>
      <c r="K3183" s="205"/>
    </row>
    <row r="3184" ht="14.25" customHeight="1">
      <c r="A3184" s="55">
        <v>48839.0</v>
      </c>
      <c r="B3184" s="55" t="str">
        <f t="shared" si="10"/>
        <v>Primer dia</v>
      </c>
      <c r="C3184" s="202">
        <f t="shared" si="1"/>
        <v>17</v>
      </c>
      <c r="D3184" s="202" t="str">
        <f t="shared" si="2"/>
        <v> </v>
      </c>
      <c r="E3184" s="202">
        <f t="shared" si="9"/>
        <v>17</v>
      </c>
      <c r="F3184" s="55">
        <f t="shared" si="4"/>
        <v>48839</v>
      </c>
      <c r="G3184" s="202">
        <f t="shared" si="5"/>
        <v>184</v>
      </c>
      <c r="H3184" s="202" t="str">
        <f t="shared" si="11"/>
        <v> </v>
      </c>
      <c r="I3184" s="205" t="str">
        <f t="shared" si="7"/>
        <v/>
      </c>
      <c r="J3184" s="205"/>
      <c r="K3184" s="205"/>
    </row>
    <row r="3185" ht="14.25" customHeight="1">
      <c r="A3185" s="55">
        <v>48840.0</v>
      </c>
      <c r="B3185" s="55" t="str">
        <f t="shared" si="10"/>
        <v>Primer dia</v>
      </c>
      <c r="C3185" s="202">
        <f t="shared" si="1"/>
        <v>18</v>
      </c>
      <c r="D3185" s="202" t="str">
        <f t="shared" si="2"/>
        <v> </v>
      </c>
      <c r="E3185" s="202" t="str">
        <f t="shared" si="9"/>
        <v> </v>
      </c>
      <c r="F3185" s="55" t="str">
        <f t="shared" si="4"/>
        <v/>
      </c>
      <c r="G3185" s="202" t="str">
        <f t="shared" si="5"/>
        <v/>
      </c>
      <c r="H3185" s="202" t="str">
        <f t="shared" si="11"/>
        <v> </v>
      </c>
      <c r="I3185" s="205" t="str">
        <f t="shared" si="7"/>
        <v/>
      </c>
      <c r="J3185" s="205"/>
      <c r="K3185" s="205"/>
    </row>
    <row r="3186" ht="14.25" customHeight="1">
      <c r="A3186" s="55">
        <v>48841.0</v>
      </c>
      <c r="B3186" s="55" t="str">
        <f t="shared" si="10"/>
        <v>Primer dia</v>
      </c>
      <c r="C3186" s="202">
        <f t="shared" si="1"/>
        <v>19</v>
      </c>
      <c r="D3186" s="202" t="str">
        <f t="shared" si="2"/>
        <v> </v>
      </c>
      <c r="E3186" s="202" t="str">
        <f t="shared" si="9"/>
        <v> </v>
      </c>
      <c r="F3186" s="55" t="str">
        <f t="shared" si="4"/>
        <v/>
      </c>
      <c r="G3186" s="202" t="str">
        <f t="shared" si="5"/>
        <v/>
      </c>
      <c r="H3186" s="202" t="str">
        <f t="shared" si="11"/>
        <v> </v>
      </c>
      <c r="I3186" s="205" t="str">
        <f t="shared" si="7"/>
        <v/>
      </c>
      <c r="J3186" s="205"/>
      <c r="K3186" s="205"/>
    </row>
    <row r="3187" ht="14.25" customHeight="1">
      <c r="A3187" s="55">
        <v>48842.0</v>
      </c>
      <c r="B3187" s="55" t="str">
        <f t="shared" si="10"/>
        <v>Primer dia</v>
      </c>
      <c r="C3187" s="202">
        <f t="shared" si="1"/>
        <v>20</v>
      </c>
      <c r="D3187" s="202" t="str">
        <f t="shared" si="2"/>
        <v> </v>
      </c>
      <c r="E3187" s="202" t="str">
        <f t="shared" si="9"/>
        <v> </v>
      </c>
      <c r="F3187" s="55" t="str">
        <f t="shared" si="4"/>
        <v/>
      </c>
      <c r="G3187" s="202" t="str">
        <f t="shared" si="5"/>
        <v/>
      </c>
      <c r="H3187" s="202" t="str">
        <f t="shared" si="11"/>
        <v> </v>
      </c>
      <c r="I3187" s="205" t="str">
        <f t="shared" si="7"/>
        <v/>
      </c>
      <c r="J3187" s="205"/>
      <c r="K3187" s="205"/>
    </row>
    <row r="3188" ht="14.25" customHeight="1">
      <c r="A3188" s="55">
        <v>48843.0</v>
      </c>
      <c r="B3188" s="55" t="str">
        <f t="shared" si="10"/>
        <v>Primer dia</v>
      </c>
      <c r="C3188" s="202">
        <f t="shared" si="1"/>
        <v>21</v>
      </c>
      <c r="D3188" s="202" t="str">
        <f t="shared" si="2"/>
        <v> </v>
      </c>
      <c r="E3188" s="202" t="str">
        <f t="shared" si="9"/>
        <v> </v>
      </c>
      <c r="F3188" s="55" t="str">
        <f t="shared" si="4"/>
        <v/>
      </c>
      <c r="G3188" s="202" t="str">
        <f t="shared" si="5"/>
        <v/>
      </c>
      <c r="H3188" s="202" t="str">
        <f t="shared" si="11"/>
        <v> </v>
      </c>
      <c r="I3188" s="205" t="str">
        <f t="shared" si="7"/>
        <v/>
      </c>
      <c r="J3188" s="205"/>
      <c r="K3188" s="205"/>
    </row>
    <row r="3189" ht="14.25" customHeight="1">
      <c r="A3189" s="55">
        <v>48844.0</v>
      </c>
      <c r="B3189" s="55" t="str">
        <f t="shared" si="10"/>
        <v>Primer dia</v>
      </c>
      <c r="C3189" s="202">
        <f t="shared" si="1"/>
        <v>22</v>
      </c>
      <c r="D3189" s="202" t="str">
        <f t="shared" si="2"/>
        <v> </v>
      </c>
      <c r="E3189" s="202" t="str">
        <f t="shared" si="9"/>
        <v> </v>
      </c>
      <c r="F3189" s="55" t="str">
        <f t="shared" si="4"/>
        <v/>
      </c>
      <c r="G3189" s="202" t="str">
        <f t="shared" si="5"/>
        <v/>
      </c>
      <c r="H3189" s="202" t="str">
        <f t="shared" si="11"/>
        <v> </v>
      </c>
      <c r="I3189" s="205" t="str">
        <f t="shared" si="7"/>
        <v/>
      </c>
      <c r="J3189" s="205"/>
      <c r="K3189" s="205"/>
    </row>
    <row r="3190" ht="14.25" customHeight="1">
      <c r="A3190" s="55">
        <v>48845.0</v>
      </c>
      <c r="B3190" s="55" t="str">
        <f t="shared" si="10"/>
        <v>Primer dia</v>
      </c>
      <c r="C3190" s="202">
        <f t="shared" si="1"/>
        <v>23</v>
      </c>
      <c r="D3190" s="202" t="str">
        <f t="shared" si="2"/>
        <v> </v>
      </c>
      <c r="E3190" s="202" t="str">
        <f t="shared" si="9"/>
        <v> </v>
      </c>
      <c r="F3190" s="55" t="str">
        <f t="shared" si="4"/>
        <v/>
      </c>
      <c r="G3190" s="202" t="str">
        <f t="shared" si="5"/>
        <v/>
      </c>
      <c r="H3190" s="202" t="str">
        <f t="shared" si="11"/>
        <v> </v>
      </c>
      <c r="I3190" s="205" t="str">
        <f t="shared" si="7"/>
        <v/>
      </c>
      <c r="J3190" s="205"/>
      <c r="K3190" s="205"/>
    </row>
    <row r="3191" ht="14.25" customHeight="1">
      <c r="A3191" s="55">
        <v>48846.0</v>
      </c>
      <c r="B3191" s="55" t="str">
        <f t="shared" si="10"/>
        <v>Primer dia</v>
      </c>
      <c r="C3191" s="202">
        <f t="shared" si="1"/>
        <v>24</v>
      </c>
      <c r="D3191" s="202" t="str">
        <f t="shared" si="2"/>
        <v> </v>
      </c>
      <c r="E3191" s="202" t="str">
        <f t="shared" si="9"/>
        <v> </v>
      </c>
      <c r="F3191" s="55" t="str">
        <f t="shared" si="4"/>
        <v/>
      </c>
      <c r="G3191" s="202" t="str">
        <f t="shared" si="5"/>
        <v/>
      </c>
      <c r="H3191" s="202" t="str">
        <f t="shared" si="11"/>
        <v> </v>
      </c>
      <c r="I3191" s="205" t="str">
        <f t="shared" si="7"/>
        <v/>
      </c>
      <c r="J3191" s="205"/>
      <c r="K3191" s="205"/>
    </row>
    <row r="3192" ht="14.25" customHeight="1">
      <c r="A3192" s="55">
        <v>48847.0</v>
      </c>
      <c r="B3192" s="55" t="str">
        <f t="shared" si="10"/>
        <v>Primer dia</v>
      </c>
      <c r="C3192" s="202">
        <f t="shared" si="1"/>
        <v>25</v>
      </c>
      <c r="D3192" s="202" t="str">
        <f t="shared" si="2"/>
        <v> </v>
      </c>
      <c r="E3192" s="202" t="str">
        <f t="shared" si="9"/>
        <v> </v>
      </c>
      <c r="F3192" s="55" t="str">
        <f t="shared" si="4"/>
        <v/>
      </c>
      <c r="G3192" s="202" t="str">
        <f t="shared" si="5"/>
        <v/>
      </c>
      <c r="H3192" s="202" t="str">
        <f t="shared" si="11"/>
        <v> </v>
      </c>
      <c r="I3192" s="205" t="str">
        <f t="shared" si="7"/>
        <v/>
      </c>
      <c r="J3192" s="205"/>
      <c r="K3192" s="205"/>
    </row>
    <row r="3193" ht="14.25" customHeight="1">
      <c r="A3193" s="55">
        <v>48848.0</v>
      </c>
      <c r="B3193" s="55" t="str">
        <f t="shared" si="10"/>
        <v>Primer dia</v>
      </c>
      <c r="C3193" s="202">
        <f t="shared" si="1"/>
        <v>26</v>
      </c>
      <c r="D3193" s="202" t="str">
        <f t="shared" si="2"/>
        <v> </v>
      </c>
      <c r="E3193" s="202" t="str">
        <f t="shared" si="9"/>
        <v> </v>
      </c>
      <c r="F3193" s="55" t="str">
        <f t="shared" si="4"/>
        <v/>
      </c>
      <c r="G3193" s="202" t="str">
        <f t="shared" si="5"/>
        <v/>
      </c>
      <c r="H3193" s="202" t="str">
        <f t="shared" si="11"/>
        <v> </v>
      </c>
      <c r="I3193" s="205" t="str">
        <f t="shared" si="7"/>
        <v/>
      </c>
      <c r="J3193" s="205"/>
      <c r="K3193" s="205"/>
    </row>
    <row r="3194" ht="14.25" customHeight="1">
      <c r="A3194" s="55">
        <v>48849.0</v>
      </c>
      <c r="B3194" s="55" t="str">
        <f t="shared" si="10"/>
        <v>Primer dia</v>
      </c>
      <c r="C3194" s="202">
        <f t="shared" si="1"/>
        <v>27</v>
      </c>
      <c r="D3194" s="202" t="str">
        <f t="shared" si="2"/>
        <v> </v>
      </c>
      <c r="E3194" s="202" t="str">
        <f t="shared" si="9"/>
        <v> </v>
      </c>
      <c r="F3194" s="55" t="str">
        <f t="shared" si="4"/>
        <v/>
      </c>
      <c r="G3194" s="202" t="str">
        <f t="shared" si="5"/>
        <v/>
      </c>
      <c r="H3194" s="202" t="str">
        <f t="shared" si="11"/>
        <v> </v>
      </c>
      <c r="I3194" s="205" t="str">
        <f t="shared" si="7"/>
        <v/>
      </c>
      <c r="J3194" s="205"/>
      <c r="K3194" s="205"/>
    </row>
    <row r="3195" ht="14.25" customHeight="1">
      <c r="A3195" s="55">
        <v>48850.0</v>
      </c>
      <c r="B3195" s="55" t="str">
        <f t="shared" si="10"/>
        <v>Primer dia</v>
      </c>
      <c r="C3195" s="202">
        <f t="shared" si="1"/>
        <v>28</v>
      </c>
      <c r="D3195" s="202" t="str">
        <f t="shared" si="2"/>
        <v> </v>
      </c>
      <c r="E3195" s="202" t="str">
        <f t="shared" si="9"/>
        <v> </v>
      </c>
      <c r="F3195" s="55" t="str">
        <f t="shared" si="4"/>
        <v/>
      </c>
      <c r="G3195" s="202" t="str">
        <f t="shared" si="5"/>
        <v/>
      </c>
      <c r="H3195" s="202" t="str">
        <f t="shared" si="11"/>
        <v> </v>
      </c>
      <c r="I3195" s="205" t="str">
        <f t="shared" si="7"/>
        <v/>
      </c>
      <c r="J3195" s="205"/>
      <c r="K3195" s="205"/>
    </row>
    <row r="3196" ht="14.25" customHeight="1">
      <c r="A3196" s="55">
        <v>48851.0</v>
      </c>
      <c r="B3196" s="55" t="str">
        <f t="shared" si="10"/>
        <v>Primer dia</v>
      </c>
      <c r="C3196" s="202">
        <f t="shared" si="1"/>
        <v>29</v>
      </c>
      <c r="D3196" s="202" t="str">
        <f t="shared" si="2"/>
        <v> </v>
      </c>
      <c r="E3196" s="202" t="str">
        <f t="shared" si="9"/>
        <v> </v>
      </c>
      <c r="F3196" s="55" t="str">
        <f t="shared" si="4"/>
        <v/>
      </c>
      <c r="G3196" s="202" t="str">
        <f t="shared" si="5"/>
        <v/>
      </c>
      <c r="H3196" s="202" t="str">
        <f t="shared" si="11"/>
        <v> </v>
      </c>
      <c r="I3196" s="205" t="str">
        <f t="shared" si="7"/>
        <v/>
      </c>
      <c r="J3196" s="205"/>
      <c r="K3196" s="205"/>
    </row>
    <row r="3197" ht="14.25" customHeight="1">
      <c r="A3197" s="55">
        <v>48852.0</v>
      </c>
      <c r="B3197" s="55" t="str">
        <f t="shared" si="10"/>
        <v>Primer dia</v>
      </c>
      <c r="C3197" s="202">
        <f t="shared" si="1"/>
        <v>30</v>
      </c>
      <c r="D3197" s="202" t="str">
        <f t="shared" si="2"/>
        <v> </v>
      </c>
      <c r="E3197" s="202" t="str">
        <f t="shared" si="9"/>
        <v> </v>
      </c>
      <c r="F3197" s="55" t="str">
        <f t="shared" si="4"/>
        <v/>
      </c>
      <c r="G3197" s="202" t="str">
        <f t="shared" si="5"/>
        <v/>
      </c>
      <c r="H3197" s="202" t="str">
        <f t="shared" si="11"/>
        <v> </v>
      </c>
      <c r="I3197" s="205" t="str">
        <f t="shared" si="7"/>
        <v/>
      </c>
      <c r="J3197" s="205"/>
      <c r="K3197" s="205"/>
    </row>
    <row r="3198" ht="14.25" customHeight="1">
      <c r="A3198" s="55">
        <v>48853.0</v>
      </c>
      <c r="B3198" s="55" t="str">
        <f t="shared" si="10"/>
        <v>Primer dia</v>
      </c>
      <c r="C3198" s="202">
        <f t="shared" si="1"/>
        <v>1</v>
      </c>
      <c r="D3198" s="202" t="str">
        <f t="shared" si="2"/>
        <v> </v>
      </c>
      <c r="E3198" s="202" t="str">
        <f t="shared" si="9"/>
        <v> </v>
      </c>
      <c r="F3198" s="55" t="str">
        <f t="shared" si="4"/>
        <v/>
      </c>
      <c r="G3198" s="202" t="str">
        <f t="shared" si="5"/>
        <v/>
      </c>
      <c r="H3198" s="202" t="str">
        <f t="shared" si="11"/>
        <v> </v>
      </c>
      <c r="I3198" s="205" t="str">
        <f t="shared" si="7"/>
        <v/>
      </c>
      <c r="J3198" s="205"/>
      <c r="K3198" s="205"/>
    </row>
    <row r="3199" ht="14.25" customHeight="1">
      <c r="A3199" s="55">
        <v>48854.0</v>
      </c>
      <c r="B3199" s="55" t="str">
        <f t="shared" si="10"/>
        <v>Primer dia</v>
      </c>
      <c r="C3199" s="202">
        <f t="shared" si="1"/>
        <v>2</v>
      </c>
      <c r="D3199" s="202" t="str">
        <f t="shared" si="2"/>
        <v> </v>
      </c>
      <c r="E3199" s="202">
        <f t="shared" si="9"/>
        <v>2</v>
      </c>
      <c r="F3199" s="55">
        <f t="shared" si="4"/>
        <v>48854</v>
      </c>
      <c r="G3199" s="202">
        <f t="shared" si="5"/>
        <v>185</v>
      </c>
      <c r="H3199" s="202" t="str">
        <f t="shared" si="11"/>
        <v> </v>
      </c>
      <c r="I3199" s="205" t="str">
        <f t="shared" si="7"/>
        <v/>
      </c>
      <c r="J3199" s="205"/>
      <c r="K3199" s="205"/>
    </row>
    <row r="3200" ht="14.25" customHeight="1">
      <c r="A3200" s="55">
        <v>48855.0</v>
      </c>
      <c r="B3200" s="55" t="str">
        <f t="shared" si="10"/>
        <v>Primer dia</v>
      </c>
      <c r="C3200" s="202">
        <f t="shared" si="1"/>
        <v>3</v>
      </c>
      <c r="D3200" s="202" t="str">
        <f t="shared" si="2"/>
        <v> </v>
      </c>
      <c r="E3200" s="202" t="str">
        <f t="shared" si="9"/>
        <v> </v>
      </c>
      <c r="F3200" s="55" t="str">
        <f t="shared" si="4"/>
        <v/>
      </c>
      <c r="G3200" s="202" t="str">
        <f t="shared" si="5"/>
        <v/>
      </c>
      <c r="H3200" s="202" t="str">
        <f t="shared" si="11"/>
        <v> </v>
      </c>
      <c r="I3200" s="205" t="str">
        <f t="shared" si="7"/>
        <v/>
      </c>
      <c r="J3200" s="205"/>
      <c r="K3200" s="205"/>
    </row>
    <row r="3201" ht="14.25" customHeight="1">
      <c r="A3201" s="55">
        <v>48856.0</v>
      </c>
      <c r="B3201" s="55" t="str">
        <f t="shared" si="10"/>
        <v>Primer dia</v>
      </c>
      <c r="C3201" s="202">
        <f t="shared" si="1"/>
        <v>4</v>
      </c>
      <c r="D3201" s="202" t="str">
        <f t="shared" si="2"/>
        <v> </v>
      </c>
      <c r="E3201" s="202" t="str">
        <f t="shared" si="9"/>
        <v> </v>
      </c>
      <c r="F3201" s="55" t="str">
        <f t="shared" si="4"/>
        <v/>
      </c>
      <c r="G3201" s="202" t="str">
        <f t="shared" si="5"/>
        <v/>
      </c>
      <c r="H3201" s="202" t="str">
        <f t="shared" si="11"/>
        <v> </v>
      </c>
      <c r="I3201" s="205" t="str">
        <f t="shared" si="7"/>
        <v/>
      </c>
      <c r="J3201" s="205"/>
      <c r="K3201" s="205"/>
    </row>
    <row r="3202" ht="14.25" customHeight="1">
      <c r="A3202" s="55">
        <v>48857.0</v>
      </c>
      <c r="B3202" s="55" t="str">
        <f t="shared" si="10"/>
        <v>Primer dia</v>
      </c>
      <c r="C3202" s="202">
        <f t="shared" si="1"/>
        <v>5</v>
      </c>
      <c r="D3202" s="202" t="str">
        <f t="shared" si="2"/>
        <v> </v>
      </c>
      <c r="E3202" s="202" t="str">
        <f t="shared" si="9"/>
        <v> </v>
      </c>
      <c r="F3202" s="55" t="str">
        <f t="shared" si="4"/>
        <v/>
      </c>
      <c r="G3202" s="202" t="str">
        <f t="shared" si="5"/>
        <v/>
      </c>
      <c r="H3202" s="202" t="str">
        <f t="shared" si="11"/>
        <v> </v>
      </c>
      <c r="I3202" s="205" t="str">
        <f t="shared" si="7"/>
        <v/>
      </c>
      <c r="J3202" s="205"/>
      <c r="K3202" s="205"/>
    </row>
    <row r="3203" ht="14.25" customHeight="1">
      <c r="A3203" s="55">
        <v>48858.0</v>
      </c>
      <c r="B3203" s="55" t="str">
        <f t="shared" si="10"/>
        <v>Primer dia</v>
      </c>
      <c r="C3203" s="202">
        <f t="shared" si="1"/>
        <v>6</v>
      </c>
      <c r="D3203" s="202" t="str">
        <f t="shared" si="2"/>
        <v> </v>
      </c>
      <c r="E3203" s="202" t="str">
        <f t="shared" si="9"/>
        <v> </v>
      </c>
      <c r="F3203" s="55" t="str">
        <f t="shared" si="4"/>
        <v/>
      </c>
      <c r="G3203" s="202" t="str">
        <f t="shared" si="5"/>
        <v/>
      </c>
      <c r="H3203" s="202" t="str">
        <f t="shared" si="11"/>
        <v> </v>
      </c>
      <c r="I3203" s="205" t="str">
        <f t="shared" si="7"/>
        <v/>
      </c>
      <c r="J3203" s="205"/>
      <c r="K3203" s="205"/>
    </row>
    <row r="3204" ht="14.25" customHeight="1">
      <c r="A3204" s="55">
        <v>48859.0</v>
      </c>
      <c r="B3204" s="55" t="str">
        <f t="shared" si="10"/>
        <v>Primer dia</v>
      </c>
      <c r="C3204" s="202">
        <f t="shared" si="1"/>
        <v>7</v>
      </c>
      <c r="D3204" s="202" t="str">
        <f t="shared" si="2"/>
        <v> </v>
      </c>
      <c r="E3204" s="202" t="str">
        <f t="shared" si="9"/>
        <v> </v>
      </c>
      <c r="F3204" s="55" t="str">
        <f t="shared" si="4"/>
        <v/>
      </c>
      <c r="G3204" s="202" t="str">
        <f t="shared" si="5"/>
        <v/>
      </c>
      <c r="H3204" s="202" t="str">
        <f t="shared" si="11"/>
        <v> </v>
      </c>
      <c r="I3204" s="205" t="str">
        <f t="shared" si="7"/>
        <v/>
      </c>
      <c r="J3204" s="205"/>
      <c r="K3204" s="205"/>
    </row>
    <row r="3205" ht="14.25" customHeight="1">
      <c r="A3205" s="55">
        <v>48860.0</v>
      </c>
      <c r="B3205" s="55" t="str">
        <f t="shared" si="10"/>
        <v>Primer dia</v>
      </c>
      <c r="C3205" s="202">
        <f t="shared" si="1"/>
        <v>8</v>
      </c>
      <c r="D3205" s="202" t="str">
        <f t="shared" si="2"/>
        <v> </v>
      </c>
      <c r="E3205" s="202" t="str">
        <f t="shared" si="9"/>
        <v> </v>
      </c>
      <c r="F3205" s="55" t="str">
        <f t="shared" si="4"/>
        <v/>
      </c>
      <c r="G3205" s="202" t="str">
        <f t="shared" si="5"/>
        <v/>
      </c>
      <c r="H3205" s="202" t="str">
        <f t="shared" si="11"/>
        <v> </v>
      </c>
      <c r="I3205" s="205" t="str">
        <f t="shared" si="7"/>
        <v/>
      </c>
      <c r="J3205" s="205"/>
      <c r="K3205" s="205"/>
    </row>
    <row r="3206" ht="14.25" customHeight="1">
      <c r="A3206" s="55">
        <v>48861.0</v>
      </c>
      <c r="B3206" s="55" t="str">
        <f t="shared" si="10"/>
        <v>Primer dia</v>
      </c>
      <c r="C3206" s="202">
        <f t="shared" si="1"/>
        <v>9</v>
      </c>
      <c r="D3206" s="202" t="str">
        <f t="shared" si="2"/>
        <v> </v>
      </c>
      <c r="E3206" s="202" t="str">
        <f t="shared" si="9"/>
        <v> </v>
      </c>
      <c r="F3206" s="55" t="str">
        <f t="shared" si="4"/>
        <v/>
      </c>
      <c r="G3206" s="202" t="str">
        <f t="shared" si="5"/>
        <v/>
      </c>
      <c r="H3206" s="202" t="str">
        <f t="shared" si="11"/>
        <v> </v>
      </c>
      <c r="I3206" s="205" t="str">
        <f t="shared" si="7"/>
        <v/>
      </c>
      <c r="J3206" s="205"/>
      <c r="K3206" s="205"/>
    </row>
    <row r="3207" ht="14.25" customHeight="1">
      <c r="A3207" s="55">
        <v>48862.0</v>
      </c>
      <c r="B3207" s="55" t="str">
        <f t="shared" si="10"/>
        <v>Primer dia</v>
      </c>
      <c r="C3207" s="202">
        <f t="shared" si="1"/>
        <v>10</v>
      </c>
      <c r="D3207" s="202" t="str">
        <f t="shared" si="2"/>
        <v> </v>
      </c>
      <c r="E3207" s="202" t="str">
        <f t="shared" si="9"/>
        <v> </v>
      </c>
      <c r="F3207" s="55" t="str">
        <f t="shared" si="4"/>
        <v/>
      </c>
      <c r="G3207" s="202" t="str">
        <f t="shared" si="5"/>
        <v/>
      </c>
      <c r="H3207" s="202" t="str">
        <f t="shared" si="11"/>
        <v> </v>
      </c>
      <c r="I3207" s="205" t="str">
        <f t="shared" si="7"/>
        <v/>
      </c>
      <c r="J3207" s="205"/>
      <c r="K3207" s="205"/>
    </row>
    <row r="3208" ht="14.25" customHeight="1">
      <c r="A3208" s="55">
        <v>48863.0</v>
      </c>
      <c r="B3208" s="55" t="str">
        <f t="shared" si="10"/>
        <v>Primer dia</v>
      </c>
      <c r="C3208" s="202">
        <f t="shared" si="1"/>
        <v>11</v>
      </c>
      <c r="D3208" s="202" t="str">
        <f t="shared" si="2"/>
        <v> </v>
      </c>
      <c r="E3208" s="202" t="str">
        <f t="shared" si="9"/>
        <v> </v>
      </c>
      <c r="F3208" s="55" t="str">
        <f t="shared" si="4"/>
        <v/>
      </c>
      <c r="G3208" s="202" t="str">
        <f t="shared" si="5"/>
        <v/>
      </c>
      <c r="H3208" s="202" t="str">
        <f t="shared" si="11"/>
        <v> </v>
      </c>
      <c r="I3208" s="205" t="str">
        <f t="shared" si="7"/>
        <v/>
      </c>
      <c r="J3208" s="205"/>
      <c r="K3208" s="205"/>
    </row>
    <row r="3209" ht="14.25" customHeight="1">
      <c r="A3209" s="55">
        <v>48864.0</v>
      </c>
      <c r="B3209" s="55" t="str">
        <f t="shared" si="10"/>
        <v>Primer dia</v>
      </c>
      <c r="C3209" s="202">
        <f t="shared" si="1"/>
        <v>12</v>
      </c>
      <c r="D3209" s="202" t="str">
        <f t="shared" si="2"/>
        <v> </v>
      </c>
      <c r="E3209" s="202" t="str">
        <f t="shared" si="9"/>
        <v> </v>
      </c>
      <c r="F3209" s="55" t="str">
        <f t="shared" si="4"/>
        <v/>
      </c>
      <c r="G3209" s="202" t="str">
        <f t="shared" si="5"/>
        <v/>
      </c>
      <c r="H3209" s="202" t="str">
        <f t="shared" si="11"/>
        <v> </v>
      </c>
      <c r="I3209" s="205" t="str">
        <f t="shared" si="7"/>
        <v/>
      </c>
      <c r="J3209" s="205"/>
      <c r="K3209" s="205"/>
    </row>
    <row r="3210" ht="14.25" customHeight="1">
      <c r="A3210" s="55">
        <v>48865.0</v>
      </c>
      <c r="B3210" s="55" t="str">
        <f t="shared" si="10"/>
        <v>Primer dia</v>
      </c>
      <c r="C3210" s="202">
        <f t="shared" si="1"/>
        <v>13</v>
      </c>
      <c r="D3210" s="202" t="str">
        <f t="shared" si="2"/>
        <v> </v>
      </c>
      <c r="E3210" s="202" t="str">
        <f t="shared" si="9"/>
        <v> </v>
      </c>
      <c r="F3210" s="55" t="str">
        <f t="shared" si="4"/>
        <v/>
      </c>
      <c r="G3210" s="202" t="str">
        <f t="shared" si="5"/>
        <v/>
      </c>
      <c r="H3210" s="202" t="str">
        <f t="shared" si="11"/>
        <v> </v>
      </c>
      <c r="I3210" s="205" t="str">
        <f t="shared" si="7"/>
        <v/>
      </c>
      <c r="J3210" s="205"/>
      <c r="K3210" s="205"/>
    </row>
    <row r="3211" ht="14.25" customHeight="1">
      <c r="A3211" s="55">
        <v>48866.0</v>
      </c>
      <c r="B3211" s="55" t="str">
        <f t="shared" si="10"/>
        <v>Primer dia</v>
      </c>
      <c r="C3211" s="202">
        <f t="shared" si="1"/>
        <v>14</v>
      </c>
      <c r="D3211" s="202" t="str">
        <f t="shared" si="2"/>
        <v> </v>
      </c>
      <c r="E3211" s="202" t="str">
        <f t="shared" si="9"/>
        <v> </v>
      </c>
      <c r="F3211" s="55" t="str">
        <f t="shared" si="4"/>
        <v/>
      </c>
      <c r="G3211" s="202" t="str">
        <f t="shared" si="5"/>
        <v/>
      </c>
      <c r="H3211" s="202" t="str">
        <f t="shared" si="11"/>
        <v> </v>
      </c>
      <c r="I3211" s="205" t="str">
        <f t="shared" si="7"/>
        <v/>
      </c>
      <c r="J3211" s="205"/>
      <c r="K3211" s="205"/>
    </row>
    <row r="3212" ht="14.25" customHeight="1">
      <c r="A3212" s="55">
        <v>48867.0</v>
      </c>
      <c r="B3212" s="55" t="str">
        <f t="shared" si="10"/>
        <v>Primer dia</v>
      </c>
      <c r="C3212" s="202">
        <f t="shared" si="1"/>
        <v>15</v>
      </c>
      <c r="D3212" s="202" t="str">
        <f t="shared" si="2"/>
        <v> </v>
      </c>
      <c r="E3212" s="202" t="str">
        <f t="shared" si="9"/>
        <v> </v>
      </c>
      <c r="F3212" s="55" t="str">
        <f t="shared" si="4"/>
        <v/>
      </c>
      <c r="G3212" s="202" t="str">
        <f t="shared" si="5"/>
        <v/>
      </c>
      <c r="H3212" s="202" t="str">
        <f t="shared" si="11"/>
        <v> </v>
      </c>
      <c r="I3212" s="205" t="str">
        <f t="shared" si="7"/>
        <v/>
      </c>
      <c r="J3212" s="205"/>
      <c r="K3212" s="205"/>
    </row>
    <row r="3213" ht="14.25" customHeight="1">
      <c r="A3213" s="55">
        <v>48868.0</v>
      </c>
      <c r="B3213" s="55" t="str">
        <f t="shared" si="10"/>
        <v>Primer dia</v>
      </c>
      <c r="C3213" s="202">
        <f t="shared" si="1"/>
        <v>16</v>
      </c>
      <c r="D3213" s="202" t="str">
        <f t="shared" si="2"/>
        <v> </v>
      </c>
      <c r="E3213" s="202" t="str">
        <f t="shared" si="9"/>
        <v> </v>
      </c>
      <c r="F3213" s="55" t="str">
        <f t="shared" si="4"/>
        <v/>
      </c>
      <c r="G3213" s="202" t="str">
        <f t="shared" si="5"/>
        <v/>
      </c>
      <c r="H3213" s="202" t="str">
        <f t="shared" si="11"/>
        <v> </v>
      </c>
      <c r="I3213" s="205" t="str">
        <f t="shared" si="7"/>
        <v/>
      </c>
      <c r="J3213" s="205"/>
      <c r="K3213" s="205"/>
    </row>
    <row r="3214" ht="14.25" customHeight="1">
      <c r="A3214" s="55">
        <v>48869.0</v>
      </c>
      <c r="B3214" s="55" t="str">
        <f t="shared" si="10"/>
        <v>Primer dia</v>
      </c>
      <c r="C3214" s="202">
        <f t="shared" si="1"/>
        <v>17</v>
      </c>
      <c r="D3214" s="202" t="str">
        <f t="shared" si="2"/>
        <v> </v>
      </c>
      <c r="E3214" s="202">
        <f t="shared" si="9"/>
        <v>17</v>
      </c>
      <c r="F3214" s="55">
        <f t="shared" si="4"/>
        <v>48869</v>
      </c>
      <c r="G3214" s="202">
        <f t="shared" si="5"/>
        <v>186</v>
      </c>
      <c r="H3214" s="202" t="str">
        <f t="shared" si="11"/>
        <v> </v>
      </c>
      <c r="I3214" s="205" t="str">
        <f t="shared" si="7"/>
        <v/>
      </c>
      <c r="J3214" s="205"/>
      <c r="K3214" s="205"/>
    </row>
    <row r="3215" ht="14.25" customHeight="1">
      <c r="A3215" s="55">
        <v>48870.0</v>
      </c>
      <c r="B3215" s="55" t="str">
        <f t="shared" si="10"/>
        <v>Primer dia</v>
      </c>
      <c r="C3215" s="202">
        <f t="shared" si="1"/>
        <v>18</v>
      </c>
      <c r="D3215" s="202" t="str">
        <f t="shared" si="2"/>
        <v> </v>
      </c>
      <c r="E3215" s="202" t="str">
        <f t="shared" si="9"/>
        <v> </v>
      </c>
      <c r="F3215" s="55" t="str">
        <f t="shared" si="4"/>
        <v/>
      </c>
      <c r="G3215" s="202" t="str">
        <f t="shared" si="5"/>
        <v/>
      </c>
      <c r="H3215" s="202" t="str">
        <f t="shared" si="11"/>
        <v> </v>
      </c>
      <c r="I3215" s="205" t="str">
        <f t="shared" si="7"/>
        <v/>
      </c>
      <c r="J3215" s="205"/>
      <c r="K3215" s="205"/>
    </row>
    <row r="3216" ht="14.25" customHeight="1">
      <c r="A3216" s="55">
        <v>48871.0</v>
      </c>
      <c r="B3216" s="55" t="str">
        <f t="shared" si="10"/>
        <v>Primer dia</v>
      </c>
      <c r="C3216" s="202">
        <f t="shared" si="1"/>
        <v>19</v>
      </c>
      <c r="D3216" s="202" t="str">
        <f t="shared" si="2"/>
        <v> </v>
      </c>
      <c r="E3216" s="202" t="str">
        <f t="shared" si="9"/>
        <v> </v>
      </c>
      <c r="F3216" s="55" t="str">
        <f t="shared" si="4"/>
        <v/>
      </c>
      <c r="G3216" s="202" t="str">
        <f t="shared" si="5"/>
        <v/>
      </c>
      <c r="H3216" s="202" t="str">
        <f t="shared" si="11"/>
        <v> </v>
      </c>
      <c r="I3216" s="205" t="str">
        <f t="shared" si="7"/>
        <v/>
      </c>
      <c r="J3216" s="205"/>
      <c r="K3216" s="205"/>
    </row>
    <row r="3217" ht="14.25" customHeight="1">
      <c r="A3217" s="55">
        <v>48872.0</v>
      </c>
      <c r="B3217" s="55" t="str">
        <f t="shared" si="10"/>
        <v>Primer dia</v>
      </c>
      <c r="C3217" s="202">
        <f t="shared" si="1"/>
        <v>20</v>
      </c>
      <c r="D3217" s="202" t="str">
        <f t="shared" si="2"/>
        <v> </v>
      </c>
      <c r="E3217" s="202" t="str">
        <f t="shared" si="9"/>
        <v> </v>
      </c>
      <c r="F3217" s="55" t="str">
        <f t="shared" si="4"/>
        <v/>
      </c>
      <c r="G3217" s="202" t="str">
        <f t="shared" si="5"/>
        <v/>
      </c>
      <c r="H3217" s="202" t="str">
        <f t="shared" si="11"/>
        <v> </v>
      </c>
      <c r="I3217" s="205" t="str">
        <f t="shared" si="7"/>
        <v/>
      </c>
      <c r="J3217" s="205"/>
      <c r="K3217" s="205"/>
    </row>
    <row r="3218" ht="14.25" customHeight="1">
      <c r="A3218" s="55">
        <v>48873.0</v>
      </c>
      <c r="B3218" s="55" t="str">
        <f t="shared" si="10"/>
        <v>Primer dia</v>
      </c>
      <c r="C3218" s="202">
        <f t="shared" si="1"/>
        <v>21</v>
      </c>
      <c r="D3218" s="202" t="str">
        <f t="shared" si="2"/>
        <v> </v>
      </c>
      <c r="E3218" s="202" t="str">
        <f t="shared" si="9"/>
        <v> </v>
      </c>
      <c r="F3218" s="55" t="str">
        <f t="shared" si="4"/>
        <v/>
      </c>
      <c r="G3218" s="202" t="str">
        <f t="shared" si="5"/>
        <v/>
      </c>
      <c r="H3218" s="202" t="str">
        <f t="shared" si="11"/>
        <v> </v>
      </c>
      <c r="I3218" s="205" t="str">
        <f t="shared" si="7"/>
        <v/>
      </c>
      <c r="J3218" s="205"/>
      <c r="K3218" s="205"/>
    </row>
    <row r="3219" ht="14.25" customHeight="1">
      <c r="A3219" s="55">
        <v>48874.0</v>
      </c>
      <c r="B3219" s="55" t="str">
        <f t="shared" si="10"/>
        <v>Primer dia</v>
      </c>
      <c r="C3219" s="202">
        <f t="shared" si="1"/>
        <v>22</v>
      </c>
      <c r="D3219" s="202" t="str">
        <f t="shared" si="2"/>
        <v> </v>
      </c>
      <c r="E3219" s="202" t="str">
        <f t="shared" si="9"/>
        <v> </v>
      </c>
      <c r="F3219" s="55" t="str">
        <f t="shared" si="4"/>
        <v/>
      </c>
      <c r="G3219" s="202" t="str">
        <f t="shared" si="5"/>
        <v/>
      </c>
      <c r="H3219" s="202" t="str">
        <f t="shared" si="11"/>
        <v> </v>
      </c>
      <c r="I3219" s="205" t="str">
        <f t="shared" si="7"/>
        <v/>
      </c>
      <c r="J3219" s="205"/>
      <c r="K3219" s="205"/>
    </row>
    <row r="3220" ht="14.25" customHeight="1">
      <c r="A3220" s="55">
        <v>48875.0</v>
      </c>
      <c r="B3220" s="55" t="str">
        <f t="shared" si="10"/>
        <v>Primer dia</v>
      </c>
      <c r="C3220" s="202">
        <f t="shared" si="1"/>
        <v>23</v>
      </c>
      <c r="D3220" s="202" t="str">
        <f t="shared" si="2"/>
        <v> </v>
      </c>
      <c r="E3220" s="202" t="str">
        <f t="shared" si="9"/>
        <v> </v>
      </c>
      <c r="F3220" s="55" t="str">
        <f t="shared" si="4"/>
        <v/>
      </c>
      <c r="G3220" s="202" t="str">
        <f t="shared" si="5"/>
        <v/>
      </c>
      <c r="H3220" s="202" t="str">
        <f t="shared" si="11"/>
        <v> </v>
      </c>
      <c r="I3220" s="205" t="str">
        <f t="shared" si="7"/>
        <v/>
      </c>
      <c r="J3220" s="205"/>
      <c r="K3220" s="205"/>
    </row>
    <row r="3221" ht="14.25" customHeight="1">
      <c r="A3221" s="55">
        <v>48876.0</v>
      </c>
      <c r="B3221" s="55" t="str">
        <f t="shared" si="10"/>
        <v>Primer dia</v>
      </c>
      <c r="C3221" s="202">
        <f t="shared" si="1"/>
        <v>24</v>
      </c>
      <c r="D3221" s="202" t="str">
        <f t="shared" si="2"/>
        <v> </v>
      </c>
      <c r="E3221" s="202" t="str">
        <f t="shared" si="9"/>
        <v> </v>
      </c>
      <c r="F3221" s="55" t="str">
        <f t="shared" si="4"/>
        <v/>
      </c>
      <c r="G3221" s="202" t="str">
        <f t="shared" si="5"/>
        <v/>
      </c>
      <c r="H3221" s="202" t="str">
        <f t="shared" si="11"/>
        <v> </v>
      </c>
      <c r="I3221" s="205" t="str">
        <f t="shared" si="7"/>
        <v/>
      </c>
      <c r="J3221" s="205"/>
      <c r="K3221" s="205"/>
    </row>
    <row r="3222" ht="14.25" customHeight="1">
      <c r="A3222" s="55">
        <v>48877.0</v>
      </c>
      <c r="B3222" s="55" t="str">
        <f t="shared" si="10"/>
        <v>Primer dia</v>
      </c>
      <c r="C3222" s="202">
        <f t="shared" si="1"/>
        <v>25</v>
      </c>
      <c r="D3222" s="202" t="str">
        <f t="shared" si="2"/>
        <v> </v>
      </c>
      <c r="E3222" s="202" t="str">
        <f t="shared" si="9"/>
        <v> </v>
      </c>
      <c r="F3222" s="55" t="str">
        <f t="shared" si="4"/>
        <v/>
      </c>
      <c r="G3222" s="202" t="str">
        <f t="shared" si="5"/>
        <v/>
      </c>
      <c r="H3222" s="202" t="str">
        <f t="shared" si="11"/>
        <v> </v>
      </c>
      <c r="I3222" s="205" t="str">
        <f t="shared" si="7"/>
        <v/>
      </c>
      <c r="J3222" s="205"/>
      <c r="K3222" s="205"/>
    </row>
    <row r="3223" ht="14.25" customHeight="1">
      <c r="A3223" s="55">
        <v>48878.0</v>
      </c>
      <c r="B3223" s="55" t="str">
        <f t="shared" si="10"/>
        <v>Primer dia</v>
      </c>
      <c r="C3223" s="202">
        <f t="shared" si="1"/>
        <v>26</v>
      </c>
      <c r="D3223" s="202" t="str">
        <f t="shared" si="2"/>
        <v> </v>
      </c>
      <c r="E3223" s="202" t="str">
        <f t="shared" si="9"/>
        <v> </v>
      </c>
      <c r="F3223" s="55" t="str">
        <f t="shared" si="4"/>
        <v/>
      </c>
      <c r="G3223" s="202" t="str">
        <f t="shared" si="5"/>
        <v/>
      </c>
      <c r="H3223" s="202" t="str">
        <f t="shared" si="11"/>
        <v> </v>
      </c>
      <c r="I3223" s="205" t="str">
        <f t="shared" si="7"/>
        <v/>
      </c>
      <c r="J3223" s="205"/>
      <c r="K3223" s="205"/>
    </row>
    <row r="3224" ht="14.25" customHeight="1">
      <c r="A3224" s="55">
        <v>48879.0</v>
      </c>
      <c r="B3224" s="55" t="str">
        <f t="shared" si="10"/>
        <v>Primer dia</v>
      </c>
      <c r="C3224" s="202">
        <f t="shared" si="1"/>
        <v>27</v>
      </c>
      <c r="D3224" s="202" t="str">
        <f t="shared" si="2"/>
        <v> </v>
      </c>
      <c r="E3224" s="202" t="str">
        <f t="shared" si="9"/>
        <v> </v>
      </c>
      <c r="F3224" s="55" t="str">
        <f t="shared" si="4"/>
        <v/>
      </c>
      <c r="G3224" s="202" t="str">
        <f t="shared" si="5"/>
        <v/>
      </c>
      <c r="H3224" s="202" t="str">
        <f t="shared" si="11"/>
        <v> </v>
      </c>
      <c r="I3224" s="205" t="str">
        <f t="shared" si="7"/>
        <v/>
      </c>
      <c r="J3224" s="205"/>
      <c r="K3224" s="205"/>
    </row>
    <row r="3225" ht="14.25" customHeight="1">
      <c r="A3225" s="55">
        <v>48880.0</v>
      </c>
      <c r="B3225" s="55" t="str">
        <f t="shared" si="10"/>
        <v>Primer dia</v>
      </c>
      <c r="C3225" s="202">
        <f t="shared" si="1"/>
        <v>28</v>
      </c>
      <c r="D3225" s="202" t="str">
        <f t="shared" si="2"/>
        <v> </v>
      </c>
      <c r="E3225" s="202" t="str">
        <f t="shared" si="9"/>
        <v> </v>
      </c>
      <c r="F3225" s="55" t="str">
        <f t="shared" si="4"/>
        <v/>
      </c>
      <c r="G3225" s="202" t="str">
        <f t="shared" si="5"/>
        <v/>
      </c>
      <c r="H3225" s="202" t="str">
        <f t="shared" si="11"/>
        <v> </v>
      </c>
      <c r="I3225" s="205" t="str">
        <f t="shared" si="7"/>
        <v/>
      </c>
      <c r="J3225" s="205"/>
      <c r="K3225" s="205"/>
    </row>
    <row r="3226" ht="14.25" customHeight="1">
      <c r="A3226" s="55">
        <v>48881.0</v>
      </c>
      <c r="B3226" s="55" t="str">
        <f t="shared" si="10"/>
        <v>Primer dia</v>
      </c>
      <c r="C3226" s="202">
        <f t="shared" si="1"/>
        <v>29</v>
      </c>
      <c r="D3226" s="202" t="str">
        <f t="shared" si="2"/>
        <v> </v>
      </c>
      <c r="E3226" s="202" t="str">
        <f t="shared" si="9"/>
        <v> </v>
      </c>
      <c r="F3226" s="55" t="str">
        <f t="shared" si="4"/>
        <v/>
      </c>
      <c r="G3226" s="202" t="str">
        <f t="shared" si="5"/>
        <v/>
      </c>
      <c r="H3226" s="202" t="str">
        <f t="shared" si="11"/>
        <v> </v>
      </c>
      <c r="I3226" s="205" t="str">
        <f t="shared" si="7"/>
        <v/>
      </c>
      <c r="J3226" s="205"/>
      <c r="K3226" s="205"/>
    </row>
    <row r="3227" ht="14.25" customHeight="1">
      <c r="A3227" s="55">
        <v>48882.0</v>
      </c>
      <c r="B3227" s="55" t="str">
        <f t="shared" si="10"/>
        <v>Primer dia</v>
      </c>
      <c r="C3227" s="202">
        <f t="shared" si="1"/>
        <v>30</v>
      </c>
      <c r="D3227" s="202" t="str">
        <f t="shared" si="2"/>
        <v> </v>
      </c>
      <c r="E3227" s="202" t="str">
        <f t="shared" si="9"/>
        <v> </v>
      </c>
      <c r="F3227" s="55" t="str">
        <f t="shared" si="4"/>
        <v/>
      </c>
      <c r="G3227" s="202" t="str">
        <f t="shared" si="5"/>
        <v/>
      </c>
      <c r="H3227" s="202" t="str">
        <f t="shared" si="11"/>
        <v> </v>
      </c>
      <c r="I3227" s="205" t="str">
        <f t="shared" si="7"/>
        <v/>
      </c>
      <c r="J3227" s="205"/>
      <c r="K3227" s="205"/>
    </row>
    <row r="3228" ht="14.25" customHeight="1">
      <c r="A3228" s="55">
        <v>48883.0</v>
      </c>
      <c r="B3228" s="55" t="str">
        <f t="shared" si="10"/>
        <v>Primer dia</v>
      </c>
      <c r="C3228" s="202">
        <f t="shared" si="1"/>
        <v>31</v>
      </c>
      <c r="D3228" s="202" t="str">
        <f t="shared" si="2"/>
        <v> </v>
      </c>
      <c r="E3228" s="202" t="str">
        <f t="shared" si="9"/>
        <v> </v>
      </c>
      <c r="F3228" s="55" t="str">
        <f t="shared" si="4"/>
        <v/>
      </c>
      <c r="G3228" s="202" t="str">
        <f t="shared" si="5"/>
        <v/>
      </c>
      <c r="H3228" s="202" t="str">
        <f t="shared" si="11"/>
        <v> </v>
      </c>
      <c r="I3228" s="205" t="str">
        <f t="shared" si="7"/>
        <v/>
      </c>
      <c r="J3228" s="205"/>
      <c r="K3228" s="205"/>
    </row>
    <row r="3229" ht="14.25" customHeight="1">
      <c r="A3229" s="55">
        <v>48884.0</v>
      </c>
      <c r="B3229" s="55" t="str">
        <f t="shared" si="10"/>
        <v>Primer dia</v>
      </c>
      <c r="C3229" s="202">
        <f t="shared" si="1"/>
        <v>1</v>
      </c>
      <c r="D3229" s="202" t="str">
        <f t="shared" si="2"/>
        <v> </v>
      </c>
      <c r="E3229" s="202" t="str">
        <f t="shared" si="9"/>
        <v> </v>
      </c>
      <c r="F3229" s="55" t="str">
        <f t="shared" si="4"/>
        <v/>
      </c>
      <c r="G3229" s="202" t="str">
        <f t="shared" si="5"/>
        <v/>
      </c>
      <c r="H3229" s="202" t="str">
        <f t="shared" si="11"/>
        <v> </v>
      </c>
      <c r="I3229" s="205" t="str">
        <f t="shared" si="7"/>
        <v/>
      </c>
      <c r="J3229" s="205"/>
      <c r="K3229" s="205"/>
    </row>
    <row r="3230" ht="14.25" customHeight="1">
      <c r="A3230" s="55">
        <v>48885.0</v>
      </c>
      <c r="B3230" s="55" t="str">
        <f t="shared" si="10"/>
        <v>Primer dia</v>
      </c>
      <c r="C3230" s="202">
        <f t="shared" si="1"/>
        <v>2</v>
      </c>
      <c r="D3230" s="202" t="str">
        <f t="shared" si="2"/>
        <v> </v>
      </c>
      <c r="E3230" s="202">
        <f t="shared" si="9"/>
        <v>2</v>
      </c>
      <c r="F3230" s="55">
        <f t="shared" si="4"/>
        <v>48885</v>
      </c>
      <c r="G3230" s="202">
        <f t="shared" si="5"/>
        <v>187</v>
      </c>
      <c r="H3230" s="202" t="str">
        <f t="shared" si="11"/>
        <v> </v>
      </c>
      <c r="I3230" s="205" t="str">
        <f t="shared" si="7"/>
        <v/>
      </c>
      <c r="J3230" s="205"/>
      <c r="K3230" s="205"/>
    </row>
    <row r="3231" ht="14.25" customHeight="1">
      <c r="A3231" s="55">
        <v>48886.0</v>
      </c>
      <c r="B3231" s="55" t="str">
        <f t="shared" si="10"/>
        <v>Primer dia</v>
      </c>
      <c r="C3231" s="202">
        <f t="shared" si="1"/>
        <v>3</v>
      </c>
      <c r="D3231" s="202" t="str">
        <f t="shared" si="2"/>
        <v> </v>
      </c>
      <c r="E3231" s="202" t="str">
        <f t="shared" si="9"/>
        <v> </v>
      </c>
      <c r="F3231" s="55" t="str">
        <f t="shared" si="4"/>
        <v/>
      </c>
      <c r="G3231" s="202" t="str">
        <f t="shared" si="5"/>
        <v/>
      </c>
      <c r="H3231" s="202" t="str">
        <f t="shared" si="11"/>
        <v> </v>
      </c>
      <c r="I3231" s="205" t="str">
        <f t="shared" si="7"/>
        <v/>
      </c>
      <c r="J3231" s="205"/>
      <c r="K3231" s="205"/>
    </row>
    <row r="3232" ht="14.25" customHeight="1">
      <c r="A3232" s="55">
        <v>48887.0</v>
      </c>
      <c r="B3232" s="55" t="str">
        <f t="shared" si="10"/>
        <v>Primer dia</v>
      </c>
      <c r="C3232" s="202">
        <f t="shared" si="1"/>
        <v>4</v>
      </c>
      <c r="D3232" s="202" t="str">
        <f t="shared" si="2"/>
        <v> </v>
      </c>
      <c r="E3232" s="202" t="str">
        <f t="shared" si="9"/>
        <v> </v>
      </c>
      <c r="F3232" s="55" t="str">
        <f t="shared" si="4"/>
        <v/>
      </c>
      <c r="G3232" s="202" t="str">
        <f t="shared" si="5"/>
        <v/>
      </c>
      <c r="H3232" s="202" t="str">
        <f t="shared" si="11"/>
        <v> </v>
      </c>
      <c r="I3232" s="205" t="str">
        <f t="shared" si="7"/>
        <v/>
      </c>
      <c r="J3232" s="205"/>
      <c r="K3232" s="205"/>
    </row>
    <row r="3233" ht="14.25" customHeight="1">
      <c r="A3233" s="55">
        <v>48888.0</v>
      </c>
      <c r="B3233" s="55" t="str">
        <f t="shared" si="10"/>
        <v>Primer dia</v>
      </c>
      <c r="C3233" s="202">
        <f t="shared" si="1"/>
        <v>5</v>
      </c>
      <c r="D3233" s="202" t="str">
        <f t="shared" si="2"/>
        <v> </v>
      </c>
      <c r="E3233" s="202" t="str">
        <f t="shared" si="9"/>
        <v> </v>
      </c>
      <c r="F3233" s="55" t="str">
        <f t="shared" si="4"/>
        <v/>
      </c>
      <c r="G3233" s="202" t="str">
        <f t="shared" si="5"/>
        <v/>
      </c>
      <c r="H3233" s="202" t="str">
        <f t="shared" si="11"/>
        <v> </v>
      </c>
      <c r="I3233" s="205" t="str">
        <f t="shared" si="7"/>
        <v/>
      </c>
      <c r="J3233" s="205"/>
      <c r="K3233" s="205"/>
    </row>
    <row r="3234" ht="14.25" customHeight="1">
      <c r="A3234" s="55">
        <v>48889.0</v>
      </c>
      <c r="B3234" s="55" t="str">
        <f t="shared" si="10"/>
        <v>Primer dia</v>
      </c>
      <c r="C3234" s="202">
        <f t="shared" si="1"/>
        <v>6</v>
      </c>
      <c r="D3234" s="202" t="str">
        <f t="shared" si="2"/>
        <v> </v>
      </c>
      <c r="E3234" s="202" t="str">
        <f t="shared" si="9"/>
        <v> </v>
      </c>
      <c r="F3234" s="55" t="str">
        <f t="shared" si="4"/>
        <v/>
      </c>
      <c r="G3234" s="202" t="str">
        <f t="shared" si="5"/>
        <v/>
      </c>
      <c r="H3234" s="202" t="str">
        <f t="shared" si="11"/>
        <v> </v>
      </c>
      <c r="I3234" s="205" t="str">
        <f t="shared" si="7"/>
        <v/>
      </c>
      <c r="J3234" s="205"/>
      <c r="K3234" s="205"/>
    </row>
    <row r="3235" ht="14.25" customHeight="1">
      <c r="A3235" s="55">
        <v>48890.0</v>
      </c>
      <c r="B3235" s="55" t="str">
        <f t="shared" si="10"/>
        <v>Primer dia</v>
      </c>
      <c r="C3235" s="202">
        <f t="shared" si="1"/>
        <v>7</v>
      </c>
      <c r="D3235" s="202" t="str">
        <f t="shared" si="2"/>
        <v> </v>
      </c>
      <c r="E3235" s="202" t="str">
        <f t="shared" si="9"/>
        <v> </v>
      </c>
      <c r="F3235" s="55" t="str">
        <f t="shared" si="4"/>
        <v/>
      </c>
      <c r="G3235" s="202" t="str">
        <f t="shared" si="5"/>
        <v/>
      </c>
      <c r="H3235" s="202" t="str">
        <f t="shared" si="11"/>
        <v> </v>
      </c>
      <c r="I3235" s="205" t="str">
        <f t="shared" si="7"/>
        <v/>
      </c>
      <c r="J3235" s="205"/>
      <c r="K3235" s="205"/>
    </row>
    <row r="3236" ht="14.25" customHeight="1">
      <c r="A3236" s="55">
        <v>48891.0</v>
      </c>
      <c r="B3236" s="55" t="str">
        <f t="shared" si="10"/>
        <v>Primer dia</v>
      </c>
      <c r="C3236" s="202">
        <f t="shared" si="1"/>
        <v>8</v>
      </c>
      <c r="D3236" s="202" t="str">
        <f t="shared" si="2"/>
        <v> </v>
      </c>
      <c r="E3236" s="202" t="str">
        <f t="shared" si="9"/>
        <v> </v>
      </c>
      <c r="F3236" s="55" t="str">
        <f t="shared" si="4"/>
        <v/>
      </c>
      <c r="G3236" s="202" t="str">
        <f t="shared" si="5"/>
        <v/>
      </c>
      <c r="H3236" s="202" t="str">
        <f t="shared" si="11"/>
        <v> </v>
      </c>
      <c r="I3236" s="205" t="str">
        <f t="shared" si="7"/>
        <v/>
      </c>
      <c r="J3236" s="205"/>
      <c r="K3236" s="205"/>
    </row>
    <row r="3237" ht="14.25" customHeight="1">
      <c r="A3237" s="55">
        <v>48892.0</v>
      </c>
      <c r="B3237" s="55" t="str">
        <f t="shared" si="10"/>
        <v>Primer dia</v>
      </c>
      <c r="C3237" s="202">
        <f t="shared" si="1"/>
        <v>9</v>
      </c>
      <c r="D3237" s="202" t="str">
        <f t="shared" si="2"/>
        <v> </v>
      </c>
      <c r="E3237" s="202" t="str">
        <f t="shared" si="9"/>
        <v> </v>
      </c>
      <c r="F3237" s="55" t="str">
        <f t="shared" si="4"/>
        <v/>
      </c>
      <c r="G3237" s="202" t="str">
        <f t="shared" si="5"/>
        <v/>
      </c>
      <c r="H3237" s="202" t="str">
        <f t="shared" si="11"/>
        <v> </v>
      </c>
      <c r="I3237" s="205" t="str">
        <f t="shared" si="7"/>
        <v/>
      </c>
      <c r="J3237" s="205"/>
      <c r="K3237" s="205"/>
    </row>
    <row r="3238" ht="14.25" customHeight="1">
      <c r="A3238" s="55">
        <v>48893.0</v>
      </c>
      <c r="B3238" s="55" t="str">
        <f t="shared" si="10"/>
        <v>Primer dia</v>
      </c>
      <c r="C3238" s="202">
        <f t="shared" si="1"/>
        <v>10</v>
      </c>
      <c r="D3238" s="202" t="str">
        <f t="shared" si="2"/>
        <v> </v>
      </c>
      <c r="E3238" s="202" t="str">
        <f t="shared" si="9"/>
        <v> </v>
      </c>
      <c r="F3238" s="55" t="str">
        <f t="shared" si="4"/>
        <v/>
      </c>
      <c r="G3238" s="202" t="str">
        <f t="shared" si="5"/>
        <v/>
      </c>
      <c r="H3238" s="202" t="str">
        <f t="shared" si="11"/>
        <v> </v>
      </c>
      <c r="I3238" s="205" t="str">
        <f t="shared" si="7"/>
        <v/>
      </c>
      <c r="J3238" s="205"/>
      <c r="K3238" s="205"/>
    </row>
    <row r="3239" ht="14.25" customHeight="1">
      <c r="A3239" s="55">
        <v>48894.0</v>
      </c>
      <c r="B3239" s="55" t="str">
        <f t="shared" si="10"/>
        <v>Primer dia</v>
      </c>
      <c r="C3239" s="202">
        <f t="shared" si="1"/>
        <v>11</v>
      </c>
      <c r="D3239" s="202" t="str">
        <f t="shared" si="2"/>
        <v> </v>
      </c>
      <c r="E3239" s="202" t="str">
        <f t="shared" si="9"/>
        <v> </v>
      </c>
      <c r="F3239" s="55" t="str">
        <f t="shared" si="4"/>
        <v/>
      </c>
      <c r="G3239" s="202" t="str">
        <f t="shared" si="5"/>
        <v/>
      </c>
      <c r="H3239" s="202" t="str">
        <f t="shared" si="11"/>
        <v> </v>
      </c>
      <c r="I3239" s="205" t="str">
        <f t="shared" si="7"/>
        <v/>
      </c>
      <c r="J3239" s="205"/>
      <c r="K3239" s="205"/>
    </row>
    <row r="3240" ht="14.25" customHeight="1">
      <c r="A3240" s="55">
        <v>48895.0</v>
      </c>
      <c r="B3240" s="55" t="str">
        <f t="shared" si="10"/>
        <v>Primer dia</v>
      </c>
      <c r="C3240" s="202">
        <f t="shared" si="1"/>
        <v>12</v>
      </c>
      <c r="D3240" s="202" t="str">
        <f t="shared" si="2"/>
        <v> </v>
      </c>
      <c r="E3240" s="202" t="str">
        <f t="shared" si="9"/>
        <v> </v>
      </c>
      <c r="F3240" s="55" t="str">
        <f t="shared" si="4"/>
        <v/>
      </c>
      <c r="G3240" s="202" t="str">
        <f t="shared" si="5"/>
        <v/>
      </c>
      <c r="H3240" s="202" t="str">
        <f t="shared" si="11"/>
        <v> </v>
      </c>
      <c r="I3240" s="205" t="str">
        <f t="shared" si="7"/>
        <v/>
      </c>
      <c r="J3240" s="205"/>
      <c r="K3240" s="205"/>
    </row>
    <row r="3241" ht="14.25" customHeight="1">
      <c r="A3241" s="55">
        <v>48896.0</v>
      </c>
      <c r="B3241" s="55" t="str">
        <f t="shared" si="10"/>
        <v>Primer dia</v>
      </c>
      <c r="C3241" s="202">
        <f t="shared" si="1"/>
        <v>13</v>
      </c>
      <c r="D3241" s="202" t="str">
        <f t="shared" si="2"/>
        <v> </v>
      </c>
      <c r="E3241" s="202" t="str">
        <f t="shared" si="9"/>
        <v> </v>
      </c>
      <c r="F3241" s="55" t="str">
        <f t="shared" si="4"/>
        <v/>
      </c>
      <c r="G3241" s="202" t="str">
        <f t="shared" si="5"/>
        <v/>
      </c>
      <c r="H3241" s="202" t="str">
        <f t="shared" si="11"/>
        <v> </v>
      </c>
      <c r="I3241" s="205" t="str">
        <f t="shared" si="7"/>
        <v/>
      </c>
      <c r="J3241" s="205"/>
      <c r="K3241" s="205"/>
    </row>
    <row r="3242" ht="14.25" customHeight="1">
      <c r="A3242" s="55">
        <v>48897.0</v>
      </c>
      <c r="B3242" s="55" t="str">
        <f t="shared" si="10"/>
        <v>Primer dia</v>
      </c>
      <c r="C3242" s="202">
        <f t="shared" si="1"/>
        <v>14</v>
      </c>
      <c r="D3242" s="202" t="str">
        <f t="shared" si="2"/>
        <v> </v>
      </c>
      <c r="E3242" s="202" t="str">
        <f t="shared" si="9"/>
        <v> </v>
      </c>
      <c r="F3242" s="55" t="str">
        <f t="shared" si="4"/>
        <v/>
      </c>
      <c r="G3242" s="202" t="str">
        <f t="shared" si="5"/>
        <v/>
      </c>
      <c r="H3242" s="202" t="str">
        <f t="shared" si="11"/>
        <v> </v>
      </c>
      <c r="I3242" s="205" t="str">
        <f t="shared" si="7"/>
        <v/>
      </c>
      <c r="J3242" s="205"/>
      <c r="K3242" s="205"/>
    </row>
    <row r="3243" ht="14.25" customHeight="1">
      <c r="A3243" s="55">
        <v>48898.0</v>
      </c>
      <c r="B3243" s="55" t="str">
        <f t="shared" si="10"/>
        <v>Primer dia</v>
      </c>
      <c r="C3243" s="202">
        <f t="shared" si="1"/>
        <v>15</v>
      </c>
      <c r="D3243" s="202" t="str">
        <f t="shared" si="2"/>
        <v> </v>
      </c>
      <c r="E3243" s="202" t="str">
        <f t="shared" si="9"/>
        <v> </v>
      </c>
      <c r="F3243" s="55" t="str">
        <f t="shared" si="4"/>
        <v/>
      </c>
      <c r="G3243" s="202" t="str">
        <f t="shared" si="5"/>
        <v/>
      </c>
      <c r="H3243" s="202" t="str">
        <f t="shared" si="11"/>
        <v> </v>
      </c>
      <c r="I3243" s="205" t="str">
        <f t="shared" si="7"/>
        <v/>
      </c>
      <c r="J3243" s="205"/>
      <c r="K3243" s="205"/>
    </row>
    <row r="3244" ht="14.25" customHeight="1">
      <c r="A3244" s="55">
        <v>48899.0</v>
      </c>
      <c r="B3244" s="55" t="str">
        <f t="shared" si="10"/>
        <v>Primer dia</v>
      </c>
      <c r="C3244" s="202">
        <f t="shared" si="1"/>
        <v>16</v>
      </c>
      <c r="D3244" s="202" t="str">
        <f t="shared" si="2"/>
        <v> </v>
      </c>
      <c r="E3244" s="202" t="str">
        <f t="shared" si="9"/>
        <v> </v>
      </c>
      <c r="F3244" s="55" t="str">
        <f t="shared" si="4"/>
        <v/>
      </c>
      <c r="G3244" s="202" t="str">
        <f t="shared" si="5"/>
        <v/>
      </c>
      <c r="H3244" s="202" t="str">
        <f t="shared" si="11"/>
        <v> </v>
      </c>
      <c r="I3244" s="205" t="str">
        <f t="shared" si="7"/>
        <v/>
      </c>
      <c r="J3244" s="205"/>
      <c r="K3244" s="205"/>
    </row>
    <row r="3245" ht="14.25" customHeight="1">
      <c r="A3245" s="55">
        <v>48900.0</v>
      </c>
      <c r="B3245" s="55" t="str">
        <f t="shared" si="10"/>
        <v>Primer dia</v>
      </c>
      <c r="C3245" s="202">
        <f t="shared" si="1"/>
        <v>17</v>
      </c>
      <c r="D3245" s="202" t="str">
        <f t="shared" si="2"/>
        <v> </v>
      </c>
      <c r="E3245" s="202">
        <f t="shared" si="9"/>
        <v>17</v>
      </c>
      <c r="F3245" s="55">
        <f t="shared" si="4"/>
        <v>48900</v>
      </c>
      <c r="G3245" s="202">
        <f t="shared" si="5"/>
        <v>188</v>
      </c>
      <c r="H3245" s="202" t="str">
        <f t="shared" si="11"/>
        <v> </v>
      </c>
      <c r="I3245" s="205" t="str">
        <f t="shared" si="7"/>
        <v/>
      </c>
      <c r="J3245" s="205"/>
      <c r="K3245" s="205"/>
    </row>
    <row r="3246" ht="14.25" customHeight="1">
      <c r="A3246" s="55">
        <v>48901.0</v>
      </c>
      <c r="B3246" s="55" t="str">
        <f t="shared" si="10"/>
        <v>Primer dia</v>
      </c>
      <c r="C3246" s="202">
        <f t="shared" si="1"/>
        <v>18</v>
      </c>
      <c r="D3246" s="202" t="str">
        <f t="shared" si="2"/>
        <v> </v>
      </c>
      <c r="E3246" s="202" t="str">
        <f t="shared" si="9"/>
        <v> </v>
      </c>
      <c r="F3246" s="55" t="str">
        <f t="shared" si="4"/>
        <v/>
      </c>
      <c r="G3246" s="202" t="str">
        <f t="shared" si="5"/>
        <v/>
      </c>
      <c r="H3246" s="202" t="str">
        <f t="shared" si="11"/>
        <v> </v>
      </c>
      <c r="I3246" s="205" t="str">
        <f t="shared" si="7"/>
        <v/>
      </c>
      <c r="J3246" s="205"/>
      <c r="K3246" s="205"/>
    </row>
    <row r="3247" ht="14.25" customHeight="1">
      <c r="A3247" s="55">
        <v>48902.0</v>
      </c>
      <c r="B3247" s="55" t="str">
        <f t="shared" si="10"/>
        <v>Primer dia</v>
      </c>
      <c r="C3247" s="202">
        <f t="shared" si="1"/>
        <v>19</v>
      </c>
      <c r="D3247" s="202" t="str">
        <f t="shared" si="2"/>
        <v> </v>
      </c>
      <c r="E3247" s="202" t="str">
        <f t="shared" si="9"/>
        <v> </v>
      </c>
      <c r="F3247" s="55" t="str">
        <f t="shared" si="4"/>
        <v/>
      </c>
      <c r="G3247" s="202" t="str">
        <f t="shared" si="5"/>
        <v/>
      </c>
      <c r="H3247" s="202" t="str">
        <f t="shared" si="11"/>
        <v> </v>
      </c>
      <c r="I3247" s="205" t="str">
        <f t="shared" si="7"/>
        <v/>
      </c>
      <c r="J3247" s="205"/>
      <c r="K3247" s="205"/>
    </row>
    <row r="3248" ht="14.25" customHeight="1">
      <c r="A3248" s="55">
        <v>48903.0</v>
      </c>
      <c r="B3248" s="55" t="str">
        <f t="shared" si="10"/>
        <v>Primer dia</v>
      </c>
      <c r="C3248" s="202">
        <f t="shared" si="1"/>
        <v>20</v>
      </c>
      <c r="D3248" s="202" t="str">
        <f t="shared" si="2"/>
        <v> </v>
      </c>
      <c r="E3248" s="202" t="str">
        <f t="shared" si="9"/>
        <v> </v>
      </c>
      <c r="F3248" s="55" t="str">
        <f t="shared" si="4"/>
        <v/>
      </c>
      <c r="G3248" s="202" t="str">
        <f t="shared" si="5"/>
        <v/>
      </c>
      <c r="H3248" s="202" t="str">
        <f t="shared" si="11"/>
        <v> </v>
      </c>
      <c r="I3248" s="205" t="str">
        <f t="shared" si="7"/>
        <v/>
      </c>
      <c r="J3248" s="205"/>
      <c r="K3248" s="205"/>
    </row>
    <row r="3249" ht="14.25" customHeight="1">
      <c r="A3249" s="55">
        <v>48904.0</v>
      </c>
      <c r="B3249" s="55" t="str">
        <f t="shared" si="10"/>
        <v>Primer dia</v>
      </c>
      <c r="C3249" s="202">
        <f t="shared" si="1"/>
        <v>21</v>
      </c>
      <c r="D3249" s="202" t="str">
        <f t="shared" si="2"/>
        <v> </v>
      </c>
      <c r="E3249" s="202" t="str">
        <f t="shared" si="9"/>
        <v> </v>
      </c>
      <c r="F3249" s="55" t="str">
        <f t="shared" si="4"/>
        <v/>
      </c>
      <c r="G3249" s="202" t="str">
        <f t="shared" si="5"/>
        <v/>
      </c>
      <c r="H3249" s="202" t="str">
        <f t="shared" si="11"/>
        <v> </v>
      </c>
      <c r="I3249" s="205" t="str">
        <f t="shared" si="7"/>
        <v/>
      </c>
      <c r="J3249" s="205"/>
      <c r="K3249" s="205"/>
    </row>
    <row r="3250" ht="14.25" customHeight="1">
      <c r="A3250" s="55">
        <v>48905.0</v>
      </c>
      <c r="B3250" s="55" t="str">
        <f t="shared" si="10"/>
        <v>Primer dia</v>
      </c>
      <c r="C3250" s="202">
        <f t="shared" si="1"/>
        <v>22</v>
      </c>
      <c r="D3250" s="202" t="str">
        <f t="shared" si="2"/>
        <v> </v>
      </c>
      <c r="E3250" s="202" t="str">
        <f t="shared" si="9"/>
        <v> </v>
      </c>
      <c r="F3250" s="55" t="str">
        <f t="shared" si="4"/>
        <v/>
      </c>
      <c r="G3250" s="202" t="str">
        <f t="shared" si="5"/>
        <v/>
      </c>
      <c r="H3250" s="202" t="str">
        <f t="shared" si="11"/>
        <v> </v>
      </c>
      <c r="I3250" s="205" t="str">
        <f t="shared" si="7"/>
        <v/>
      </c>
      <c r="J3250" s="205"/>
      <c r="K3250" s="205"/>
    </row>
    <row r="3251" ht="14.25" customHeight="1">
      <c r="A3251" s="55">
        <v>48906.0</v>
      </c>
      <c r="B3251" s="55" t="str">
        <f t="shared" si="10"/>
        <v>Primer dia</v>
      </c>
      <c r="C3251" s="202">
        <f t="shared" si="1"/>
        <v>23</v>
      </c>
      <c r="D3251" s="202" t="str">
        <f t="shared" si="2"/>
        <v> </v>
      </c>
      <c r="E3251" s="202" t="str">
        <f t="shared" si="9"/>
        <v> </v>
      </c>
      <c r="F3251" s="55" t="str">
        <f t="shared" si="4"/>
        <v/>
      </c>
      <c r="G3251" s="202" t="str">
        <f t="shared" si="5"/>
        <v/>
      </c>
      <c r="H3251" s="202" t="str">
        <f t="shared" si="11"/>
        <v> </v>
      </c>
      <c r="I3251" s="205" t="str">
        <f t="shared" si="7"/>
        <v/>
      </c>
      <c r="J3251" s="205"/>
      <c r="K3251" s="205"/>
    </row>
    <row r="3252" ht="14.25" customHeight="1">
      <c r="A3252" s="55">
        <v>48907.0</v>
      </c>
      <c r="B3252" s="55" t="str">
        <f t="shared" si="10"/>
        <v>Primer dia</v>
      </c>
      <c r="C3252" s="202">
        <f t="shared" si="1"/>
        <v>24</v>
      </c>
      <c r="D3252" s="202" t="str">
        <f t="shared" si="2"/>
        <v> </v>
      </c>
      <c r="E3252" s="202" t="str">
        <f t="shared" si="9"/>
        <v> </v>
      </c>
      <c r="F3252" s="55" t="str">
        <f t="shared" si="4"/>
        <v/>
      </c>
      <c r="G3252" s="202" t="str">
        <f t="shared" si="5"/>
        <v/>
      </c>
      <c r="H3252" s="202" t="str">
        <f t="shared" si="11"/>
        <v> </v>
      </c>
      <c r="I3252" s="205" t="str">
        <f t="shared" si="7"/>
        <v/>
      </c>
      <c r="J3252" s="205"/>
      <c r="K3252" s="205"/>
    </row>
    <row r="3253" ht="14.25" customHeight="1">
      <c r="A3253" s="55">
        <v>48908.0</v>
      </c>
      <c r="B3253" s="55" t="str">
        <f t="shared" si="10"/>
        <v>Primer dia</v>
      </c>
      <c r="C3253" s="202">
        <f t="shared" si="1"/>
        <v>25</v>
      </c>
      <c r="D3253" s="202" t="str">
        <f t="shared" si="2"/>
        <v> </v>
      </c>
      <c r="E3253" s="202" t="str">
        <f t="shared" si="9"/>
        <v> </v>
      </c>
      <c r="F3253" s="55" t="str">
        <f t="shared" si="4"/>
        <v/>
      </c>
      <c r="G3253" s="202" t="str">
        <f t="shared" si="5"/>
        <v/>
      </c>
      <c r="H3253" s="202" t="str">
        <f t="shared" si="11"/>
        <v> </v>
      </c>
      <c r="I3253" s="205" t="str">
        <f t="shared" si="7"/>
        <v/>
      </c>
      <c r="J3253" s="205"/>
      <c r="K3253" s="205"/>
    </row>
    <row r="3254" ht="14.25" customHeight="1">
      <c r="A3254" s="55">
        <v>48909.0</v>
      </c>
      <c r="B3254" s="55" t="str">
        <f t="shared" si="10"/>
        <v>Primer dia</v>
      </c>
      <c r="C3254" s="202">
        <f t="shared" si="1"/>
        <v>26</v>
      </c>
      <c r="D3254" s="202" t="str">
        <f t="shared" si="2"/>
        <v> </v>
      </c>
      <c r="E3254" s="202" t="str">
        <f t="shared" si="9"/>
        <v> </v>
      </c>
      <c r="F3254" s="55" t="str">
        <f t="shared" si="4"/>
        <v/>
      </c>
      <c r="G3254" s="202" t="str">
        <f t="shared" si="5"/>
        <v/>
      </c>
      <c r="H3254" s="202" t="str">
        <f t="shared" si="11"/>
        <v> </v>
      </c>
      <c r="I3254" s="205" t="str">
        <f t="shared" si="7"/>
        <v/>
      </c>
      <c r="J3254" s="205"/>
      <c r="K3254" s="205"/>
    </row>
    <row r="3255" ht="14.25" customHeight="1">
      <c r="A3255" s="55">
        <v>48910.0</v>
      </c>
      <c r="B3255" s="55" t="str">
        <f t="shared" si="10"/>
        <v>Primer dia</v>
      </c>
      <c r="C3255" s="202">
        <f t="shared" si="1"/>
        <v>27</v>
      </c>
      <c r="D3255" s="202" t="str">
        <f t="shared" si="2"/>
        <v> </v>
      </c>
      <c r="E3255" s="202" t="str">
        <f t="shared" si="9"/>
        <v> </v>
      </c>
      <c r="F3255" s="55" t="str">
        <f t="shared" si="4"/>
        <v/>
      </c>
      <c r="G3255" s="202" t="str">
        <f t="shared" si="5"/>
        <v/>
      </c>
      <c r="H3255" s="202" t="str">
        <f t="shared" si="11"/>
        <v> </v>
      </c>
      <c r="I3255" s="205" t="str">
        <f t="shared" si="7"/>
        <v/>
      </c>
      <c r="J3255" s="205"/>
      <c r="K3255" s="205"/>
    </row>
    <row r="3256" ht="14.25" customHeight="1">
      <c r="A3256" s="55">
        <v>48911.0</v>
      </c>
      <c r="B3256" s="55" t="str">
        <f t="shared" si="10"/>
        <v>Primer dia</v>
      </c>
      <c r="C3256" s="202">
        <f t="shared" si="1"/>
        <v>28</v>
      </c>
      <c r="D3256" s="202" t="str">
        <f t="shared" si="2"/>
        <v> </v>
      </c>
      <c r="E3256" s="202" t="str">
        <f t="shared" si="9"/>
        <v> </v>
      </c>
      <c r="F3256" s="55" t="str">
        <f t="shared" si="4"/>
        <v/>
      </c>
      <c r="G3256" s="202" t="str">
        <f t="shared" si="5"/>
        <v/>
      </c>
      <c r="H3256" s="202" t="str">
        <f t="shared" si="11"/>
        <v> </v>
      </c>
      <c r="I3256" s="205" t="str">
        <f t="shared" si="7"/>
        <v/>
      </c>
      <c r="J3256" s="205"/>
      <c r="K3256" s="205"/>
    </row>
    <row r="3257" ht="14.25" customHeight="1">
      <c r="A3257" s="55">
        <v>48912.0</v>
      </c>
      <c r="B3257" s="55" t="str">
        <f t="shared" si="10"/>
        <v>Primer dia</v>
      </c>
      <c r="C3257" s="202">
        <f t="shared" si="1"/>
        <v>29</v>
      </c>
      <c r="D3257" s="202" t="str">
        <f t="shared" si="2"/>
        <v> </v>
      </c>
      <c r="E3257" s="202" t="str">
        <f t="shared" si="9"/>
        <v> </v>
      </c>
      <c r="F3257" s="55" t="str">
        <f t="shared" si="4"/>
        <v/>
      </c>
      <c r="G3257" s="202" t="str">
        <f t="shared" si="5"/>
        <v/>
      </c>
      <c r="H3257" s="202" t="str">
        <f t="shared" si="11"/>
        <v> </v>
      </c>
      <c r="I3257" s="205" t="str">
        <f t="shared" si="7"/>
        <v/>
      </c>
      <c r="J3257" s="205"/>
      <c r="K3257" s="205"/>
    </row>
    <row r="3258" ht="14.25" customHeight="1">
      <c r="A3258" s="55">
        <v>48913.0</v>
      </c>
      <c r="B3258" s="55" t="str">
        <f t="shared" si="10"/>
        <v>Primer dia</v>
      </c>
      <c r="C3258" s="202">
        <f t="shared" si="1"/>
        <v>30</v>
      </c>
      <c r="D3258" s="202" t="str">
        <f t="shared" si="2"/>
        <v> </v>
      </c>
      <c r="E3258" s="202" t="str">
        <f t="shared" si="9"/>
        <v> </v>
      </c>
      <c r="F3258" s="55" t="str">
        <f t="shared" si="4"/>
        <v/>
      </c>
      <c r="G3258" s="202" t="str">
        <f t="shared" si="5"/>
        <v/>
      </c>
      <c r="H3258" s="202" t="str">
        <f t="shared" si="11"/>
        <v> </v>
      </c>
      <c r="I3258" s="205" t="str">
        <f t="shared" si="7"/>
        <v/>
      </c>
      <c r="J3258" s="205"/>
      <c r="K3258" s="205"/>
    </row>
    <row r="3259" ht="14.25" customHeight="1">
      <c r="A3259" s="55">
        <v>48914.0</v>
      </c>
      <c r="B3259" s="55" t="str">
        <f t="shared" si="10"/>
        <v>Primer dia</v>
      </c>
      <c r="C3259" s="202">
        <f t="shared" si="1"/>
        <v>1</v>
      </c>
      <c r="D3259" s="202" t="str">
        <f t="shared" si="2"/>
        <v> </v>
      </c>
      <c r="E3259" s="202" t="str">
        <f t="shared" si="9"/>
        <v> </v>
      </c>
      <c r="F3259" s="55" t="str">
        <f t="shared" si="4"/>
        <v/>
      </c>
      <c r="G3259" s="202" t="str">
        <f t="shared" si="5"/>
        <v/>
      </c>
      <c r="H3259" s="202" t="str">
        <f t="shared" si="11"/>
        <v> </v>
      </c>
      <c r="I3259" s="205" t="str">
        <f t="shared" si="7"/>
        <v/>
      </c>
      <c r="J3259" s="205"/>
      <c r="K3259" s="205"/>
    </row>
    <row r="3260" ht="14.25" customHeight="1">
      <c r="A3260" s="55">
        <v>48915.0</v>
      </c>
      <c r="B3260" s="55" t="str">
        <f t="shared" si="10"/>
        <v>Primer dia</v>
      </c>
      <c r="C3260" s="202">
        <f t="shared" si="1"/>
        <v>2</v>
      </c>
      <c r="D3260" s="202" t="str">
        <f t="shared" si="2"/>
        <v> </v>
      </c>
      <c r="E3260" s="202">
        <f t="shared" si="9"/>
        <v>2</v>
      </c>
      <c r="F3260" s="55">
        <f t="shared" si="4"/>
        <v>48915</v>
      </c>
      <c r="G3260" s="202">
        <f t="shared" si="5"/>
        <v>189</v>
      </c>
      <c r="H3260" s="202" t="str">
        <f t="shared" si="11"/>
        <v> </v>
      </c>
      <c r="I3260" s="205" t="str">
        <f t="shared" si="7"/>
        <v/>
      </c>
      <c r="J3260" s="205"/>
      <c r="K3260" s="205"/>
    </row>
    <row r="3261" ht="14.25" customHeight="1">
      <c r="A3261" s="55">
        <v>48916.0</v>
      </c>
      <c r="B3261" s="55" t="str">
        <f t="shared" si="10"/>
        <v>Primer dia</v>
      </c>
      <c r="C3261" s="202">
        <f t="shared" si="1"/>
        <v>3</v>
      </c>
      <c r="D3261" s="202" t="str">
        <f t="shared" si="2"/>
        <v> </v>
      </c>
      <c r="E3261" s="202" t="str">
        <f t="shared" si="9"/>
        <v> </v>
      </c>
      <c r="F3261" s="55" t="str">
        <f t="shared" si="4"/>
        <v/>
      </c>
      <c r="G3261" s="202" t="str">
        <f t="shared" si="5"/>
        <v/>
      </c>
      <c r="H3261" s="202" t="str">
        <f t="shared" si="11"/>
        <v> </v>
      </c>
      <c r="I3261" s="205" t="str">
        <f t="shared" si="7"/>
        <v/>
      </c>
      <c r="J3261" s="205"/>
      <c r="K3261" s="205"/>
    </row>
    <row r="3262" ht="14.25" customHeight="1">
      <c r="A3262" s="55">
        <v>48917.0</v>
      </c>
      <c r="B3262" s="55" t="str">
        <f t="shared" si="10"/>
        <v>Primer dia</v>
      </c>
      <c r="C3262" s="202">
        <f t="shared" si="1"/>
        <v>4</v>
      </c>
      <c r="D3262" s="202" t="str">
        <f t="shared" si="2"/>
        <v> </v>
      </c>
      <c r="E3262" s="202" t="str">
        <f t="shared" si="9"/>
        <v> </v>
      </c>
      <c r="F3262" s="55" t="str">
        <f t="shared" si="4"/>
        <v/>
      </c>
      <c r="G3262" s="202" t="str">
        <f t="shared" si="5"/>
        <v/>
      </c>
      <c r="H3262" s="202" t="str">
        <f t="shared" si="11"/>
        <v> </v>
      </c>
      <c r="I3262" s="205" t="str">
        <f t="shared" si="7"/>
        <v/>
      </c>
      <c r="J3262" s="205"/>
      <c r="K3262" s="205"/>
    </row>
    <row r="3263" ht="14.25" customHeight="1">
      <c r="A3263" s="55">
        <v>48918.0</v>
      </c>
      <c r="B3263" s="55" t="str">
        <f t="shared" si="10"/>
        <v>Primer dia</v>
      </c>
      <c r="C3263" s="202">
        <f t="shared" si="1"/>
        <v>5</v>
      </c>
      <c r="D3263" s="202" t="str">
        <f t="shared" si="2"/>
        <v> </v>
      </c>
      <c r="E3263" s="202" t="str">
        <f t="shared" si="9"/>
        <v> </v>
      </c>
      <c r="F3263" s="55" t="str">
        <f t="shared" si="4"/>
        <v/>
      </c>
      <c r="G3263" s="202" t="str">
        <f t="shared" si="5"/>
        <v/>
      </c>
      <c r="H3263" s="202" t="str">
        <f t="shared" si="11"/>
        <v> </v>
      </c>
      <c r="I3263" s="205" t="str">
        <f t="shared" si="7"/>
        <v/>
      </c>
      <c r="J3263" s="205"/>
      <c r="K3263" s="205"/>
    </row>
    <row r="3264" ht="14.25" customHeight="1">
      <c r="A3264" s="55">
        <v>48919.0</v>
      </c>
      <c r="B3264" s="55" t="str">
        <f t="shared" si="10"/>
        <v>Primer dia</v>
      </c>
      <c r="C3264" s="202">
        <f t="shared" si="1"/>
        <v>6</v>
      </c>
      <c r="D3264" s="202" t="str">
        <f t="shared" si="2"/>
        <v> </v>
      </c>
      <c r="E3264" s="202" t="str">
        <f t="shared" si="9"/>
        <v> </v>
      </c>
      <c r="F3264" s="55" t="str">
        <f t="shared" si="4"/>
        <v/>
      </c>
      <c r="G3264" s="202" t="str">
        <f t="shared" si="5"/>
        <v/>
      </c>
      <c r="H3264" s="202" t="str">
        <f t="shared" si="11"/>
        <v> </v>
      </c>
      <c r="I3264" s="205" t="str">
        <f t="shared" si="7"/>
        <v/>
      </c>
      <c r="J3264" s="205"/>
      <c r="K3264" s="205"/>
    </row>
    <row r="3265" ht="14.25" customHeight="1">
      <c r="A3265" s="55">
        <v>48920.0</v>
      </c>
      <c r="B3265" s="55" t="str">
        <f t="shared" si="10"/>
        <v>Primer dia</v>
      </c>
      <c r="C3265" s="202">
        <f t="shared" si="1"/>
        <v>7</v>
      </c>
      <c r="D3265" s="202" t="str">
        <f t="shared" si="2"/>
        <v> </v>
      </c>
      <c r="E3265" s="202" t="str">
        <f t="shared" si="9"/>
        <v> </v>
      </c>
      <c r="F3265" s="55" t="str">
        <f t="shared" si="4"/>
        <v/>
      </c>
      <c r="G3265" s="202" t="str">
        <f t="shared" si="5"/>
        <v/>
      </c>
      <c r="H3265" s="202" t="str">
        <f t="shared" si="11"/>
        <v> </v>
      </c>
      <c r="I3265" s="205" t="str">
        <f t="shared" si="7"/>
        <v/>
      </c>
      <c r="J3265" s="205"/>
      <c r="K3265" s="205"/>
    </row>
    <row r="3266" ht="14.25" customHeight="1">
      <c r="A3266" s="55">
        <v>48921.0</v>
      </c>
      <c r="B3266" s="55" t="str">
        <f t="shared" si="10"/>
        <v>Primer dia</v>
      </c>
      <c r="C3266" s="202">
        <f t="shared" si="1"/>
        <v>8</v>
      </c>
      <c r="D3266" s="202" t="str">
        <f t="shared" si="2"/>
        <v> </v>
      </c>
      <c r="E3266" s="202" t="str">
        <f t="shared" si="9"/>
        <v> </v>
      </c>
      <c r="F3266" s="55" t="str">
        <f t="shared" si="4"/>
        <v/>
      </c>
      <c r="G3266" s="202" t="str">
        <f t="shared" si="5"/>
        <v/>
      </c>
      <c r="H3266" s="202" t="str">
        <f t="shared" si="11"/>
        <v> </v>
      </c>
      <c r="I3266" s="205" t="str">
        <f t="shared" si="7"/>
        <v/>
      </c>
      <c r="J3266" s="205"/>
      <c r="K3266" s="205"/>
    </row>
    <row r="3267" ht="14.25" customHeight="1">
      <c r="A3267" s="55">
        <v>48922.0</v>
      </c>
      <c r="B3267" s="55" t="str">
        <f t="shared" si="10"/>
        <v>Primer dia</v>
      </c>
      <c r="C3267" s="202">
        <f t="shared" si="1"/>
        <v>9</v>
      </c>
      <c r="D3267" s="202" t="str">
        <f t="shared" si="2"/>
        <v> </v>
      </c>
      <c r="E3267" s="202" t="str">
        <f t="shared" si="9"/>
        <v> </v>
      </c>
      <c r="F3267" s="55" t="str">
        <f t="shared" si="4"/>
        <v/>
      </c>
      <c r="G3267" s="202" t="str">
        <f t="shared" si="5"/>
        <v/>
      </c>
      <c r="H3267" s="202" t="str">
        <f t="shared" si="11"/>
        <v> </v>
      </c>
      <c r="I3267" s="205" t="str">
        <f t="shared" si="7"/>
        <v/>
      </c>
      <c r="J3267" s="205"/>
      <c r="K3267" s="205"/>
    </row>
    <row r="3268" ht="14.25" customHeight="1">
      <c r="A3268" s="55">
        <v>48923.0</v>
      </c>
      <c r="B3268" s="55" t="str">
        <f t="shared" si="10"/>
        <v>Primer dia</v>
      </c>
      <c r="C3268" s="202">
        <f t="shared" si="1"/>
        <v>10</v>
      </c>
      <c r="D3268" s="202" t="str">
        <f t="shared" si="2"/>
        <v> </v>
      </c>
      <c r="E3268" s="202" t="str">
        <f t="shared" si="9"/>
        <v> </v>
      </c>
      <c r="F3268" s="55" t="str">
        <f t="shared" si="4"/>
        <v/>
      </c>
      <c r="G3268" s="202" t="str">
        <f t="shared" si="5"/>
        <v/>
      </c>
      <c r="H3268" s="202" t="str">
        <f t="shared" si="11"/>
        <v> </v>
      </c>
      <c r="I3268" s="205" t="str">
        <f t="shared" si="7"/>
        <v/>
      </c>
      <c r="J3268" s="205"/>
      <c r="K3268" s="205"/>
    </row>
    <row r="3269" ht="14.25" customHeight="1">
      <c r="A3269" s="55">
        <v>48924.0</v>
      </c>
      <c r="B3269" s="55" t="str">
        <f t="shared" si="10"/>
        <v>Primer dia</v>
      </c>
      <c r="C3269" s="202">
        <f t="shared" si="1"/>
        <v>11</v>
      </c>
      <c r="D3269" s="202" t="str">
        <f t="shared" si="2"/>
        <v> </v>
      </c>
      <c r="E3269" s="202" t="str">
        <f t="shared" si="9"/>
        <v> </v>
      </c>
      <c r="F3269" s="55" t="str">
        <f t="shared" si="4"/>
        <v/>
      </c>
      <c r="G3269" s="202" t="str">
        <f t="shared" si="5"/>
        <v/>
      </c>
      <c r="H3269" s="202" t="str">
        <f t="shared" si="11"/>
        <v> </v>
      </c>
      <c r="I3269" s="205" t="str">
        <f t="shared" si="7"/>
        <v/>
      </c>
      <c r="J3269" s="205"/>
      <c r="K3269" s="205"/>
    </row>
    <row r="3270" ht="14.25" customHeight="1">
      <c r="A3270" s="55">
        <v>48925.0</v>
      </c>
      <c r="B3270" s="55" t="str">
        <f t="shared" si="10"/>
        <v>Primer dia</v>
      </c>
      <c r="C3270" s="202">
        <f t="shared" si="1"/>
        <v>12</v>
      </c>
      <c r="D3270" s="202" t="str">
        <f t="shared" si="2"/>
        <v> </v>
      </c>
      <c r="E3270" s="202" t="str">
        <f t="shared" si="9"/>
        <v> </v>
      </c>
      <c r="F3270" s="55" t="str">
        <f t="shared" si="4"/>
        <v/>
      </c>
      <c r="G3270" s="202" t="str">
        <f t="shared" si="5"/>
        <v/>
      </c>
      <c r="H3270" s="202" t="str">
        <f t="shared" si="11"/>
        <v> </v>
      </c>
      <c r="I3270" s="205" t="str">
        <f t="shared" si="7"/>
        <v/>
      </c>
      <c r="J3270" s="205"/>
      <c r="K3270" s="205"/>
    </row>
    <row r="3271" ht="14.25" customHeight="1">
      <c r="A3271" s="55">
        <v>48926.0</v>
      </c>
      <c r="B3271" s="55" t="str">
        <f t="shared" si="10"/>
        <v>Primer dia</v>
      </c>
      <c r="C3271" s="202">
        <f t="shared" si="1"/>
        <v>13</v>
      </c>
      <c r="D3271" s="202" t="str">
        <f t="shared" si="2"/>
        <v> </v>
      </c>
      <c r="E3271" s="202" t="str">
        <f t="shared" si="9"/>
        <v> </v>
      </c>
      <c r="F3271" s="55" t="str">
        <f t="shared" si="4"/>
        <v/>
      </c>
      <c r="G3271" s="202" t="str">
        <f t="shared" si="5"/>
        <v/>
      </c>
      <c r="H3271" s="202" t="str">
        <f t="shared" si="11"/>
        <v> </v>
      </c>
      <c r="I3271" s="205" t="str">
        <f t="shared" si="7"/>
        <v/>
      </c>
      <c r="J3271" s="205"/>
      <c r="K3271" s="205"/>
    </row>
    <row r="3272" ht="14.25" customHeight="1">
      <c r="A3272" s="55">
        <v>48927.0</v>
      </c>
      <c r="B3272" s="55" t="str">
        <f t="shared" si="10"/>
        <v>Primer dia</v>
      </c>
      <c r="C3272" s="202">
        <f t="shared" si="1"/>
        <v>14</v>
      </c>
      <c r="D3272" s="202" t="str">
        <f t="shared" si="2"/>
        <v> </v>
      </c>
      <c r="E3272" s="202" t="str">
        <f t="shared" si="9"/>
        <v> </v>
      </c>
      <c r="F3272" s="55" t="str">
        <f t="shared" si="4"/>
        <v/>
      </c>
      <c r="G3272" s="202" t="str">
        <f t="shared" si="5"/>
        <v/>
      </c>
      <c r="H3272" s="202" t="str">
        <f t="shared" si="11"/>
        <v> </v>
      </c>
      <c r="I3272" s="205" t="str">
        <f t="shared" si="7"/>
        <v/>
      </c>
      <c r="J3272" s="205"/>
      <c r="K3272" s="205"/>
    </row>
    <row r="3273" ht="14.25" customHeight="1">
      <c r="A3273" s="55">
        <v>48928.0</v>
      </c>
      <c r="B3273" s="55" t="str">
        <f t="shared" si="10"/>
        <v>Primer dia</v>
      </c>
      <c r="C3273" s="202">
        <f t="shared" si="1"/>
        <v>15</v>
      </c>
      <c r="D3273" s="202" t="str">
        <f t="shared" si="2"/>
        <v> </v>
      </c>
      <c r="E3273" s="202" t="str">
        <f t="shared" si="9"/>
        <v> </v>
      </c>
      <c r="F3273" s="55" t="str">
        <f t="shared" si="4"/>
        <v/>
      </c>
      <c r="G3273" s="202" t="str">
        <f t="shared" si="5"/>
        <v/>
      </c>
      <c r="H3273" s="202" t="str">
        <f t="shared" si="11"/>
        <v> </v>
      </c>
      <c r="I3273" s="205" t="str">
        <f t="shared" si="7"/>
        <v/>
      </c>
      <c r="J3273" s="205"/>
      <c r="K3273" s="205"/>
    </row>
    <row r="3274" ht="14.25" customHeight="1">
      <c r="A3274" s="55">
        <v>48929.0</v>
      </c>
      <c r="B3274" s="55" t="str">
        <f t="shared" si="10"/>
        <v>Primer dia</v>
      </c>
      <c r="C3274" s="202">
        <f t="shared" si="1"/>
        <v>16</v>
      </c>
      <c r="D3274" s="202" t="str">
        <f t="shared" si="2"/>
        <v> </v>
      </c>
      <c r="E3274" s="202" t="str">
        <f t="shared" si="9"/>
        <v> </v>
      </c>
      <c r="F3274" s="55" t="str">
        <f t="shared" si="4"/>
        <v/>
      </c>
      <c r="G3274" s="202" t="str">
        <f t="shared" si="5"/>
        <v/>
      </c>
      <c r="H3274" s="202" t="str">
        <f t="shared" si="11"/>
        <v> </v>
      </c>
      <c r="I3274" s="205" t="str">
        <f t="shared" si="7"/>
        <v/>
      </c>
      <c r="J3274" s="205"/>
      <c r="K3274" s="205"/>
    </row>
    <row r="3275" ht="14.25" customHeight="1">
      <c r="A3275" s="55">
        <v>48930.0</v>
      </c>
      <c r="B3275" s="55" t="str">
        <f t="shared" si="10"/>
        <v>Primer dia</v>
      </c>
      <c r="C3275" s="202">
        <f t="shared" si="1"/>
        <v>17</v>
      </c>
      <c r="D3275" s="202" t="str">
        <f t="shared" si="2"/>
        <v> </v>
      </c>
      <c r="E3275" s="202">
        <f t="shared" si="9"/>
        <v>17</v>
      </c>
      <c r="F3275" s="55">
        <f t="shared" si="4"/>
        <v>48930</v>
      </c>
      <c r="G3275" s="202">
        <f t="shared" si="5"/>
        <v>190</v>
      </c>
      <c r="H3275" s="202" t="str">
        <f t="shared" si="11"/>
        <v> </v>
      </c>
      <c r="I3275" s="205" t="str">
        <f t="shared" si="7"/>
        <v/>
      </c>
      <c r="J3275" s="205"/>
      <c r="K3275" s="205"/>
    </row>
    <row r="3276" ht="14.25" customHeight="1">
      <c r="A3276" s="55">
        <v>48931.0</v>
      </c>
      <c r="B3276" s="55" t="str">
        <f t="shared" si="10"/>
        <v>Primer dia</v>
      </c>
      <c r="C3276" s="202">
        <f t="shared" si="1"/>
        <v>18</v>
      </c>
      <c r="D3276" s="202" t="str">
        <f t="shared" si="2"/>
        <v> </v>
      </c>
      <c r="E3276" s="202" t="str">
        <f t="shared" si="9"/>
        <v> </v>
      </c>
      <c r="F3276" s="55" t="str">
        <f t="shared" si="4"/>
        <v/>
      </c>
      <c r="G3276" s="202" t="str">
        <f t="shared" si="5"/>
        <v/>
      </c>
      <c r="H3276" s="202" t="str">
        <f t="shared" si="11"/>
        <v> </v>
      </c>
      <c r="I3276" s="205" t="str">
        <f t="shared" si="7"/>
        <v/>
      </c>
      <c r="J3276" s="205"/>
      <c r="K3276" s="205"/>
    </row>
    <row r="3277" ht="14.25" customHeight="1">
      <c r="A3277" s="55">
        <v>48932.0</v>
      </c>
      <c r="B3277" s="55" t="str">
        <f t="shared" si="10"/>
        <v>Primer dia</v>
      </c>
      <c r="C3277" s="202">
        <f t="shared" si="1"/>
        <v>19</v>
      </c>
      <c r="D3277" s="202" t="str">
        <f t="shared" si="2"/>
        <v> </v>
      </c>
      <c r="E3277" s="202" t="str">
        <f t="shared" si="9"/>
        <v> </v>
      </c>
      <c r="F3277" s="55" t="str">
        <f t="shared" si="4"/>
        <v/>
      </c>
      <c r="G3277" s="202" t="str">
        <f t="shared" si="5"/>
        <v/>
      </c>
      <c r="H3277" s="202" t="str">
        <f t="shared" si="11"/>
        <v> </v>
      </c>
      <c r="I3277" s="205" t="str">
        <f t="shared" si="7"/>
        <v/>
      </c>
      <c r="J3277" s="205"/>
      <c r="K3277" s="205"/>
    </row>
    <row r="3278" ht="14.25" customHeight="1">
      <c r="A3278" s="55">
        <v>48933.0</v>
      </c>
      <c r="B3278" s="55" t="str">
        <f t="shared" si="10"/>
        <v>Primer dia</v>
      </c>
      <c r="C3278" s="202">
        <f t="shared" si="1"/>
        <v>20</v>
      </c>
      <c r="D3278" s="202" t="str">
        <f t="shared" si="2"/>
        <v> </v>
      </c>
      <c r="E3278" s="202" t="str">
        <f t="shared" si="9"/>
        <v> </v>
      </c>
      <c r="F3278" s="55" t="str">
        <f t="shared" si="4"/>
        <v/>
      </c>
      <c r="G3278" s="202" t="str">
        <f t="shared" si="5"/>
        <v/>
      </c>
      <c r="H3278" s="202" t="str">
        <f t="shared" si="11"/>
        <v> </v>
      </c>
      <c r="I3278" s="205" t="str">
        <f t="shared" si="7"/>
        <v/>
      </c>
      <c r="J3278" s="205"/>
      <c r="K3278" s="205"/>
    </row>
    <row r="3279" ht="14.25" customHeight="1">
      <c r="A3279" s="55">
        <v>48934.0</v>
      </c>
      <c r="B3279" s="55" t="str">
        <f t="shared" si="10"/>
        <v>Primer dia</v>
      </c>
      <c r="C3279" s="202">
        <f t="shared" si="1"/>
        <v>21</v>
      </c>
      <c r="D3279" s="202" t="str">
        <f t="shared" si="2"/>
        <v> </v>
      </c>
      <c r="E3279" s="202" t="str">
        <f t="shared" si="9"/>
        <v> </v>
      </c>
      <c r="F3279" s="55" t="str">
        <f t="shared" si="4"/>
        <v/>
      </c>
      <c r="G3279" s="202" t="str">
        <f t="shared" si="5"/>
        <v/>
      </c>
      <c r="H3279" s="202" t="str">
        <f t="shared" si="11"/>
        <v> </v>
      </c>
      <c r="I3279" s="205" t="str">
        <f t="shared" si="7"/>
        <v/>
      </c>
      <c r="J3279" s="205"/>
      <c r="K3279" s="205"/>
    </row>
    <row r="3280" ht="14.25" customHeight="1">
      <c r="A3280" s="55">
        <v>48935.0</v>
      </c>
      <c r="B3280" s="55" t="str">
        <f t="shared" si="10"/>
        <v>Primer dia</v>
      </c>
      <c r="C3280" s="202">
        <f t="shared" si="1"/>
        <v>22</v>
      </c>
      <c r="D3280" s="202" t="str">
        <f t="shared" si="2"/>
        <v> </v>
      </c>
      <c r="E3280" s="202" t="str">
        <f t="shared" si="9"/>
        <v> </v>
      </c>
      <c r="F3280" s="55" t="str">
        <f t="shared" si="4"/>
        <v/>
      </c>
      <c r="G3280" s="202" t="str">
        <f t="shared" si="5"/>
        <v/>
      </c>
      <c r="H3280" s="202" t="str">
        <f t="shared" si="11"/>
        <v> </v>
      </c>
      <c r="I3280" s="205" t="str">
        <f t="shared" si="7"/>
        <v/>
      </c>
      <c r="J3280" s="205"/>
      <c r="K3280" s="205"/>
    </row>
    <row r="3281" ht="14.25" customHeight="1">
      <c r="A3281" s="55">
        <v>48936.0</v>
      </c>
      <c r="B3281" s="55" t="str">
        <f t="shared" si="10"/>
        <v>Primer dia</v>
      </c>
      <c r="C3281" s="202">
        <f t="shared" si="1"/>
        <v>23</v>
      </c>
      <c r="D3281" s="202" t="str">
        <f t="shared" si="2"/>
        <v> </v>
      </c>
      <c r="E3281" s="202" t="str">
        <f t="shared" si="9"/>
        <v> </v>
      </c>
      <c r="F3281" s="55" t="str">
        <f t="shared" si="4"/>
        <v/>
      </c>
      <c r="G3281" s="202" t="str">
        <f t="shared" si="5"/>
        <v/>
      </c>
      <c r="H3281" s="202" t="str">
        <f t="shared" si="11"/>
        <v> </v>
      </c>
      <c r="I3281" s="205" t="str">
        <f t="shared" si="7"/>
        <v/>
      </c>
      <c r="J3281" s="205"/>
      <c r="K3281" s="205"/>
    </row>
    <row r="3282" ht="14.25" customHeight="1">
      <c r="A3282" s="55">
        <v>48937.0</v>
      </c>
      <c r="B3282" s="55" t="str">
        <f t="shared" si="10"/>
        <v>Primer dia</v>
      </c>
      <c r="C3282" s="202">
        <f t="shared" si="1"/>
        <v>24</v>
      </c>
      <c r="D3282" s="202" t="str">
        <f t="shared" si="2"/>
        <v> </v>
      </c>
      <c r="E3282" s="202" t="str">
        <f t="shared" si="9"/>
        <v> </v>
      </c>
      <c r="F3282" s="55" t="str">
        <f t="shared" si="4"/>
        <v/>
      </c>
      <c r="G3282" s="202" t="str">
        <f t="shared" si="5"/>
        <v/>
      </c>
      <c r="H3282" s="202" t="str">
        <f t="shared" si="11"/>
        <v> </v>
      </c>
      <c r="I3282" s="205" t="str">
        <f t="shared" si="7"/>
        <v/>
      </c>
      <c r="J3282" s="205"/>
      <c r="K3282" s="205"/>
    </row>
    <row r="3283" ht="14.25" customHeight="1">
      <c r="A3283" s="55">
        <v>48938.0</v>
      </c>
      <c r="B3283" s="55" t="str">
        <f t="shared" si="10"/>
        <v>Primer dia</v>
      </c>
      <c r="C3283" s="202">
        <f t="shared" si="1"/>
        <v>25</v>
      </c>
      <c r="D3283" s="202" t="str">
        <f t="shared" si="2"/>
        <v> </v>
      </c>
      <c r="E3283" s="202" t="str">
        <f t="shared" si="9"/>
        <v> </v>
      </c>
      <c r="F3283" s="55" t="str">
        <f t="shared" si="4"/>
        <v/>
      </c>
      <c r="G3283" s="202" t="str">
        <f t="shared" si="5"/>
        <v/>
      </c>
      <c r="H3283" s="202" t="str">
        <f t="shared" si="11"/>
        <v> </v>
      </c>
      <c r="I3283" s="205" t="str">
        <f t="shared" si="7"/>
        <v/>
      </c>
      <c r="J3283" s="205"/>
      <c r="K3283" s="205"/>
    </row>
    <row r="3284" ht="14.25" customHeight="1">
      <c r="A3284" s="55">
        <v>48939.0</v>
      </c>
      <c r="B3284" s="55" t="str">
        <f t="shared" si="10"/>
        <v>Primer dia</v>
      </c>
      <c r="C3284" s="202">
        <f t="shared" si="1"/>
        <v>26</v>
      </c>
      <c r="D3284" s="202" t="str">
        <f t="shared" si="2"/>
        <v> </v>
      </c>
      <c r="E3284" s="202" t="str">
        <f t="shared" si="9"/>
        <v> </v>
      </c>
      <c r="F3284" s="55" t="str">
        <f t="shared" si="4"/>
        <v/>
      </c>
      <c r="G3284" s="202" t="str">
        <f t="shared" si="5"/>
        <v/>
      </c>
      <c r="H3284" s="202" t="str">
        <f t="shared" si="11"/>
        <v> </v>
      </c>
      <c r="I3284" s="205" t="str">
        <f t="shared" si="7"/>
        <v/>
      </c>
      <c r="J3284" s="205"/>
      <c r="K3284" s="205"/>
    </row>
    <row r="3285" ht="14.25" customHeight="1">
      <c r="A3285" s="55">
        <v>48940.0</v>
      </c>
      <c r="B3285" s="55" t="str">
        <f t="shared" si="10"/>
        <v>Primer dia</v>
      </c>
      <c r="C3285" s="202">
        <f t="shared" si="1"/>
        <v>27</v>
      </c>
      <c r="D3285" s="202" t="str">
        <f t="shared" si="2"/>
        <v> </v>
      </c>
      <c r="E3285" s="202" t="str">
        <f t="shared" si="9"/>
        <v> </v>
      </c>
      <c r="F3285" s="55" t="str">
        <f t="shared" si="4"/>
        <v/>
      </c>
      <c r="G3285" s="202" t="str">
        <f t="shared" si="5"/>
        <v/>
      </c>
      <c r="H3285" s="202" t="str">
        <f t="shared" si="11"/>
        <v> </v>
      </c>
      <c r="I3285" s="205" t="str">
        <f t="shared" si="7"/>
        <v/>
      </c>
      <c r="J3285" s="205"/>
      <c r="K3285" s="205"/>
    </row>
    <row r="3286" ht="14.25" customHeight="1">
      <c r="A3286" s="55">
        <v>48941.0</v>
      </c>
      <c r="B3286" s="55" t="str">
        <f t="shared" si="10"/>
        <v>Primer dia</v>
      </c>
      <c r="C3286" s="202">
        <f t="shared" si="1"/>
        <v>28</v>
      </c>
      <c r="D3286" s="202" t="str">
        <f t="shared" si="2"/>
        <v> </v>
      </c>
      <c r="E3286" s="202" t="str">
        <f t="shared" si="9"/>
        <v> </v>
      </c>
      <c r="F3286" s="55" t="str">
        <f t="shared" si="4"/>
        <v/>
      </c>
      <c r="G3286" s="202" t="str">
        <f t="shared" si="5"/>
        <v/>
      </c>
      <c r="H3286" s="202" t="str">
        <f t="shared" si="11"/>
        <v> </v>
      </c>
      <c r="I3286" s="205" t="str">
        <f t="shared" si="7"/>
        <v/>
      </c>
      <c r="J3286" s="205"/>
      <c r="K3286" s="205"/>
    </row>
    <row r="3287" ht="14.25" customHeight="1">
      <c r="A3287" s="55">
        <v>48942.0</v>
      </c>
      <c r="B3287" s="55" t="str">
        <f t="shared" si="10"/>
        <v>Primer dia</v>
      </c>
      <c r="C3287" s="202">
        <f t="shared" si="1"/>
        <v>29</v>
      </c>
      <c r="D3287" s="202" t="str">
        <f t="shared" si="2"/>
        <v> </v>
      </c>
      <c r="E3287" s="202" t="str">
        <f t="shared" si="9"/>
        <v> </v>
      </c>
      <c r="F3287" s="55" t="str">
        <f t="shared" si="4"/>
        <v/>
      </c>
      <c r="G3287" s="202" t="str">
        <f t="shared" si="5"/>
        <v/>
      </c>
      <c r="H3287" s="202" t="str">
        <f t="shared" si="11"/>
        <v> </v>
      </c>
      <c r="I3287" s="205" t="str">
        <f t="shared" si="7"/>
        <v/>
      </c>
      <c r="J3287" s="205"/>
      <c r="K3287" s="205"/>
    </row>
    <row r="3288" ht="14.25" customHeight="1">
      <c r="A3288" s="55">
        <v>48943.0</v>
      </c>
      <c r="B3288" s="55" t="str">
        <f t="shared" si="10"/>
        <v>Primer dia</v>
      </c>
      <c r="C3288" s="202">
        <f t="shared" si="1"/>
        <v>30</v>
      </c>
      <c r="D3288" s="202" t="str">
        <f t="shared" si="2"/>
        <v> </v>
      </c>
      <c r="E3288" s="202" t="str">
        <f t="shared" si="9"/>
        <v> </v>
      </c>
      <c r="F3288" s="55" t="str">
        <f t="shared" si="4"/>
        <v/>
      </c>
      <c r="G3288" s="202" t="str">
        <f t="shared" si="5"/>
        <v/>
      </c>
      <c r="H3288" s="202" t="str">
        <f t="shared" si="11"/>
        <v> </v>
      </c>
      <c r="I3288" s="205" t="str">
        <f t="shared" si="7"/>
        <v/>
      </c>
      <c r="J3288" s="205"/>
      <c r="K3288" s="205"/>
    </row>
    <row r="3289" ht="14.25" customHeight="1">
      <c r="A3289" s="55">
        <v>48944.0</v>
      </c>
      <c r="B3289" s="55" t="str">
        <f t="shared" si="10"/>
        <v>Primer dia</v>
      </c>
      <c r="C3289" s="202">
        <f t="shared" si="1"/>
        <v>31</v>
      </c>
      <c r="D3289" s="202" t="str">
        <f t="shared" si="2"/>
        <v> </v>
      </c>
      <c r="E3289" s="202" t="str">
        <f t="shared" si="9"/>
        <v> </v>
      </c>
      <c r="F3289" s="55" t="str">
        <f t="shared" si="4"/>
        <v/>
      </c>
      <c r="G3289" s="202" t="str">
        <f t="shared" si="5"/>
        <v/>
      </c>
      <c r="H3289" s="202" t="str">
        <f t="shared" si="11"/>
        <v> </v>
      </c>
      <c r="I3289" s="205" t="str">
        <f t="shared" si="7"/>
        <v/>
      </c>
      <c r="J3289" s="205"/>
      <c r="K3289" s="205"/>
    </row>
    <row r="3290" ht="14.25" customHeight="1">
      <c r="A3290" s="55">
        <v>48945.0</v>
      </c>
      <c r="B3290" s="55" t="str">
        <f t="shared" si="10"/>
        <v>Primer dia</v>
      </c>
      <c r="C3290" s="202">
        <f t="shared" si="1"/>
        <v>1</v>
      </c>
      <c r="D3290" s="202" t="str">
        <f t="shared" si="2"/>
        <v> </v>
      </c>
      <c r="E3290" s="202" t="str">
        <f t="shared" si="9"/>
        <v> </v>
      </c>
      <c r="F3290" s="55" t="str">
        <f t="shared" si="4"/>
        <v/>
      </c>
      <c r="G3290" s="202" t="str">
        <f t="shared" si="5"/>
        <v/>
      </c>
      <c r="H3290" s="202" t="str">
        <f t="shared" si="11"/>
        <v> </v>
      </c>
      <c r="I3290" s="205" t="str">
        <f t="shared" si="7"/>
        <v/>
      </c>
      <c r="J3290" s="205"/>
      <c r="K3290" s="205"/>
    </row>
    <row r="3291" ht="14.25" customHeight="1">
      <c r="A3291" s="55">
        <v>48946.0</v>
      </c>
      <c r="B3291" s="55" t="str">
        <f t="shared" si="10"/>
        <v>Primer dia</v>
      </c>
      <c r="C3291" s="202">
        <f t="shared" si="1"/>
        <v>2</v>
      </c>
      <c r="D3291" s="202" t="str">
        <f t="shared" si="2"/>
        <v> </v>
      </c>
      <c r="E3291" s="202">
        <f t="shared" si="9"/>
        <v>2</v>
      </c>
      <c r="F3291" s="55">
        <f t="shared" si="4"/>
        <v>48946</v>
      </c>
      <c r="G3291" s="202">
        <f t="shared" si="5"/>
        <v>191</v>
      </c>
      <c r="H3291" s="202" t="str">
        <f t="shared" si="11"/>
        <v> </v>
      </c>
      <c r="I3291" s="205" t="str">
        <f t="shared" si="7"/>
        <v/>
      </c>
      <c r="J3291" s="205"/>
      <c r="K3291" s="205"/>
    </row>
    <row r="3292" ht="14.25" customHeight="1">
      <c r="A3292" s="55">
        <v>48947.0</v>
      </c>
      <c r="B3292" s="55" t="str">
        <f t="shared" si="10"/>
        <v>Primer dia</v>
      </c>
      <c r="C3292" s="202">
        <f t="shared" si="1"/>
        <v>3</v>
      </c>
      <c r="D3292" s="202" t="str">
        <f t="shared" si="2"/>
        <v> </v>
      </c>
      <c r="E3292" s="202" t="str">
        <f t="shared" si="9"/>
        <v> </v>
      </c>
      <c r="F3292" s="55" t="str">
        <f t="shared" si="4"/>
        <v/>
      </c>
      <c r="G3292" s="202" t="str">
        <f t="shared" si="5"/>
        <v/>
      </c>
      <c r="H3292" s="202" t="str">
        <f t="shared" si="11"/>
        <v> </v>
      </c>
      <c r="I3292" s="205" t="str">
        <f t="shared" si="7"/>
        <v/>
      </c>
      <c r="J3292" s="205"/>
      <c r="K3292" s="205"/>
    </row>
    <row r="3293" ht="14.25" customHeight="1">
      <c r="A3293" s="55">
        <v>48948.0</v>
      </c>
      <c r="B3293" s="55" t="str">
        <f t="shared" si="10"/>
        <v>Primer dia</v>
      </c>
      <c r="C3293" s="202">
        <f t="shared" si="1"/>
        <v>4</v>
      </c>
      <c r="D3293" s="202" t="str">
        <f t="shared" si="2"/>
        <v> </v>
      </c>
      <c r="E3293" s="202" t="str">
        <f t="shared" si="9"/>
        <v> </v>
      </c>
      <c r="F3293" s="55" t="str">
        <f t="shared" si="4"/>
        <v/>
      </c>
      <c r="G3293" s="202" t="str">
        <f t="shared" si="5"/>
        <v/>
      </c>
      <c r="H3293" s="202" t="str">
        <f t="shared" si="11"/>
        <v> </v>
      </c>
      <c r="I3293" s="205" t="str">
        <f t="shared" si="7"/>
        <v/>
      </c>
      <c r="J3293" s="205"/>
      <c r="K3293" s="205"/>
    </row>
    <row r="3294" ht="14.25" customHeight="1">
      <c r="A3294" s="55">
        <v>48949.0</v>
      </c>
      <c r="B3294" s="55" t="str">
        <f t="shared" si="10"/>
        <v>Primer dia</v>
      </c>
      <c r="C3294" s="202">
        <f t="shared" si="1"/>
        <v>5</v>
      </c>
      <c r="D3294" s="202" t="str">
        <f t="shared" si="2"/>
        <v> </v>
      </c>
      <c r="E3294" s="202" t="str">
        <f t="shared" si="9"/>
        <v> </v>
      </c>
      <c r="F3294" s="55" t="str">
        <f t="shared" si="4"/>
        <v/>
      </c>
      <c r="G3294" s="202" t="str">
        <f t="shared" si="5"/>
        <v/>
      </c>
      <c r="H3294" s="202" t="str">
        <f t="shared" si="11"/>
        <v> </v>
      </c>
      <c r="I3294" s="205" t="str">
        <f t="shared" si="7"/>
        <v/>
      </c>
      <c r="J3294" s="205"/>
      <c r="K3294" s="205"/>
    </row>
    <row r="3295" ht="14.25" customHeight="1">
      <c r="A3295" s="55">
        <v>48950.0</v>
      </c>
      <c r="B3295" s="55" t="str">
        <f t="shared" si="10"/>
        <v>Primer dia</v>
      </c>
      <c r="C3295" s="202">
        <f t="shared" si="1"/>
        <v>6</v>
      </c>
      <c r="D3295" s="202" t="str">
        <f t="shared" si="2"/>
        <v> </v>
      </c>
      <c r="E3295" s="202" t="str">
        <f t="shared" si="9"/>
        <v> </v>
      </c>
      <c r="F3295" s="55" t="str">
        <f t="shared" si="4"/>
        <v/>
      </c>
      <c r="G3295" s="202" t="str">
        <f t="shared" si="5"/>
        <v/>
      </c>
      <c r="H3295" s="202" t="str">
        <f t="shared" si="11"/>
        <v> </v>
      </c>
      <c r="I3295" s="205" t="str">
        <f t="shared" si="7"/>
        <v/>
      </c>
      <c r="J3295" s="205"/>
      <c r="K3295" s="205"/>
    </row>
    <row r="3296" ht="14.25" customHeight="1">
      <c r="A3296" s="55">
        <v>48951.0</v>
      </c>
      <c r="B3296" s="55" t="str">
        <f t="shared" si="10"/>
        <v>Primer dia</v>
      </c>
      <c r="C3296" s="202">
        <f t="shared" si="1"/>
        <v>7</v>
      </c>
      <c r="D3296" s="202" t="str">
        <f t="shared" si="2"/>
        <v> </v>
      </c>
      <c r="E3296" s="202" t="str">
        <f t="shared" si="9"/>
        <v> </v>
      </c>
      <c r="F3296" s="55" t="str">
        <f t="shared" si="4"/>
        <v/>
      </c>
      <c r="G3296" s="202" t="str">
        <f t="shared" si="5"/>
        <v/>
      </c>
      <c r="H3296" s="202" t="str">
        <f t="shared" si="11"/>
        <v> </v>
      </c>
      <c r="I3296" s="205" t="str">
        <f t="shared" si="7"/>
        <v/>
      </c>
      <c r="J3296" s="205"/>
      <c r="K3296" s="205"/>
    </row>
    <row r="3297" ht="14.25" customHeight="1">
      <c r="A3297" s="55">
        <v>48952.0</v>
      </c>
      <c r="B3297" s="55" t="str">
        <f t="shared" si="10"/>
        <v>Primer dia</v>
      </c>
      <c r="C3297" s="202">
        <f t="shared" si="1"/>
        <v>8</v>
      </c>
      <c r="D3297" s="202" t="str">
        <f t="shared" si="2"/>
        <v> </v>
      </c>
      <c r="E3297" s="202" t="str">
        <f t="shared" si="9"/>
        <v> </v>
      </c>
      <c r="F3297" s="55" t="str">
        <f t="shared" si="4"/>
        <v/>
      </c>
      <c r="G3297" s="202" t="str">
        <f t="shared" si="5"/>
        <v/>
      </c>
      <c r="H3297" s="202" t="str">
        <f t="shared" si="11"/>
        <v> </v>
      </c>
      <c r="I3297" s="205" t="str">
        <f t="shared" si="7"/>
        <v/>
      </c>
      <c r="J3297" s="205"/>
      <c r="K3297" s="205"/>
    </row>
    <row r="3298" ht="14.25" customHeight="1">
      <c r="A3298" s="55">
        <v>48953.0</v>
      </c>
      <c r="B3298" s="55" t="str">
        <f t="shared" si="10"/>
        <v>Primer dia</v>
      </c>
      <c r="C3298" s="202">
        <f t="shared" si="1"/>
        <v>9</v>
      </c>
      <c r="D3298" s="202" t="str">
        <f t="shared" si="2"/>
        <v> </v>
      </c>
      <c r="E3298" s="202" t="str">
        <f t="shared" si="9"/>
        <v> </v>
      </c>
      <c r="F3298" s="55" t="str">
        <f t="shared" si="4"/>
        <v/>
      </c>
      <c r="G3298" s="202" t="str">
        <f t="shared" si="5"/>
        <v/>
      </c>
      <c r="H3298" s="202" t="str">
        <f t="shared" si="11"/>
        <v> </v>
      </c>
      <c r="I3298" s="205" t="str">
        <f t="shared" si="7"/>
        <v/>
      </c>
      <c r="J3298" s="205"/>
      <c r="K3298" s="205"/>
    </row>
    <row r="3299" ht="14.25" customHeight="1">
      <c r="A3299" s="55">
        <v>48954.0</v>
      </c>
      <c r="B3299" s="55" t="str">
        <f t="shared" si="10"/>
        <v>Primer dia</v>
      </c>
      <c r="C3299" s="202">
        <f t="shared" si="1"/>
        <v>10</v>
      </c>
      <c r="D3299" s="202" t="str">
        <f t="shared" si="2"/>
        <v> </v>
      </c>
      <c r="E3299" s="202" t="str">
        <f t="shared" si="9"/>
        <v> </v>
      </c>
      <c r="F3299" s="55" t="str">
        <f t="shared" si="4"/>
        <v/>
      </c>
      <c r="G3299" s="202" t="str">
        <f t="shared" si="5"/>
        <v/>
      </c>
      <c r="H3299" s="202" t="str">
        <f t="shared" si="11"/>
        <v> </v>
      </c>
      <c r="I3299" s="205" t="str">
        <f t="shared" si="7"/>
        <v/>
      </c>
      <c r="J3299" s="205"/>
      <c r="K3299" s="205"/>
    </row>
    <row r="3300" ht="14.25" customHeight="1">
      <c r="A3300" s="55">
        <v>48955.0</v>
      </c>
      <c r="B3300" s="55" t="str">
        <f t="shared" si="10"/>
        <v>Primer dia</v>
      </c>
      <c r="C3300" s="202">
        <f t="shared" si="1"/>
        <v>11</v>
      </c>
      <c r="D3300" s="202" t="str">
        <f t="shared" si="2"/>
        <v> </v>
      </c>
      <c r="E3300" s="202" t="str">
        <f t="shared" si="9"/>
        <v> </v>
      </c>
      <c r="F3300" s="55" t="str">
        <f t="shared" si="4"/>
        <v/>
      </c>
      <c r="G3300" s="202" t="str">
        <f t="shared" si="5"/>
        <v/>
      </c>
      <c r="H3300" s="202" t="str">
        <f t="shared" si="11"/>
        <v> </v>
      </c>
      <c r="I3300" s="205" t="str">
        <f t="shared" si="7"/>
        <v/>
      </c>
      <c r="J3300" s="205"/>
      <c r="K3300" s="205"/>
    </row>
    <row r="3301" ht="14.25" customHeight="1">
      <c r="A3301" s="55">
        <v>48956.0</v>
      </c>
      <c r="B3301" s="55" t="str">
        <f t="shared" si="10"/>
        <v>Primer dia</v>
      </c>
      <c r="C3301" s="202">
        <f t="shared" si="1"/>
        <v>12</v>
      </c>
      <c r="D3301" s="202" t="str">
        <f t="shared" si="2"/>
        <v> </v>
      </c>
      <c r="E3301" s="202" t="str">
        <f t="shared" si="9"/>
        <v> </v>
      </c>
      <c r="F3301" s="55" t="str">
        <f t="shared" si="4"/>
        <v/>
      </c>
      <c r="G3301" s="202" t="str">
        <f t="shared" si="5"/>
        <v/>
      </c>
      <c r="H3301" s="202" t="str">
        <f t="shared" si="11"/>
        <v> </v>
      </c>
      <c r="I3301" s="205" t="str">
        <f t="shared" si="7"/>
        <v/>
      </c>
      <c r="J3301" s="205"/>
      <c r="K3301" s="205"/>
    </row>
    <row r="3302" ht="14.25" customHeight="1">
      <c r="A3302" s="55">
        <v>48957.0</v>
      </c>
      <c r="B3302" s="55" t="str">
        <f t="shared" si="10"/>
        <v>Primer dia</v>
      </c>
      <c r="C3302" s="202">
        <f t="shared" si="1"/>
        <v>13</v>
      </c>
      <c r="D3302" s="202" t="str">
        <f t="shared" si="2"/>
        <v> </v>
      </c>
      <c r="E3302" s="202" t="str">
        <f t="shared" si="9"/>
        <v> </v>
      </c>
      <c r="F3302" s="55" t="str">
        <f t="shared" si="4"/>
        <v/>
      </c>
      <c r="G3302" s="202" t="str">
        <f t="shared" si="5"/>
        <v/>
      </c>
      <c r="H3302" s="202" t="str">
        <f t="shared" si="11"/>
        <v> </v>
      </c>
      <c r="I3302" s="205" t="str">
        <f t="shared" si="7"/>
        <v/>
      </c>
      <c r="J3302" s="205"/>
      <c r="K3302" s="205"/>
    </row>
    <row r="3303" ht="14.25" customHeight="1">
      <c r="A3303" s="55">
        <v>48958.0</v>
      </c>
      <c r="B3303" s="55" t="str">
        <f t="shared" si="10"/>
        <v>Primer dia</v>
      </c>
      <c r="C3303" s="202">
        <f t="shared" si="1"/>
        <v>14</v>
      </c>
      <c r="D3303" s="202" t="str">
        <f t="shared" si="2"/>
        <v> </v>
      </c>
      <c r="E3303" s="202" t="str">
        <f t="shared" si="9"/>
        <v> </v>
      </c>
      <c r="F3303" s="55" t="str">
        <f t="shared" si="4"/>
        <v/>
      </c>
      <c r="G3303" s="202" t="str">
        <f t="shared" si="5"/>
        <v/>
      </c>
      <c r="H3303" s="202" t="str">
        <f t="shared" si="11"/>
        <v> </v>
      </c>
      <c r="I3303" s="205" t="str">
        <f t="shared" si="7"/>
        <v/>
      </c>
      <c r="J3303" s="205"/>
      <c r="K3303" s="205"/>
    </row>
    <row r="3304" ht="14.25" customHeight="1">
      <c r="A3304" s="55">
        <v>48959.0</v>
      </c>
      <c r="B3304" s="55" t="str">
        <f t="shared" si="10"/>
        <v>Primer dia</v>
      </c>
      <c r="C3304" s="202">
        <f t="shared" si="1"/>
        <v>15</v>
      </c>
      <c r="D3304" s="202" t="str">
        <f t="shared" si="2"/>
        <v> </v>
      </c>
      <c r="E3304" s="202" t="str">
        <f t="shared" si="9"/>
        <v> </v>
      </c>
      <c r="F3304" s="55" t="str">
        <f t="shared" si="4"/>
        <v/>
      </c>
      <c r="G3304" s="202" t="str">
        <f t="shared" si="5"/>
        <v/>
      </c>
      <c r="H3304" s="202" t="str">
        <f t="shared" si="11"/>
        <v> </v>
      </c>
      <c r="I3304" s="205" t="str">
        <f t="shared" si="7"/>
        <v/>
      </c>
      <c r="J3304" s="205"/>
      <c r="K3304" s="205"/>
    </row>
    <row r="3305" ht="14.25" customHeight="1">
      <c r="A3305" s="55">
        <v>48960.0</v>
      </c>
      <c r="B3305" s="55" t="str">
        <f t="shared" si="10"/>
        <v>Primer dia</v>
      </c>
      <c r="C3305" s="202">
        <f t="shared" si="1"/>
        <v>16</v>
      </c>
      <c r="D3305" s="202" t="str">
        <f t="shared" si="2"/>
        <v> </v>
      </c>
      <c r="E3305" s="202" t="str">
        <f t="shared" si="9"/>
        <v> </v>
      </c>
      <c r="F3305" s="55" t="str">
        <f t="shared" si="4"/>
        <v/>
      </c>
      <c r="G3305" s="202" t="str">
        <f t="shared" si="5"/>
        <v/>
      </c>
      <c r="H3305" s="202" t="str">
        <f t="shared" si="11"/>
        <v> </v>
      </c>
      <c r="I3305" s="205" t="str">
        <f t="shared" si="7"/>
        <v/>
      </c>
      <c r="J3305" s="205"/>
      <c r="K3305" s="205"/>
    </row>
    <row r="3306" ht="14.25" customHeight="1">
      <c r="A3306" s="55">
        <v>48961.0</v>
      </c>
      <c r="B3306" s="55" t="str">
        <f t="shared" si="10"/>
        <v>Primer dia</v>
      </c>
      <c r="C3306" s="202">
        <f t="shared" si="1"/>
        <v>17</v>
      </c>
      <c r="D3306" s="202" t="str">
        <f t="shared" si="2"/>
        <v> </v>
      </c>
      <c r="E3306" s="202">
        <f t="shared" si="9"/>
        <v>17</v>
      </c>
      <c r="F3306" s="55">
        <f t="shared" si="4"/>
        <v>48961</v>
      </c>
      <c r="G3306" s="202">
        <f t="shared" si="5"/>
        <v>192</v>
      </c>
      <c r="H3306" s="202" t="str">
        <f t="shared" si="11"/>
        <v> </v>
      </c>
      <c r="I3306" s="205" t="str">
        <f t="shared" si="7"/>
        <v/>
      </c>
      <c r="J3306" s="205"/>
      <c r="K3306" s="205"/>
    </row>
    <row r="3307" ht="14.25" customHeight="1">
      <c r="A3307" s="55">
        <v>48962.0</v>
      </c>
      <c r="B3307" s="55" t="str">
        <f t="shared" si="10"/>
        <v>Primer dia</v>
      </c>
      <c r="C3307" s="202">
        <f t="shared" si="1"/>
        <v>18</v>
      </c>
      <c r="D3307" s="202" t="str">
        <f t="shared" si="2"/>
        <v> </v>
      </c>
      <c r="E3307" s="202" t="str">
        <f t="shared" si="9"/>
        <v> </v>
      </c>
      <c r="F3307" s="55" t="str">
        <f t="shared" si="4"/>
        <v/>
      </c>
      <c r="G3307" s="202" t="str">
        <f t="shared" si="5"/>
        <v/>
      </c>
      <c r="H3307" s="202" t="str">
        <f t="shared" si="11"/>
        <v> </v>
      </c>
      <c r="I3307" s="205" t="str">
        <f t="shared" si="7"/>
        <v/>
      </c>
      <c r="J3307" s="205"/>
      <c r="K3307" s="20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